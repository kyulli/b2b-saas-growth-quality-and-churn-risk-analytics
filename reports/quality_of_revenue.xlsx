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0.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comments10.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Cover" sheetId="1" state="visible" r:id="rId3"/>
    <sheet name="Summary" sheetId="2" state="visible" r:id="rId4"/>
    <sheet name="Inputs" sheetId="3" state="visible" r:id="rId5"/>
    <sheet name="Diligence" sheetId="4" state="visible" r:id="rId6"/>
    <sheet name="Plan_vs_Actual" sheetId="5" state="visible" r:id="rId7"/>
    <sheet name="ARR_Bridge" sheetId="6" state="visible" r:id="rId8"/>
    <sheet name="Retention" sheetId="7" state="visible" r:id="rId9"/>
    <sheet name="Concentration" sheetId="8" state="visible" r:id="rId10"/>
    <sheet name="Revenue_to_Cash" sheetId="9" state="visible" r:id="rId11"/>
    <sheet name="Renewals" sheetId="10" state="visible" r:id="rId12"/>
    <sheet name="Sensitivity" sheetId="11" state="visible" r:id="rId13"/>
    <sheet name="Customer_ARR" sheetId="12" state="visible" r:id="rId14"/>
    <sheet name="Monthly_Bridge" sheetId="13" state="visible" r:id="rId15"/>
  </sheets>
  <calcPr iterateCount="100" refMode="A1" iterate="false" iterateDelta="0.0001"/>
  <extLst>
    <ext xmlns:loext="http://schemas.libreoffice.org/" uri="{7626C862-2A13-11E5-B345-FEFF819CDC9F}">
      <loext:extCalcPr stringRefSyntax="ExcelA1"/>
    </ext>
  </extLst>
</workbook>
</file>

<file path=xl/comments10.xml><?xml version="1.0" encoding="utf-8"?>
<comments xmlns="http://schemas.openxmlformats.org/spreadsheetml/2006/main" xmlns:xdr="http://schemas.openxmlformats.org/drawingml/2006/spreadsheetDrawing">
  <authors>
    <author>Unknown Author</author>
  </authors>
  <commentList>
    <comment ref="B17" authorId="0">
      <text>
        <r>
          <rPr>
            <sz val="10"/>
            <rFont val="Arial"/>
            <family val="2"/>
          </rPr>
          <t xml:space="preserve">198 committed contracts reached term in the window (contracts table).</t>
        </r>
      </text>
    </comment>
    <comment ref="C17" authorId="0">
      <text>
        <r>
          <rPr>
            <sz val="10"/>
            <rFont val="Arial"/>
            <family val="2"/>
          </rPr>
          <t xml:space="preserve">688 committed contracts reached term in the window (contracts table).</t>
        </r>
      </text>
    </comment>
    <comment ref="D17" authorId="0">
      <text>
        <r>
          <rPr>
            <sz val="10"/>
            <rFont val="Arial"/>
            <family val="2"/>
          </rPr>
          <t xml:space="preserve">695 committed contracts reached term in the window (contracts table).</t>
        </r>
      </text>
    </comment>
  </commentList>
</comments>
</file>

<file path=xl/sharedStrings.xml><?xml version="1.0" encoding="utf-8"?>
<sst xmlns="http://schemas.openxmlformats.org/spreadsheetml/2006/main" count="18048" uniqueCount="3946">
  <si>
    <t xml:space="preserve">Quality of Revenue Workbook: Synthetic B2B SaaS Book</t>
  </si>
  <si>
    <t xml:space="preserve">As of July 2026. Prepared by Qiuli Lai.</t>
  </si>
  <si>
    <t xml:space="preserve">Purpose</t>
  </si>
  <si>
    <t xml:space="preserve">Quality-of-revenue workbook for a B2B SaaS book acquired in Dec 2024: diligence benchmarking at close, underwriting forecast vs actual, and current ARR bridge, retention, concentration, revenue-to-cash, renewals and sensitivity.</t>
  </si>
  <si>
    <t xml:space="preserve">Evidence boundary</t>
  </si>
  <si>
    <t xml:space="preserve">Customer-level data is synthetic. Its Dec 2023 to Dec 2024 retention was calibrated to SaaS Capital 2025 medians, so agreement in that window is by design. Jan 2025 onward is out of sample.</t>
  </si>
  <si>
    <t xml:space="preserve">Units</t>
  </si>
  <si>
    <t xml:space="preserve">ARR and revenue in $ millions unless a header states $. ARR = 12 x month-end MRR. Percentages stored as fractions.</t>
  </si>
  <si>
    <t xml:space="preserve">Colour legend</t>
  </si>
  <si>
    <t xml:space="preserve">Blue = hardcoded data or input; black = formula; green = link to another sheet; yellow fill = key assumption to review.</t>
  </si>
  <si>
    <t xml:space="preserve">Checks</t>
  </si>
  <si>
    <t xml:space="preserve">ARR_Bridge row 12 and Revenue_to_Cash rows 7 and 15 must read zero. Plan_vs_Actual flags whether each month fell inside the band set at close.</t>
  </si>
  <si>
    <t xml:space="preserve">Source code</t>
  </si>
  <si>
    <t xml:space="preserve">Generated by src/saas_growth_quality/qor_workbook.py from the SQL marts and cleaned tables.</t>
  </si>
  <si>
    <t xml:space="preserve">Sheets</t>
  </si>
  <si>
    <t xml:space="preserve">Summary</t>
  </si>
  <si>
    <t xml:space="preserve">Headline KPIs, all linked</t>
  </si>
  <si>
    <t xml:space="preserve">Inputs</t>
  </si>
  <si>
    <t xml:space="preserve">Assumptions and cited benchmarks</t>
  </si>
  <si>
    <t xml:space="preserve">Diligence</t>
  </si>
  <si>
    <t xml:space="preserve">Dec 2023 to Dec 2024 cohort vs SaaS Capital 2025 on matched cuts</t>
  </si>
  <si>
    <t xml:space="preserve">Plan_vs_Actual</t>
  </si>
  <si>
    <t xml:space="preserve">Underwriting forecast made at close vs actual, Jan 2025 to Jul 2026</t>
  </si>
  <si>
    <t xml:space="preserve">ARR_Bridge</t>
  </si>
  <si>
    <t xml:space="preserve">Quarterly ARR roll-forward and growth quality ratios</t>
  </si>
  <si>
    <t xml:space="preserve">Retention</t>
  </si>
  <si>
    <t xml:space="preserve">12-month cohort GRR/NRR now (Jul 2025 to Jul 2026); monthly-compounding trap</t>
  </si>
  <si>
    <t xml:space="preserve">Concentration</t>
  </si>
  <si>
    <t xml:space="preserve">Top-N ARR share, HHI, trend</t>
  </si>
  <si>
    <t xml:space="preserve">Revenue_to_Cash</t>
  </si>
  <si>
    <t xml:space="preserve">Revenue, invoicing, collections, AR, DSO</t>
  </si>
  <si>
    <t xml:space="preserve">Renewals</t>
  </si>
  <si>
    <t xml:space="preserve">ARR by renewal quarter and expected non-renewal</t>
  </si>
  <si>
    <t xml:space="preserve">Sensitivity</t>
  </si>
  <si>
    <t xml:space="preserve">Forward 12-month ARR by GRR and expansion</t>
  </si>
  <si>
    <t xml:space="preserve">Customer_ARR</t>
  </si>
  <si>
    <t xml:space="preserve">Account-level ARR at July 2026</t>
  </si>
  <si>
    <t xml:space="preserve">Monthly_Bridge</t>
  </si>
  <si>
    <t xml:space="preserve">Monthly list-MRR bridge from SQL</t>
  </si>
  <si>
    <t xml:space="preserve">Quality of Revenue Summary</t>
  </si>
  <si>
    <t xml:space="preserve">Every value links to a working sheet.</t>
  </si>
  <si>
    <t xml:space="preserve">KPI</t>
  </si>
  <si>
    <t xml:space="preserve">Value</t>
  </si>
  <si>
    <t xml:space="preserve">Reference point</t>
  </si>
  <si>
    <t xml:space="preserve">Read</t>
  </si>
  <si>
    <t xml:space="preserve">Diligence GRR, Dec 2023 to Dec 2024</t>
  </si>
  <si>
    <t xml:space="preserve">vs SaaS Capital 2025 median, same window (calibrated)</t>
  </si>
  <si>
    <t xml:space="preserve">Diligence NRR, Dec 2023 to Dec 2024</t>
  </si>
  <si>
    <t xml:space="preserve">Underwriting forecast error, last month</t>
  </si>
  <si>
    <t xml:space="preserve">Base case vs actual list ARR</t>
  </si>
  <si>
    <t xml:space="preserve">Months inside the 90% band set at close</t>
  </si>
  <si>
    <t xml:space="preserve">Out-of-sample interval check</t>
  </si>
  <si>
    <t xml:space="preserve">Closing list ARR, latest quarter ($mm)</t>
  </si>
  <si>
    <t xml:space="preserve">Scale</t>
  </si>
  <si>
    <t xml:space="preserve">ARR growth, TTM</t>
  </si>
  <si>
    <t xml:space="preserve">vs SaaS Capital median revenue growth (different measure, context only)</t>
  </si>
  <si>
    <t xml:space="preserve">12m cohort GRR, now</t>
  </si>
  <si>
    <t xml:space="preserve">vs SaaS Capital 2025 median; Benchmarkit 2026 median is 84%</t>
  </si>
  <si>
    <t xml:space="preserve">12m cohort NRR, now</t>
  </si>
  <si>
    <t xml:space="preserve">vs SaaS Capital 2025 median</t>
  </si>
  <si>
    <t xml:space="preserve">Expansion share of gross new ARR, TTM</t>
  </si>
  <si>
    <t xml:space="preserve">vs Benchmarkit median</t>
  </si>
  <si>
    <t xml:space="preserve">Top 10 customers, share of ARR</t>
  </si>
  <si>
    <t xml:space="preserve">HHI</t>
  </si>
  <si>
    <t xml:space="preserve">10,000 / HHI = number of equal-sized customers with the same concentration</t>
  </si>
  <si>
    <t xml:space="preserve">Cash conversion, latest quarter</t>
  </si>
  <si>
    <t xml:space="preserve">Cash collected / revenue</t>
  </si>
  <si>
    <t xml:space="preserve">DSO, latest quarter (days)</t>
  </si>
  <si>
    <t xml:space="preserve">Driven by the one-month terms assumption</t>
  </si>
  <si>
    <t xml:space="preserve">Failed collections, % of revenue, latest quarter</t>
  </si>
  <si>
    <t xml:space="preserve">Leakage between billing and cash</t>
  </si>
  <si>
    <t xml:space="preserve">Committed ARR renewing in next 12 months ($mm)</t>
  </si>
  <si>
    <t xml:space="preserve">Renewal exposure</t>
  </si>
  <si>
    <t xml:space="preserve">Expected ARR lost in next 12 months ($mm)</t>
  </si>
  <si>
    <t xml:space="preserve">Historical non-renewal rates applied</t>
  </si>
  <si>
    <t xml:space="preserve">Expected ARR lost, % of ARR</t>
  </si>
  <si>
    <t xml:space="preserve">Compare with 1 - GRR</t>
  </si>
  <si>
    <t xml:space="preserve">Value of 1pt of GRR, annual gross profit ($mm)</t>
  </si>
  <si>
    <t xml:space="preserve">Uses the gross margin input</t>
  </si>
  <si>
    <t xml:space="preserve">Inputs and Benchmarks</t>
  </si>
  <si>
    <t xml:space="preserve">Blue cells are inputs; yellow cells are the assumptions most worth challenging.</t>
  </si>
  <si>
    <t xml:space="preserve">Assumption</t>
  </si>
  <si>
    <t xml:space="preserve">Basis</t>
  </si>
  <si>
    <t xml:space="preserve">Gross margin on subscription revenue</t>
  </si>
  <si>
    <t xml:space="preserve">Assumption for illustration; replace with the company's subscription gross margin.</t>
  </si>
  <si>
    <t xml:space="preserve">Days per quarter</t>
  </si>
  <si>
    <t xml:space="preserve">365 / 4, used for DSO.</t>
  </si>
  <si>
    <t xml:space="preserve">Payment terms (months), informational</t>
  </si>
  <si>
    <t xml:space="preserve">Set in revenue_quality.py (PAYMENT_TERMS_MONTHS). The panel has no terms field; one-month terms are an assumption. Editing this cell does not re-time cash.</t>
  </si>
  <si>
    <t xml:space="preserve">External benchmarks (calibration inputs before close, checks after close)</t>
  </si>
  <si>
    <t xml:space="preserve">Benchmark</t>
  </si>
  <si>
    <t xml:space="preserve">Source, window and scope</t>
  </si>
  <si>
    <t xml:space="preserve">GRR median, all companies, SaaS Capital 2025</t>
  </si>
  <si>
    <t xml:space="preserve">SaaS Capital 2025 retention benchmarks, &gt;1,000 private B2B SaaS companies &gt;$1M ARR, measured Dec 2023 to Dec 2024. https://www.saas-capital.com/wp-content/uploads/2025/09/RB32WS1-2025-B2B-SaaS-Retention-Benchmarks.pdf</t>
  </si>
  <si>
    <t xml:space="preserve">NRR median, all companies, SaaS Capital 2025</t>
  </si>
  <si>
    <t xml:space="preserve">GRR median, Benchmarkit 2026</t>
  </si>
  <si>
    <t xml:space="preserve">Benchmarkit 2026 SaaS and AI-native metrics; window, sample and definition not disclosed. https://www.benchmarkit.ai/2026-saas-ai-native-metrics</t>
  </si>
  <si>
    <t xml:space="preserve">NRR, usage-based pricing, Benchmarkit 2026</t>
  </si>
  <si>
    <t xml:space="preserve">Same source.</t>
  </si>
  <si>
    <t xml:space="preserve">NRR, seat-based pricing, Benchmarkit 2026</t>
  </si>
  <si>
    <t xml:space="preserve">Expansion share of net new ARR, median, Benchmarkit 2026</t>
  </si>
  <si>
    <t xml:space="preserve">Same source. Compared here with expansion / (new logo + expansion) ARR; the source's denominator is not stated.</t>
  </si>
  <si>
    <t xml:space="preserve">Revenue growth median, equity-backed, 2025</t>
  </si>
  <si>
    <t xml:space="preserve">SaaS Capital 2026 growth benchmarks, all sizes (bootstrapped 20%). https://www.saas-capital.com/research/private-saas-company-growth-rate-benchmarks/</t>
  </si>
  <si>
    <t xml:space="preserve">GRR median, bootstrapped, SaaS Capital 2025</t>
  </si>
  <si>
    <t xml:space="preserve">NRR median, bootstrapped, SaaS Capital 2025</t>
  </si>
  <si>
    <t xml:space="preserve">GRR median, equity-backed, SaaS Capital 2025</t>
  </si>
  <si>
    <t xml:space="preserve">NRR median, equity-backed, SaaS Capital 2025</t>
  </si>
  <si>
    <t xml:space="preserve">GRR median, bootstrapped $3M-$20M, SaaS Capital 2026</t>
  </si>
  <si>
    <t xml:space="preserve">SaaS Capital, published Apr 2026, calendar 2025 (inferred). https://www.saas-capital.com/blog-posts/benchmarking-metrics-for-bootstrapped-saas-companies/</t>
  </si>
  <si>
    <t xml:space="preserve">NRR median, bootstrapped $3M-$20M, SaaS Capital 2026</t>
  </si>
  <si>
    <t xml:space="preserve">Diligence Benchmark at Close</t>
  </si>
  <si>
    <t xml:space="preserve">Our Dec 2023 to Dec 2024 cohort vs SaaS Capital 2025 medians (same window). Calibration window: agreement is by design.</t>
  </si>
  <si>
    <t xml:space="preserve">Cut</t>
  </si>
  <si>
    <t xml:space="preserve">Accounts</t>
  </si>
  <si>
    <t xml:space="preserve">Our GRR</t>
  </si>
  <si>
    <t xml:space="preserve">Benchmark GRR</t>
  </si>
  <si>
    <t xml:space="preserve">GRR gap</t>
  </si>
  <si>
    <t xml:space="preserve">Our NRR</t>
  </si>
  <si>
    <t xml:space="preserve">Benchmark NRR</t>
  </si>
  <si>
    <t xml:space="preserve">NRR gap</t>
  </si>
  <si>
    <t xml:space="preserve">Note</t>
  </si>
  <si>
    <t xml:space="preserve">All private B2B SaaS &gt;$1M ARR</t>
  </si>
  <si>
    <t xml:space="preserve">Whole portfolio vs this benchmark group</t>
  </si>
  <si>
    <t xml:space="preserve">Bootstrapped</t>
  </si>
  <si>
    <t xml:space="preserve">Equity-backed</t>
  </si>
  <si>
    <t xml:space="preserve">ACV &lt;$12k</t>
  </si>
  <si>
    <t xml:space="preserve">ACV $12k-$25k</t>
  </si>
  <si>
    <t xml:space="preserve">ACV $25k-$50k</t>
  </si>
  <si>
    <t xml:space="preserve">ACV $50k-$100k</t>
  </si>
  <si>
    <t xml:space="preserve">ACV $100k-$250k</t>
  </si>
  <si>
    <t xml:space="preserve">ACV &gt;$250k</t>
  </si>
  <si>
    <t xml:space="preserve">Fewer than 30 accounts; not compared</t>
  </si>
  <si>
    <t xml:space="preserve">Annual contracts</t>
  </si>
  <si>
    <t xml:space="preserve">Month-to-month contracts</t>
  </si>
  <si>
    <t xml:space="preserve">Multi-year contracts</t>
  </si>
  <si>
    <t xml:space="preserve">Underwriting Forecast vs Actual (list ARR, $mm)</t>
  </si>
  <si>
    <t xml:space="preserve">Forecast and band set at close from pre-close months only; actuals after close.</t>
  </si>
  <si>
    <t xml:space="preserve">Month</t>
  </si>
  <si>
    <t xml:space="preserve">Base case</t>
  </si>
  <si>
    <t xml:space="preserve">Band low (p05)</t>
  </si>
  <si>
    <t xml:space="preserve">Band high (p95)</t>
  </si>
  <si>
    <t xml:space="preserve">Actual</t>
  </si>
  <si>
    <t xml:space="preserve">Base vs actual</t>
  </si>
  <si>
    <t xml:space="preserve">Inside 90% band</t>
  </si>
  <si>
    <t xml:space="preserve">2025-01</t>
  </si>
  <si>
    <t xml:space="preserve">2025-02</t>
  </si>
  <si>
    <t xml:space="preserve">2025-03</t>
  </si>
  <si>
    <t xml:space="preserve">2025-04</t>
  </si>
  <si>
    <t xml:space="preserve">2025-05</t>
  </si>
  <si>
    <t xml:space="preserve">2025-06</t>
  </si>
  <si>
    <t xml:space="preserve">2025-07</t>
  </si>
  <si>
    <t xml:space="preserve">2025-08</t>
  </si>
  <si>
    <t xml:space="preserve">2025-09</t>
  </si>
  <si>
    <t xml:space="preserve">2025-10</t>
  </si>
  <si>
    <t xml:space="preserve">2025-11</t>
  </si>
  <si>
    <t xml:space="preserve">2025-12</t>
  </si>
  <si>
    <t xml:space="preserve">2026-01</t>
  </si>
  <si>
    <t xml:space="preserve">2026-02</t>
  </si>
  <si>
    <t xml:space="preserve">2026-03</t>
  </si>
  <si>
    <t xml:space="preserve">2026-04</t>
  </si>
  <si>
    <t xml:space="preserve">2026-05</t>
  </si>
  <si>
    <t xml:space="preserve">2026-06</t>
  </si>
  <si>
    <t xml:space="preserve">2026-07</t>
  </si>
  <si>
    <t xml:space="preserve">Months inside the 90% band</t>
  </si>
  <si>
    <t xml:space="preserve">Forecast error at the last month</t>
  </si>
  <si>
    <t xml:space="preserve">Retention plan (diligence GRR/NRR held flat) vs actual rolling 12-month cohorts</t>
  </si>
  <si>
    <t xml:space="preserve">Period end</t>
  </si>
  <si>
    <t xml:space="preserve">Plan GRR</t>
  </si>
  <si>
    <t xml:space="preserve">Actual GRR</t>
  </si>
  <si>
    <t xml:space="preserve">GRR variance</t>
  </si>
  <si>
    <t xml:space="preserve">Plan NRR</t>
  </si>
  <si>
    <t xml:space="preserve">Actual NRR</t>
  </si>
  <si>
    <t xml:space="preserve">NRR variance</t>
  </si>
  <si>
    <t xml:space="preserve">Quarterly ARR Bridge ($mm, list price)</t>
  </si>
  <si>
    <t xml:space="preserve">Opening links to the prior quarter's closing; row 12 must be zero.</t>
  </si>
  <si>
    <t xml:space="preserve">$mm</t>
  </si>
  <si>
    <t xml:space="preserve">2022Q2</t>
  </si>
  <si>
    <t xml:space="preserve">2022Q3</t>
  </si>
  <si>
    <t xml:space="preserve">2022Q4</t>
  </si>
  <si>
    <t xml:space="preserve">2023Q1</t>
  </si>
  <si>
    <t xml:space="preserve">2023Q2</t>
  </si>
  <si>
    <t xml:space="preserve">2023Q3</t>
  </si>
  <si>
    <t xml:space="preserve">2023Q4</t>
  </si>
  <si>
    <t xml:space="preserve">2024Q1</t>
  </si>
  <si>
    <t xml:space="preserve">2024Q2</t>
  </si>
  <si>
    <t xml:space="preserve">2024Q3</t>
  </si>
  <si>
    <t xml:space="preserve">2024Q4</t>
  </si>
  <si>
    <t xml:space="preserve">2025Q1</t>
  </si>
  <si>
    <t xml:space="preserve">2025Q2</t>
  </si>
  <si>
    <t xml:space="preserve">2025Q3</t>
  </si>
  <si>
    <t xml:space="preserve">2025Q4</t>
  </si>
  <si>
    <t xml:space="preserve">2026Q1</t>
  </si>
  <si>
    <t xml:space="preserve">2026Q2</t>
  </si>
  <si>
    <t xml:space="preserve">Opening ARR</t>
  </si>
  <si>
    <t xml:space="preserve">New logo ARR</t>
  </si>
  <si>
    <t xml:space="preserve">Expansion ARR</t>
  </si>
  <si>
    <t xml:space="preserve">Contraction ARR</t>
  </si>
  <si>
    <t xml:space="preserve">Churned ARR</t>
  </si>
  <si>
    <t xml:space="preserve">Closing ARR (roll-forward)</t>
  </si>
  <si>
    <t xml:space="preserve">Closing ARR per SQL mart</t>
  </si>
  <si>
    <t xml:space="preserve">Check: roll-forward minus mart</t>
  </si>
  <si>
    <t xml:space="preserve">Growth quality ratios</t>
  </si>
  <si>
    <t xml:space="preserve">Net new ARR</t>
  </si>
  <si>
    <t xml:space="preserve">Gross new ARR (new + expansion)</t>
  </si>
  <si>
    <t xml:space="preserve">Expansion share of gross new ARR</t>
  </si>
  <si>
    <t xml:space="preserve">Quarterly gross retention (bridge)</t>
  </si>
  <si>
    <t xml:space="preserve">Quarterly net retention (bridge)</t>
  </si>
  <si>
    <t xml:space="preserve">Quick ratio (gross new / gross losses)</t>
  </si>
  <si>
    <t xml:space="preserve">ARR growth, QoQ</t>
  </si>
  <si>
    <t xml:space="preserve">ARR growth, YoY</t>
  </si>
  <si>
    <t xml:space="preserve">Trailing four quarters</t>
  </si>
  <si>
    <t xml:space="preserve">Metric</t>
  </si>
  <si>
    <t xml:space="preserve">TTM</t>
  </si>
  <si>
    <t xml:space="preserve">Variance</t>
  </si>
  <si>
    <t xml:space="preserve">Opening ARR four quarters ago</t>
  </si>
  <si>
    <t xml:space="preserve">Contraction + churn ARR</t>
  </si>
  <si>
    <t xml:space="preserve">Closing ARR</t>
  </si>
  <si>
    <t xml:space="preserve">Gross loss rate on opening ARR (bridge, includes in-year cohorts)</t>
  </si>
  <si>
    <t xml:space="preserve">The bridge loss rate is not GRR: it includes losses from customers acquired during the year. Cohort GRR is on the Retention sheet.</t>
  </si>
  <si>
    <t xml:space="preserve">12-Month Cohort Retention (list MRR)</t>
  </si>
  <si>
    <t xml:space="preserve">Accounts active at Jul 2025, measured at Jul 2026. Groups under 30 accounts suppressed.</t>
  </si>
  <si>
    <t xml:space="preserve">Cohort</t>
  </si>
  <si>
    <t xml:space="preserve">Start ARR ($mm)</t>
  </si>
  <si>
    <t xml:space="preserve">12m GRR</t>
  </si>
  <si>
    <t xml:space="preserve">12m NRR</t>
  </si>
  <si>
    <t xml:space="preserve">Logo churn</t>
  </si>
  <si>
    <t xml:space="preserve">GRR vs SaaS Capital</t>
  </si>
  <si>
    <t xml:space="preserve">GRR vs Benchmarkit</t>
  </si>
  <si>
    <t xml:space="preserve">NRR vs SaaS Capital</t>
  </si>
  <si>
    <t xml:space="preserve">Portfolio</t>
  </si>
  <si>
    <t xml:space="preserve">segment: Enterprise</t>
  </si>
  <si>
    <t xml:space="preserve">segment: Mid-Market</t>
  </si>
  <si>
    <t xml:space="preserve">segment: SMB</t>
  </si>
  <si>
    <t xml:space="preserve">pricing model: hybrid</t>
  </si>
  <si>
    <t xml:space="preserve">pricing model: seat</t>
  </si>
  <si>
    <t xml:space="preserve">pricing model: usage</t>
  </si>
  <si>
    <t xml:space="preserve">contract term months: 1</t>
  </si>
  <si>
    <t xml:space="preserve">contract term months: 12</t>
  </si>
  <si>
    <t xml:space="preserve">contract term months: 24</t>
  </si>
  <si>
    <t xml:space="preserve">contract term months: 36</t>
  </si>
  <si>
    <t xml:space="preserve">channel: Inbound</t>
  </si>
  <si>
    <t xml:space="preserve">channel: Outbound</t>
  </si>
  <si>
    <t xml:space="preserve">channel: Paid</t>
  </si>
  <si>
    <t xml:space="preserve">channel: Partner</t>
  </si>
  <si>
    <t xml:space="preserve">channel: Self-serve</t>
  </si>
  <si>
    <t xml:space="preserve">industry: Cybersecurity</t>
  </si>
  <si>
    <t xml:space="preserve">industry: Education</t>
  </si>
  <si>
    <t xml:space="preserve">industry: Fintech</t>
  </si>
  <si>
    <t xml:space="preserve">industry: Healthcare</t>
  </si>
  <si>
    <t xml:space="preserve">industry: Logistics</t>
  </si>
  <si>
    <t xml:space="preserve">industry: Manufacturing</t>
  </si>
  <si>
    <t xml:space="preserve">industry: Retail</t>
  </si>
  <si>
    <t xml:space="preserve">Usage minus seat NRR (pp)</t>
  </si>
  <si>
    <t xml:space="preserve">Benchmarkit 2026 gap in column C</t>
  </si>
  <si>
    <t xml:space="preserve">Definition trap: monthly retention compounded vs 12-month cohort</t>
  </si>
  <si>
    <t xml:space="preserve">Measure</t>
  </si>
  <si>
    <t xml:space="preserve">Average monthly GRR, last 12 months (Monthly_Bridge)</t>
  </si>
  <si>
    <t xml:space="preserve">Average monthly NRR, last 12 months</t>
  </si>
  <si>
    <t xml:space="preserve">Monthly GRR compounded to 12 months</t>
  </si>
  <si>
    <t xml:space="preserve">Monthly NRR compounded to 12 months</t>
  </si>
  <si>
    <t xml:space="preserve">12-month cohort GRR (row 5)</t>
  </si>
  <si>
    <t xml:space="preserve">12-month cohort NRR (row 5)</t>
  </si>
  <si>
    <t xml:space="preserve">Compounded monthly GRR sits well below cohort GRR. Two mechanisms are likely, not decomposed here: each monthly usage dip is booked as contraction and the recovery as expansion, and the monthly base includes in-year new logos, which churn more. A monthly GRR near 99% must not be compared with an annual benchmark.</t>
  </si>
  <si>
    <t xml:space="preserve">Customer Concentration (billed ARR, July 2026)</t>
  </si>
  <si>
    <t xml:space="preserve">All formulas read Customer_ARR; HHI on a 0 to 10,000 scale.</t>
  </si>
  <si>
    <t xml:space="preserve">Active customers</t>
  </si>
  <si>
    <t xml:space="preserve">Total billed ARR ($)</t>
  </si>
  <si>
    <t xml:space="preserve">Largest customer share</t>
  </si>
  <si>
    <t xml:space="preserve">Top 10 share</t>
  </si>
  <si>
    <t xml:space="preserve">Top 20 share</t>
  </si>
  <si>
    <t xml:space="preserve">Top 50 share</t>
  </si>
  <si>
    <t xml:space="preserve">Top 10% of customers, count</t>
  </si>
  <si>
    <t xml:space="preserve">Top 10% of customers, ARR share (list sorted descending)</t>
  </si>
  <si>
    <t xml:space="preserve">Equivalent number of equal-sized customers (10,000 / HHI)</t>
  </si>
  <si>
    <t xml:space="preserve">A single-account share this low is a property of the simulated size distribution; in real diligence concentration is often the first red flag, so the test matters more than this result.</t>
  </si>
  <si>
    <t xml:space="preserve">ARR by segment</t>
  </si>
  <si>
    <t xml:space="preserve">Segment</t>
  </si>
  <si>
    <t xml:space="preserve">Customers</t>
  </si>
  <si>
    <t xml:space="preserve">Billed ARR ($)</t>
  </si>
  <si>
    <t xml:space="preserve">Share</t>
  </si>
  <si>
    <t xml:space="preserve">Enterprise</t>
  </si>
  <si>
    <t xml:space="preserve">Mid-Market</t>
  </si>
  <si>
    <t xml:space="preserve">SMB</t>
  </si>
  <si>
    <t xml:space="preserve">Top 20 customers</t>
  </si>
  <si>
    <t xml:space="preserve">Customer</t>
  </si>
  <si>
    <t xml:space="preserve">Industry</t>
  </si>
  <si>
    <t xml:space="preserve">Cumulative</t>
  </si>
  <si>
    <t xml:space="preserve">Months to renewal</t>
  </si>
  <si>
    <t xml:space="preserve">Discount</t>
  </si>
  <si>
    <t xml:space="preserve">Concentration trend (quarter-end months)</t>
  </si>
  <si>
    <t xml:space="preserve">Top 10% of customers share</t>
  </si>
  <si>
    <t xml:space="preserve">2022-03-01</t>
  </si>
  <si>
    <t xml:space="preserve">2022-06-01</t>
  </si>
  <si>
    <t xml:space="preserve">2022-09-01</t>
  </si>
  <si>
    <t xml:space="preserve">2022-12-01</t>
  </si>
  <si>
    <t xml:space="preserve">2023-03-01</t>
  </si>
  <si>
    <t xml:space="preserve">2023-06-01</t>
  </si>
  <si>
    <t xml:space="preserve">2023-09-01</t>
  </si>
  <si>
    <t xml:space="preserve">2023-12-01</t>
  </si>
  <si>
    <t xml:space="preserve">2024-03-01</t>
  </si>
  <si>
    <t xml:space="preserve">2024-06-01</t>
  </si>
  <si>
    <t xml:space="preserve">2024-09-01</t>
  </si>
  <si>
    <t xml:space="preserve">2024-12-01</t>
  </si>
  <si>
    <t xml:space="preserve">2025-03-01</t>
  </si>
  <si>
    <t xml:space="preserve">2025-06-01</t>
  </si>
  <si>
    <t xml:space="preserve">2025-09-01</t>
  </si>
  <si>
    <t xml:space="preserve">2025-12-01</t>
  </si>
  <si>
    <t xml:space="preserve">2026-03-01</t>
  </si>
  <si>
    <t xml:space="preserve">2026-06-01</t>
  </si>
  <si>
    <t xml:space="preserve">2026-07-01</t>
  </si>
  <si>
    <t xml:space="preserve">Revenue, Invoicing and Collections ($mm)</t>
  </si>
  <si>
    <t xml:space="preserve">Monthly billing; cash dated at invoice + one month + days late; failed invoices never collected.</t>
  </si>
  <si>
    <t xml:space="preserve">2022Q1</t>
  </si>
  <si>
    <t xml:space="preserve">Recognized revenue</t>
  </si>
  <si>
    <t xml:space="preserve">Invoiced</t>
  </si>
  <si>
    <t xml:space="preserve">Check: invoiced minus revenue</t>
  </si>
  <si>
    <t xml:space="preserve">Failed, never collected</t>
  </si>
  <si>
    <t xml:space="preserve">Collectible invoices</t>
  </si>
  <si>
    <t xml:space="preserve">Cash collected</t>
  </si>
  <si>
    <t xml:space="preserve">Opening receivables</t>
  </si>
  <si>
    <t xml:space="preserve">Closing receivables (roll-forward)</t>
  </si>
  <si>
    <t xml:space="preserve">Closing receivables per ledger</t>
  </si>
  <si>
    <t xml:space="preserve">Check: roll-forward minus ledger</t>
  </si>
  <si>
    <t xml:space="preserve">Ending billed ARR</t>
  </si>
  <si>
    <t xml:space="preserve">Cash conversion (cash / revenue)</t>
  </si>
  <si>
    <t xml:space="preserve">Failed collections, % of revenue</t>
  </si>
  <si>
    <t xml:space="preserve">DSO (days)</t>
  </si>
  <si>
    <t xml:space="preserve">Run-rate conversion (revenue x 4 / ending ARR)</t>
  </si>
  <si>
    <t xml:space="preserve">The first quarter's opening receivables are zero because no invoices exist before January 2023.</t>
  </si>
  <si>
    <t xml:space="preserve">Every account is billed monthly, so deferred revenue is zero by construction; with annual upfront billing a deferred-revenue line would sit between ARR and cash.</t>
  </si>
  <si>
    <t xml:space="preserve">ARR by Renewal Window ($mm, billed, July 2026)</t>
  </si>
  <si>
    <t xml:space="preserve">Committed contracts by the quarter they renew; monthly contracts can leave any month.</t>
  </si>
  <si>
    <t xml:space="preserve">Renewal window</t>
  </si>
  <si>
    <t xml:space="preserve">Total</t>
  </si>
  <si>
    <t xml:space="preserve">2026Q3 (Aug to Sep)</t>
  </si>
  <si>
    <t xml:space="preserve">2026Q4</t>
  </si>
  <si>
    <t xml:space="preserve">2027Q1</t>
  </si>
  <si>
    <t xml:space="preserve">2027Q2</t>
  </si>
  <si>
    <t xml:space="preserve">2027Q3 (Jul only)</t>
  </si>
  <si>
    <t xml:space="preserve">Beyond 12 months</t>
  </si>
  <si>
    <t xml:space="preserve">Monthly (any month)</t>
  </si>
  <si>
    <t xml:space="preserve">Total billed ARR</t>
  </si>
  <si>
    <t xml:space="preserve">Expected ARR not renewed, next 12 months</t>
  </si>
  <si>
    <t xml:space="preserve">Line</t>
  </si>
  <si>
    <t xml:space="preserve">Committed ARR renewing in next 12 months</t>
  </si>
  <si>
    <t xml:space="preserve">Non-renewal rate, contracts ending Aug 2025 to Jun 2026</t>
  </si>
  <si>
    <t xml:space="preserve">Expected committed ARR not renewed</t>
  </si>
  <si>
    <t xml:space="preserve">Monthly-contract ARR</t>
  </si>
  <si>
    <t xml:space="preserve">12-month gross loss rate, monthly contracts (1 - GRR)</t>
  </si>
  <si>
    <t xml:space="preserve">Expected monthly-contract ARR lost</t>
  </si>
  <si>
    <t xml:space="preserve">Total expected ARR lost, 12 months</t>
  </si>
  <si>
    <t xml:space="preserve">As % of total billed ARR</t>
  </si>
  <si>
    <t xml:space="preserve">Ignores contraction at renewal and early termination, so it understates gross loss; compare with 1 - portfolio GRR on the Retention sheet.</t>
  </si>
  <si>
    <t xml:space="preserve">Forward 12-Month ARR Sensitivity ($mm, list price)</t>
  </si>
  <si>
    <t xml:space="preserve">Ending ARR = opening ARR x (GRR + expansion rate) + new logo ARR. Rows vary GRR, columns vary expansion.</t>
  </si>
  <si>
    <t xml:space="preserve">Driver</t>
  </si>
  <si>
    <t xml:space="preserve">Source</t>
  </si>
  <si>
    <t xml:space="preserve">Opening ARR (latest quarter close)</t>
  </si>
  <si>
    <t xml:space="preserve">Base 12m GRR (portfolio cohort)</t>
  </si>
  <si>
    <t xml:space="preserve">Base expansion rate (NRR - GRR)</t>
  </si>
  <si>
    <t xml:space="preserve">New logo ARR, TTM</t>
  </si>
  <si>
    <t xml:space="preserve">Gross margin</t>
  </si>
  <si>
    <t xml:space="preserve">Base-case ending ARR</t>
  </si>
  <si>
    <t xml:space="preserve">Formula</t>
  </si>
  <si>
    <t xml:space="preserve">Base-case ARR growth</t>
  </si>
  <si>
    <t xml:space="preserve">Value of 1pt of GRR: ARR ($mm)</t>
  </si>
  <si>
    <t xml:space="preserve">Value of 1pt of GRR: annual gross profit ($mm)</t>
  </si>
  <si>
    <t xml:space="preserve">Ending ARR ($mm): GRR (rows) x expansion rate (columns)</t>
  </si>
  <si>
    <t xml:space="preserve">GRR \ expansion</t>
  </si>
  <si>
    <t xml:space="preserve">GRR rows are inputs (blue); column headers step the base expansion rate by 2pp. 84% and 91% bracket the Benchmarkit and SaaS Capital medians.</t>
  </si>
  <si>
    <t xml:space="preserve">ARR growth vs base case</t>
  </si>
  <si>
    <t xml:space="preserve">Account-Level ARR at July 2026 ($)</t>
  </si>
  <si>
    <t xml:space="preserve">Sorted by billed ARR, descending. Billed ARR = 12 x billed MRR.</t>
  </si>
  <si>
    <t xml:space="preserve">Channel</t>
  </si>
  <si>
    <t xml:space="preserve">Pricing</t>
  </si>
  <si>
    <t xml:space="preserve">Term (months)</t>
  </si>
  <si>
    <t xml:space="preserve">Billed ARR</t>
  </si>
  <si>
    <t xml:space="preserve">List ARR</t>
  </si>
  <si>
    <t xml:space="preserve">C00873</t>
  </si>
  <si>
    <t xml:space="preserve">Education</t>
  </si>
  <si>
    <t xml:space="preserve">Outbound</t>
  </si>
  <si>
    <t xml:space="preserve">usage</t>
  </si>
  <si>
    <t xml:space="preserve">C00435</t>
  </si>
  <si>
    <t xml:space="preserve">Retail</t>
  </si>
  <si>
    <t xml:space="preserve">hybrid</t>
  </si>
  <si>
    <t xml:space="preserve">C00720</t>
  </si>
  <si>
    <t xml:space="preserve">Manufacturing</t>
  </si>
  <si>
    <t xml:space="preserve">Partner</t>
  </si>
  <si>
    <t xml:space="preserve">C00127</t>
  </si>
  <si>
    <t xml:space="preserve">C01662</t>
  </si>
  <si>
    <t xml:space="preserve">Unknown</t>
  </si>
  <si>
    <t xml:space="preserve">Inbound</t>
  </si>
  <si>
    <t xml:space="preserve">C02577</t>
  </si>
  <si>
    <t xml:space="preserve">C00911</t>
  </si>
  <si>
    <t xml:space="preserve">C02271</t>
  </si>
  <si>
    <t xml:space="preserve">Logistics</t>
  </si>
  <si>
    <t xml:space="preserve">C01211</t>
  </si>
  <si>
    <t xml:space="preserve">seat</t>
  </si>
  <si>
    <t xml:space="preserve">C02178</t>
  </si>
  <si>
    <t xml:space="preserve">C00416</t>
  </si>
  <si>
    <t xml:space="preserve">Fintech</t>
  </si>
  <si>
    <t xml:space="preserve">C01234</t>
  </si>
  <si>
    <t xml:space="preserve">Healthcare</t>
  </si>
  <si>
    <t xml:space="preserve">C01591</t>
  </si>
  <si>
    <t xml:space="preserve">Cybersecurity</t>
  </si>
  <si>
    <t xml:space="preserve">C01224</t>
  </si>
  <si>
    <t xml:space="preserve">C02954</t>
  </si>
  <si>
    <t xml:space="preserve">C01896</t>
  </si>
  <si>
    <t xml:space="preserve">C00484</t>
  </si>
  <si>
    <t xml:space="preserve">C00442</t>
  </si>
  <si>
    <t xml:space="preserve">C01354</t>
  </si>
  <si>
    <t xml:space="preserve">C00480</t>
  </si>
  <si>
    <t xml:space="preserve">C00065</t>
  </si>
  <si>
    <t xml:space="preserve">C00736</t>
  </si>
  <si>
    <t xml:space="preserve">C00607</t>
  </si>
  <si>
    <t xml:space="preserve">C00802</t>
  </si>
  <si>
    <t xml:space="preserve">C01643</t>
  </si>
  <si>
    <t xml:space="preserve">Paid</t>
  </si>
  <si>
    <t xml:space="preserve">C02416</t>
  </si>
  <si>
    <t xml:space="preserve">C02542</t>
  </si>
  <si>
    <t xml:space="preserve">C00194</t>
  </si>
  <si>
    <t xml:space="preserve">C02497</t>
  </si>
  <si>
    <t xml:space="preserve">C01160</t>
  </si>
  <si>
    <t xml:space="preserve">C01246</t>
  </si>
  <si>
    <t xml:space="preserve">C01190</t>
  </si>
  <si>
    <t xml:space="preserve">C01022</t>
  </si>
  <si>
    <t xml:space="preserve">C00693</t>
  </si>
  <si>
    <t xml:space="preserve">C02177</t>
  </si>
  <si>
    <t xml:space="preserve">C00743</t>
  </si>
  <si>
    <t xml:space="preserve">C01178</t>
  </si>
  <si>
    <t xml:space="preserve">C02103</t>
  </si>
  <si>
    <t xml:space="preserve">C03437</t>
  </si>
  <si>
    <t xml:space="preserve">C02730</t>
  </si>
  <si>
    <t xml:space="preserve">C00456</t>
  </si>
  <si>
    <t xml:space="preserve">C00378</t>
  </si>
  <si>
    <t xml:space="preserve">C01598</t>
  </si>
  <si>
    <t xml:space="preserve">C01539</t>
  </si>
  <si>
    <t xml:space="preserve">C02763</t>
  </si>
  <si>
    <t xml:space="preserve">C00645</t>
  </si>
  <si>
    <t xml:space="preserve">C01192</t>
  </si>
  <si>
    <t xml:space="preserve">C01571</t>
  </si>
  <si>
    <t xml:space="preserve">C00994</t>
  </si>
  <si>
    <t xml:space="preserve">C01650</t>
  </si>
  <si>
    <t xml:space="preserve">C00957</t>
  </si>
  <si>
    <t xml:space="preserve">C03714</t>
  </si>
  <si>
    <t xml:space="preserve">C02175</t>
  </si>
  <si>
    <t xml:space="preserve">C00238</t>
  </si>
  <si>
    <t xml:space="preserve">C01644</t>
  </si>
  <si>
    <t xml:space="preserve">C00354</t>
  </si>
  <si>
    <t xml:space="preserve">C01440</t>
  </si>
  <si>
    <t xml:space="preserve">C01139</t>
  </si>
  <si>
    <t xml:space="preserve">C00491</t>
  </si>
  <si>
    <t xml:space="preserve">C00818</t>
  </si>
  <si>
    <t xml:space="preserve">C01867</t>
  </si>
  <si>
    <t xml:space="preserve">C01880</t>
  </si>
  <si>
    <t xml:space="preserve">C00919</t>
  </si>
  <si>
    <t xml:space="preserve">C03020</t>
  </si>
  <si>
    <t xml:space="preserve">C03006</t>
  </si>
  <si>
    <t xml:space="preserve">C00350</t>
  </si>
  <si>
    <t xml:space="preserve">C01821</t>
  </si>
  <si>
    <t xml:space="preserve">C00803</t>
  </si>
  <si>
    <t xml:space="preserve">C03770</t>
  </si>
  <si>
    <t xml:space="preserve">C00954</t>
  </si>
  <si>
    <t xml:space="preserve">C00639</t>
  </si>
  <si>
    <t xml:space="preserve">C02699</t>
  </si>
  <si>
    <t xml:space="preserve">C01226</t>
  </si>
  <si>
    <t xml:space="preserve">C04480</t>
  </si>
  <si>
    <t xml:space="preserve">C01152</t>
  </si>
  <si>
    <t xml:space="preserve">C00699</t>
  </si>
  <si>
    <t xml:space="preserve">C00531</t>
  </si>
  <si>
    <t xml:space="preserve">C02413</t>
  </si>
  <si>
    <t xml:space="preserve">C02041</t>
  </si>
  <si>
    <t xml:space="preserve">C02038</t>
  </si>
  <si>
    <t xml:space="preserve">C03493</t>
  </si>
  <si>
    <t xml:space="preserve">C03161</t>
  </si>
  <si>
    <t xml:space="preserve">C03699</t>
  </si>
  <si>
    <t xml:space="preserve">C02402</t>
  </si>
  <si>
    <t xml:space="preserve">C00998</t>
  </si>
  <si>
    <t xml:space="preserve">C02807</t>
  </si>
  <si>
    <t xml:space="preserve">C00562</t>
  </si>
  <si>
    <t xml:space="preserve">C01904</t>
  </si>
  <si>
    <t xml:space="preserve">C00419</t>
  </si>
  <si>
    <t xml:space="preserve">C01552</t>
  </si>
  <si>
    <t xml:space="preserve">C01464</t>
  </si>
  <si>
    <t xml:space="preserve">C01110</t>
  </si>
  <si>
    <t xml:space="preserve">C01081</t>
  </si>
  <si>
    <t xml:space="preserve">C00865</t>
  </si>
  <si>
    <t xml:space="preserve">C00601</t>
  </si>
  <si>
    <t xml:space="preserve">C03170</t>
  </si>
  <si>
    <t xml:space="preserve">C02989</t>
  </si>
  <si>
    <t xml:space="preserve">C00522</t>
  </si>
  <si>
    <t xml:space="preserve">C04470</t>
  </si>
  <si>
    <t xml:space="preserve">C00179</t>
  </si>
  <si>
    <t xml:space="preserve">C00757</t>
  </si>
  <si>
    <t xml:space="preserve">C01636</t>
  </si>
  <si>
    <t xml:space="preserve">C03269</t>
  </si>
  <si>
    <t xml:space="preserve">C02721</t>
  </si>
  <si>
    <t xml:space="preserve">C01262</t>
  </si>
  <si>
    <t xml:space="preserve">C00992</t>
  </si>
  <si>
    <t xml:space="preserve">C03758</t>
  </si>
  <si>
    <t xml:space="preserve">C01095</t>
  </si>
  <si>
    <t xml:space="preserve">C00625</t>
  </si>
  <si>
    <t xml:space="preserve">C02396</t>
  </si>
  <si>
    <t xml:space="preserve">C02159</t>
  </si>
  <si>
    <t xml:space="preserve">C04512</t>
  </si>
  <si>
    <t xml:space="preserve">C02776</t>
  </si>
  <si>
    <t xml:space="preserve">C02322</t>
  </si>
  <si>
    <t xml:space="preserve">C02135</t>
  </si>
  <si>
    <t xml:space="preserve">C00811</t>
  </si>
  <si>
    <t xml:space="preserve">C02520</t>
  </si>
  <si>
    <t xml:space="preserve">C00270</t>
  </si>
  <si>
    <t xml:space="preserve">C00999</t>
  </si>
  <si>
    <t xml:space="preserve">C00637</t>
  </si>
  <si>
    <t xml:space="preserve">C01824</t>
  </si>
  <si>
    <t xml:space="preserve">C00464</t>
  </si>
  <si>
    <t xml:space="preserve">C02481</t>
  </si>
  <si>
    <t xml:space="preserve">C03118</t>
  </si>
  <si>
    <t xml:space="preserve">C02576</t>
  </si>
  <si>
    <t xml:space="preserve">C03874</t>
  </si>
  <si>
    <t xml:space="preserve">C04461</t>
  </si>
  <si>
    <t xml:space="preserve">C01675</t>
  </si>
  <si>
    <t xml:space="preserve">C00018</t>
  </si>
  <si>
    <t xml:space="preserve">C01050</t>
  </si>
  <si>
    <t xml:space="preserve">C02597</t>
  </si>
  <si>
    <t xml:space="preserve">C01065</t>
  </si>
  <si>
    <t xml:space="preserve">C04200</t>
  </si>
  <si>
    <t xml:space="preserve">C02562</t>
  </si>
  <si>
    <t xml:space="preserve">C01370</t>
  </si>
  <si>
    <t xml:space="preserve">C01572</t>
  </si>
  <si>
    <t xml:space="preserve">C00608</t>
  </si>
  <si>
    <t xml:space="preserve">C00888</t>
  </si>
  <si>
    <t xml:space="preserve">C00301</t>
  </si>
  <si>
    <t xml:space="preserve">C01793</t>
  </si>
  <si>
    <t xml:space="preserve">C03280</t>
  </si>
  <si>
    <t xml:space="preserve">C01355</t>
  </si>
  <si>
    <t xml:space="preserve">C01815</t>
  </si>
  <si>
    <t xml:space="preserve">C00709</t>
  </si>
  <si>
    <t xml:space="preserve">C01927</t>
  </si>
  <si>
    <t xml:space="preserve">C02485</t>
  </si>
  <si>
    <t xml:space="preserve">C02622</t>
  </si>
  <si>
    <t xml:space="preserve">C03957</t>
  </si>
  <si>
    <t xml:space="preserve">C00876</t>
  </si>
  <si>
    <t xml:space="preserve">C01408</t>
  </si>
  <si>
    <t xml:space="preserve">C02896</t>
  </si>
  <si>
    <t xml:space="preserve">C01547</t>
  </si>
  <si>
    <t xml:space="preserve">C03779</t>
  </si>
  <si>
    <t xml:space="preserve">C02926</t>
  </si>
  <si>
    <t xml:space="preserve">C01259</t>
  </si>
  <si>
    <t xml:space="preserve">C03777</t>
  </si>
  <si>
    <t xml:space="preserve">C00058</t>
  </si>
  <si>
    <t xml:space="preserve">C02789</t>
  </si>
  <si>
    <t xml:space="preserve">C00210</t>
  </si>
  <si>
    <t xml:space="preserve">C04546</t>
  </si>
  <si>
    <t xml:space="preserve">C00043</t>
  </si>
  <si>
    <t xml:space="preserve">C01016</t>
  </si>
  <si>
    <t xml:space="preserve">C00315</t>
  </si>
  <si>
    <t xml:space="preserve">C00559</t>
  </si>
  <si>
    <t xml:space="preserve">C01030</t>
  </si>
  <si>
    <t xml:space="preserve">C02665</t>
  </si>
  <si>
    <t xml:space="preserve">C03265</t>
  </si>
  <si>
    <t xml:space="preserve">C00537</t>
  </si>
  <si>
    <t xml:space="preserve">C03718</t>
  </si>
  <si>
    <t xml:space="preserve">C00011</t>
  </si>
  <si>
    <t xml:space="preserve">C03224</t>
  </si>
  <si>
    <t xml:space="preserve">C01693</t>
  </si>
  <si>
    <t xml:space="preserve">C00533</t>
  </si>
  <si>
    <t xml:space="preserve">C02884</t>
  </si>
  <si>
    <t xml:space="preserve">C03623</t>
  </si>
  <si>
    <t xml:space="preserve">C01335</t>
  </si>
  <si>
    <t xml:space="preserve">C00389</t>
  </si>
  <si>
    <t xml:space="preserve">C00900</t>
  </si>
  <si>
    <t xml:space="preserve">C01456</t>
  </si>
  <si>
    <t xml:space="preserve">C01655</t>
  </si>
  <si>
    <t xml:space="preserve">C00025</t>
  </si>
  <si>
    <t xml:space="preserve">C03325</t>
  </si>
  <si>
    <t xml:space="preserve">C00312</t>
  </si>
  <si>
    <t xml:space="preserve">C03681</t>
  </si>
  <si>
    <t xml:space="preserve">C04169</t>
  </si>
  <si>
    <t xml:space="preserve">C00546</t>
  </si>
  <si>
    <t xml:space="preserve">C01185</t>
  </si>
  <si>
    <t xml:space="preserve">C01177</t>
  </si>
  <si>
    <t xml:space="preserve">C02069</t>
  </si>
  <si>
    <t xml:space="preserve">C04219</t>
  </si>
  <si>
    <t xml:space="preserve">C04129</t>
  </si>
  <si>
    <t xml:space="preserve">C04532</t>
  </si>
  <si>
    <t xml:space="preserve">C02984</t>
  </si>
  <si>
    <t xml:space="preserve">C00429</t>
  </si>
  <si>
    <t xml:space="preserve">C02863</t>
  </si>
  <si>
    <t xml:space="preserve">C01624</t>
  </si>
  <si>
    <t xml:space="preserve">C04312</t>
  </si>
  <si>
    <t xml:space="preserve">C01105</t>
  </si>
  <si>
    <t xml:space="preserve">C02545</t>
  </si>
  <si>
    <t xml:space="preserve">C00990</t>
  </si>
  <si>
    <t xml:space="preserve">C02734</t>
  </si>
  <si>
    <t xml:space="preserve">C02259</t>
  </si>
  <si>
    <t xml:space="preserve">C00329</t>
  </si>
  <si>
    <t xml:space="preserve">C01952</t>
  </si>
  <si>
    <t xml:space="preserve">C00750</t>
  </si>
  <si>
    <t xml:space="preserve">C02475</t>
  </si>
  <si>
    <t xml:space="preserve">C03312</t>
  </si>
  <si>
    <t xml:space="preserve">C03996</t>
  </si>
  <si>
    <t xml:space="preserve">C04013</t>
  </si>
  <si>
    <t xml:space="preserve">C02613</t>
  </si>
  <si>
    <t xml:space="preserve">C03072</t>
  </si>
  <si>
    <t xml:space="preserve">C04521</t>
  </si>
  <si>
    <t xml:space="preserve">C03519</t>
  </si>
  <si>
    <t xml:space="preserve">C00433</t>
  </si>
  <si>
    <t xml:space="preserve">C03683</t>
  </si>
  <si>
    <t xml:space="preserve">C04165</t>
  </si>
  <si>
    <t xml:space="preserve">C02584</t>
  </si>
  <si>
    <t xml:space="preserve">C01614</t>
  </si>
  <si>
    <t xml:space="preserve">C01727</t>
  </si>
  <si>
    <t xml:space="preserve">C02480</t>
  </si>
  <si>
    <t xml:space="preserve">C02707</t>
  </si>
  <si>
    <t xml:space="preserve">C02764</t>
  </si>
  <si>
    <t xml:space="preserve">C02316</t>
  </si>
  <si>
    <t xml:space="preserve">C01033</t>
  </si>
  <si>
    <t xml:space="preserve">C00066</t>
  </si>
  <si>
    <t xml:space="preserve">C04423</t>
  </si>
  <si>
    <t xml:space="preserve">C03805</t>
  </si>
  <si>
    <t xml:space="preserve">C00293</t>
  </si>
  <si>
    <t xml:space="preserve">C00630</t>
  </si>
  <si>
    <t xml:space="preserve">C00918</t>
  </si>
  <si>
    <t xml:space="preserve">C02408</t>
  </si>
  <si>
    <t xml:space="preserve">C00746</t>
  </si>
  <si>
    <t xml:space="preserve">C01424</t>
  </si>
  <si>
    <t xml:space="preserve">C00030</t>
  </si>
  <si>
    <t xml:space="preserve">C03311</t>
  </si>
  <si>
    <t xml:space="preserve">C00896</t>
  </si>
  <si>
    <t xml:space="preserve">C03553</t>
  </si>
  <si>
    <t xml:space="preserve">C01701</t>
  </si>
  <si>
    <t xml:space="preserve">C00458</t>
  </si>
  <si>
    <t xml:space="preserve">C04227</t>
  </si>
  <si>
    <t xml:space="preserve">C00308</t>
  </si>
  <si>
    <t xml:space="preserve">C01469</t>
  </si>
  <si>
    <t xml:space="preserve">C01403</t>
  </si>
  <si>
    <t xml:space="preserve">C01364</t>
  </si>
  <si>
    <t xml:space="preserve">C04106</t>
  </si>
  <si>
    <t xml:space="preserve">C02914</t>
  </si>
  <si>
    <t xml:space="preserve">C04039</t>
  </si>
  <si>
    <t xml:space="preserve">C01579</t>
  </si>
  <si>
    <t xml:space="preserve">C00164</t>
  </si>
  <si>
    <t xml:space="preserve">C01783</t>
  </si>
  <si>
    <t xml:space="preserve">C01508</t>
  </si>
  <si>
    <t xml:space="preserve">C01089</t>
  </si>
  <si>
    <t xml:space="preserve">C04505</t>
  </si>
  <si>
    <t xml:space="preserve">C03708</t>
  </si>
  <si>
    <t xml:space="preserve">C01772</t>
  </si>
  <si>
    <t xml:space="preserve">C00679</t>
  </si>
  <si>
    <t xml:space="preserve">C02067</t>
  </si>
  <si>
    <t xml:space="preserve">C03150</t>
  </si>
  <si>
    <t xml:space="preserve">C00758</t>
  </si>
  <si>
    <t xml:space="preserve">C03597</t>
  </si>
  <si>
    <t xml:space="preserve">C00797</t>
  </si>
  <si>
    <t xml:space="preserve">C00745</t>
  </si>
  <si>
    <t xml:space="preserve">C01692</t>
  </si>
  <si>
    <t xml:space="preserve">C00447</t>
  </si>
  <si>
    <t xml:space="preserve">C00906</t>
  </si>
  <si>
    <t xml:space="preserve">C02948</t>
  </si>
  <si>
    <t xml:space="preserve">C04166</t>
  </si>
  <si>
    <t xml:space="preserve">C00078</t>
  </si>
  <si>
    <t xml:space="preserve">C03939</t>
  </si>
  <si>
    <t xml:space="preserve">C02552</t>
  </si>
  <si>
    <t xml:space="preserve">C00129</t>
  </si>
  <si>
    <t xml:space="preserve">C00405</t>
  </si>
  <si>
    <t xml:space="preserve">C02283</t>
  </si>
  <si>
    <t xml:space="preserve">C02770</t>
  </si>
  <si>
    <t xml:space="preserve">C04533</t>
  </si>
  <si>
    <t xml:space="preserve">C03327</t>
  </si>
  <si>
    <t xml:space="preserve">C00204</t>
  </si>
  <si>
    <t xml:space="preserve">C02572</t>
  </si>
  <si>
    <t xml:space="preserve">C02161</t>
  </si>
  <si>
    <t xml:space="preserve">C02610</t>
  </si>
  <si>
    <t xml:space="preserve">C04164</t>
  </si>
  <si>
    <t xml:space="preserve">C01569</t>
  </si>
  <si>
    <t xml:space="preserve">C03035</t>
  </si>
  <si>
    <t xml:space="preserve">C03651</t>
  </si>
  <si>
    <t xml:space="preserve">C03512</t>
  </si>
  <si>
    <t xml:space="preserve">C03813</t>
  </si>
  <si>
    <t xml:space="preserve">C03986</t>
  </si>
  <si>
    <t xml:space="preserve">C01439</t>
  </si>
  <si>
    <t xml:space="preserve">C00775</t>
  </si>
  <si>
    <t xml:space="preserve">C01331</t>
  </si>
  <si>
    <t xml:space="preserve">C02489</t>
  </si>
  <si>
    <t xml:space="preserve">C04126</t>
  </si>
  <si>
    <t xml:space="preserve">C00053</t>
  </si>
  <si>
    <t xml:space="preserve">C03425</t>
  </si>
  <si>
    <t xml:space="preserve">C00049</t>
  </si>
  <si>
    <t xml:space="preserve">C02508</t>
  </si>
  <si>
    <t xml:space="preserve">C00158</t>
  </si>
  <si>
    <t xml:space="preserve">C00041</t>
  </si>
  <si>
    <t xml:space="preserve">Self-serve</t>
  </si>
  <si>
    <t xml:space="preserve">C04337</t>
  </si>
  <si>
    <t xml:space="preserve">C02168</t>
  </si>
  <si>
    <t xml:space="preserve">C04205</t>
  </si>
  <si>
    <t xml:space="preserve">C03139</t>
  </si>
  <si>
    <t xml:space="preserve">C02099</t>
  </si>
  <si>
    <t xml:space="preserve">C01000</t>
  </si>
  <si>
    <t xml:space="preserve">C01538</t>
  </si>
  <si>
    <t xml:space="preserve">C03911</t>
  </si>
  <si>
    <t xml:space="preserve">C00839</t>
  </si>
  <si>
    <t xml:space="preserve">C01506</t>
  </si>
  <si>
    <t xml:space="preserve">C03031</t>
  </si>
  <si>
    <t xml:space="preserve">C01299</t>
  </si>
  <si>
    <t xml:space="preserve">C00605</t>
  </si>
  <si>
    <t xml:space="preserve">C04230</t>
  </si>
  <si>
    <t xml:space="preserve">C01850</t>
  </si>
  <si>
    <t xml:space="preserve">C03546</t>
  </si>
  <si>
    <t xml:space="preserve">C01671</t>
  </si>
  <si>
    <t xml:space="preserve">C00536</t>
  </si>
  <si>
    <t xml:space="preserve">C00815</t>
  </si>
  <si>
    <t xml:space="preserve">C00174</t>
  </si>
  <si>
    <t xml:space="preserve">C00126</t>
  </si>
  <si>
    <t xml:space="preserve">C03778</t>
  </si>
  <si>
    <t xml:space="preserve">C02306</t>
  </si>
  <si>
    <t xml:space="preserve">C01962</t>
  </si>
  <si>
    <t xml:space="preserve">C01302</t>
  </si>
  <si>
    <t xml:space="preserve">C01722</t>
  </si>
  <si>
    <t xml:space="preserve">C00105</t>
  </si>
  <si>
    <t xml:space="preserve">C04038</t>
  </si>
  <si>
    <t xml:space="preserve">C02386</t>
  </si>
  <si>
    <t xml:space="preserve">C00819</t>
  </si>
  <si>
    <t xml:space="preserve">C03315</t>
  </si>
  <si>
    <t xml:space="preserve">C04524</t>
  </si>
  <si>
    <t xml:space="preserve">C02668</t>
  </si>
  <si>
    <t xml:space="preserve">C00616</t>
  </si>
  <si>
    <t xml:space="preserve">C00682</t>
  </si>
  <si>
    <t xml:space="preserve">C00428</t>
  </si>
  <si>
    <t xml:space="preserve">C02085</t>
  </si>
  <si>
    <t xml:space="preserve">C00347</t>
  </si>
  <si>
    <t xml:space="preserve">C01012</t>
  </si>
  <si>
    <t xml:space="preserve">C00136</t>
  </si>
  <si>
    <t xml:space="preserve">C01909</t>
  </si>
  <si>
    <t xml:space="preserve">C01301</t>
  </si>
  <si>
    <t xml:space="preserve">C03149</t>
  </si>
  <si>
    <t xml:space="preserve">C00304</t>
  </si>
  <si>
    <t xml:space="preserve">C01554</t>
  </si>
  <si>
    <t xml:space="preserve">C00962</t>
  </si>
  <si>
    <t xml:space="preserve">C04180</t>
  </si>
  <si>
    <t xml:space="preserve">C03433</t>
  </si>
  <si>
    <t xml:space="preserve">C04103</t>
  </si>
  <si>
    <t xml:space="preserve">C02591</t>
  </si>
  <si>
    <t xml:space="preserve">C01744</t>
  </si>
  <si>
    <t xml:space="preserve">C00324</t>
  </si>
  <si>
    <t xml:space="preserve">C03160</t>
  </si>
  <si>
    <t xml:space="preserve">C02567</t>
  </si>
  <si>
    <t xml:space="preserve">C03737</t>
  </si>
  <si>
    <t xml:space="preserve">C03052</t>
  </si>
  <si>
    <t xml:space="preserve">C00328</t>
  </si>
  <si>
    <t xml:space="preserve">C00175</t>
  </si>
  <si>
    <t xml:space="preserve">C00051</t>
  </si>
  <si>
    <t xml:space="preserve">C00076</t>
  </si>
  <si>
    <t xml:space="preserve">C01498</t>
  </si>
  <si>
    <t xml:space="preserve">C02821</t>
  </si>
  <si>
    <t xml:space="preserve">C02033</t>
  </si>
  <si>
    <t xml:space="preserve">C00101</t>
  </si>
  <si>
    <t xml:space="preserve">C03244</t>
  </si>
  <si>
    <t xml:space="preserve">C00119</t>
  </si>
  <si>
    <t xml:space="preserve">C03347</t>
  </si>
  <si>
    <t xml:space="preserve">C00360</t>
  </si>
  <si>
    <t xml:space="preserve">C04367</t>
  </si>
  <si>
    <t xml:space="preserve">C00368</t>
  </si>
  <si>
    <t xml:space="preserve">C02740</t>
  </si>
  <si>
    <t xml:space="preserve">C00451</t>
  </si>
  <si>
    <t xml:space="preserve">C01568</t>
  </si>
  <si>
    <t xml:space="preserve">C02921</t>
  </si>
  <si>
    <t xml:space="preserve">C03980</t>
  </si>
  <si>
    <t xml:space="preserve">C01954</t>
  </si>
  <si>
    <t xml:space="preserve">C02557</t>
  </si>
  <si>
    <t xml:space="preserve">C03555</t>
  </si>
  <si>
    <t xml:space="preserve">C02630</t>
  </si>
  <si>
    <t xml:space="preserve">C01908</t>
  </si>
  <si>
    <t xml:space="preserve">C03402</t>
  </si>
  <si>
    <t xml:space="preserve">C00207</t>
  </si>
  <si>
    <t xml:space="preserve">C00781</t>
  </si>
  <si>
    <t xml:space="preserve">C02902</t>
  </si>
  <si>
    <t xml:space="preserve">C00067</t>
  </si>
  <si>
    <t xml:space="preserve">C02468</t>
  </si>
  <si>
    <t xml:space="preserve">C00545</t>
  </si>
  <si>
    <t xml:space="preserve">C00779</t>
  </si>
  <si>
    <t xml:space="preserve">C03962</t>
  </si>
  <si>
    <t xml:space="preserve">C02401</t>
  </si>
  <si>
    <t xml:space="preserve">C01200</t>
  </si>
  <si>
    <t xml:space="preserve">C02691</t>
  </si>
  <si>
    <t xml:space="preserve">C03917</t>
  </si>
  <si>
    <t xml:space="preserve">C00833</t>
  </si>
  <si>
    <t xml:space="preserve">C02004</t>
  </si>
  <si>
    <t xml:space="preserve">C01083</t>
  </si>
  <si>
    <t xml:space="preserve">C02465</t>
  </si>
  <si>
    <t xml:space="preserve">C03101</t>
  </si>
  <si>
    <t xml:space="preserve">C02035</t>
  </si>
  <si>
    <t xml:space="preserve">C03715</t>
  </si>
  <si>
    <t xml:space="preserve">C01924</t>
  </si>
  <si>
    <t xml:space="preserve">C01088</t>
  </si>
  <si>
    <t xml:space="preserve">C01198</t>
  </si>
  <si>
    <t xml:space="preserve">C03451</t>
  </si>
  <si>
    <t xml:space="preserve">C02664</t>
  </si>
  <si>
    <t xml:space="preserve">C00330</t>
  </si>
  <si>
    <t xml:space="preserve">C00309</t>
  </si>
  <si>
    <t xml:space="preserve">C01860</t>
  </si>
  <si>
    <t xml:space="preserve">C02400</t>
  </si>
  <si>
    <t xml:space="preserve">C00106</t>
  </si>
  <si>
    <t xml:space="preserve">C00436</t>
  </si>
  <si>
    <t xml:space="preserve">C01524</t>
  </si>
  <si>
    <t xml:space="preserve">C03223</t>
  </si>
  <si>
    <t xml:space="preserve">C03355</t>
  </si>
  <si>
    <t xml:space="preserve">C00788</t>
  </si>
  <si>
    <t xml:space="preserve">C01637</t>
  </si>
  <si>
    <t xml:space="preserve">C03639</t>
  </si>
  <si>
    <t xml:space="preserve">C03011</t>
  </si>
  <si>
    <t xml:space="preserve">C01336</t>
  </si>
  <si>
    <t xml:space="preserve">C00515</t>
  </si>
  <si>
    <t xml:space="preserve">C00600</t>
  </si>
  <si>
    <t xml:space="preserve">C00975</t>
  </si>
  <si>
    <t xml:space="preserve">C00790</t>
  </si>
  <si>
    <t xml:space="preserve">C01315</t>
  </si>
  <si>
    <t xml:space="preserve">C01535</t>
  </si>
  <si>
    <t xml:space="preserve">C00173</t>
  </si>
  <si>
    <t xml:space="preserve">C02444</t>
  </si>
  <si>
    <t xml:space="preserve">C04397</t>
  </si>
  <si>
    <t xml:space="preserve">C03973</t>
  </si>
  <si>
    <t xml:space="preserve">C01476</t>
  </si>
  <si>
    <t xml:space="preserve">C00247</t>
  </si>
  <si>
    <t xml:space="preserve">C01482</t>
  </si>
  <si>
    <t xml:space="preserve">C00869</t>
  </si>
  <si>
    <t xml:space="preserve">C03881</t>
  </si>
  <si>
    <t xml:space="preserve">C04483</t>
  </si>
  <si>
    <t xml:space="preserve">C01541</t>
  </si>
  <si>
    <t xml:space="preserve">C00503</t>
  </si>
  <si>
    <t xml:space="preserve">C02195</t>
  </si>
  <si>
    <t xml:space="preserve">C01937</t>
  </si>
  <si>
    <t xml:space="preserve">C01043</t>
  </si>
  <si>
    <t xml:space="preserve">C02709</t>
  </si>
  <si>
    <t xml:space="preserve">C02357</t>
  </si>
  <si>
    <t xml:space="preserve">C04156</t>
  </si>
  <si>
    <t xml:space="preserve">C03978</t>
  </si>
  <si>
    <t xml:space="preserve">C04170</t>
  </si>
  <si>
    <t xml:space="preserve">C00716</t>
  </si>
  <si>
    <t xml:space="preserve">C00702</t>
  </si>
  <si>
    <t xml:space="preserve">C02503</t>
  </si>
  <si>
    <t xml:space="preserve">C02951</t>
  </si>
  <si>
    <t xml:space="preserve">C01714</t>
  </si>
  <si>
    <t xml:space="preserve">C01930</t>
  </si>
  <si>
    <t xml:space="preserve">C03619</t>
  </si>
  <si>
    <t xml:space="preserve">C00917</t>
  </si>
  <si>
    <t xml:space="preserve">C02683</t>
  </si>
  <si>
    <t xml:space="preserve">C01445</t>
  </si>
  <si>
    <t xml:space="preserve">C00832</t>
  </si>
  <si>
    <t xml:space="preserve">C01797</t>
  </si>
  <si>
    <t xml:space="preserve">C02761</t>
  </si>
  <si>
    <t xml:space="preserve">C00609</t>
  </si>
  <si>
    <t xml:space="preserve">C03854</t>
  </si>
  <si>
    <t xml:space="preserve">C02547</t>
  </si>
  <si>
    <t xml:space="preserve">C00130</t>
  </si>
  <si>
    <t xml:space="preserve">C02739</t>
  </si>
  <si>
    <t xml:space="preserve">C03485</t>
  </si>
  <si>
    <t xml:space="preserve">C01244</t>
  </si>
  <si>
    <t xml:space="preserve">C00711</t>
  </si>
  <si>
    <t xml:space="preserve">C02482</t>
  </si>
  <si>
    <t xml:space="preserve">C01150</t>
  </si>
  <si>
    <t xml:space="preserve">C01605</t>
  </si>
  <si>
    <t xml:space="preserve">C01654</t>
  </si>
  <si>
    <t xml:space="preserve">C03379</t>
  </si>
  <si>
    <t xml:space="preserve">C02275</t>
  </si>
  <si>
    <t xml:space="preserve">C04030</t>
  </si>
  <si>
    <t xml:space="preserve">C03309</t>
  </si>
  <si>
    <t xml:space="preserve">C01436</t>
  </si>
  <si>
    <t xml:space="preserve">C02277</t>
  </si>
  <si>
    <t xml:space="preserve">C01240</t>
  </si>
  <si>
    <t xml:space="preserve">C01833</t>
  </si>
  <si>
    <t xml:space="preserve">C02328</t>
  </si>
  <si>
    <t xml:space="preserve">C00087</t>
  </si>
  <si>
    <t xml:space="preserve">C01846</t>
  </si>
  <si>
    <t xml:space="preserve">C02288</t>
  </si>
  <si>
    <t xml:space="preserve">C01837</t>
  </si>
  <si>
    <t xml:space="preserve">C02766</t>
  </si>
  <si>
    <t xml:space="preserve">C04120</t>
  </si>
  <si>
    <t xml:space="preserve">C02057</t>
  </si>
  <si>
    <t xml:space="preserve">C00898</t>
  </si>
  <si>
    <t xml:space="preserve">C01381</t>
  </si>
  <si>
    <t xml:space="preserve">C02544</t>
  </si>
  <si>
    <t xml:space="preserve">C00795</t>
  </si>
  <si>
    <t xml:space="preserve">C02653</t>
  </si>
  <si>
    <t xml:space="preserve">C00582</t>
  </si>
  <si>
    <t xml:space="preserve">C00544</t>
  </si>
  <si>
    <t xml:space="preserve">C01996</t>
  </si>
  <si>
    <t xml:space="preserve">C03871</t>
  </si>
  <si>
    <t xml:space="preserve">C03184</t>
  </si>
  <si>
    <t xml:space="preserve">C00346</t>
  </si>
  <si>
    <t xml:space="preserve">C02432</t>
  </si>
  <si>
    <t xml:space="preserve">C01712</t>
  </si>
  <si>
    <t xml:space="preserve">C03127</t>
  </si>
  <si>
    <t xml:space="preserve">C03795</t>
  </si>
  <si>
    <t xml:space="preserve">C01332</t>
  </si>
  <si>
    <t xml:space="preserve">C03751</t>
  </si>
  <si>
    <t xml:space="preserve">C02969</t>
  </si>
  <si>
    <t xml:space="preserve">C01197</t>
  </si>
  <si>
    <t xml:space="preserve">C01620</t>
  </si>
  <si>
    <t xml:space="preserve">C00909</t>
  </si>
  <si>
    <t xml:space="preserve">C03431</t>
  </si>
  <si>
    <t xml:space="preserve">C03608</t>
  </si>
  <si>
    <t xml:space="preserve">C02602</t>
  </si>
  <si>
    <t xml:space="preserve">C02457</t>
  </si>
  <si>
    <t xml:space="preserve">C03367</t>
  </si>
  <si>
    <t xml:space="preserve">C00476</t>
  </si>
  <si>
    <t xml:space="preserve">C00509</t>
  </si>
  <si>
    <t xml:space="preserve">C00841</t>
  </si>
  <si>
    <t xml:space="preserve">C02102</t>
  </si>
  <si>
    <t xml:space="preserve">C02742</t>
  </si>
  <si>
    <t xml:space="preserve">C01737</t>
  </si>
  <si>
    <t xml:space="preserve">C00123</t>
  </si>
  <si>
    <t xml:space="preserve">C03163</t>
  </si>
  <si>
    <t xml:space="preserve">C03069</t>
  </si>
  <si>
    <t xml:space="preserve">C01454</t>
  </si>
  <si>
    <t xml:space="preserve">C01822</t>
  </si>
  <si>
    <t xml:space="preserve">C03746</t>
  </si>
  <si>
    <t xml:space="preserve">C02732</t>
  </si>
  <si>
    <t xml:space="preserve">C04332</t>
  </si>
  <si>
    <t xml:space="preserve">C02024</t>
  </si>
  <si>
    <t xml:space="preserve">C01983</t>
  </si>
  <si>
    <t xml:space="preserve">C01341</t>
  </si>
  <si>
    <t xml:space="preserve">C01187</t>
  </si>
  <si>
    <t xml:space="preserve">C03432</t>
  </si>
  <si>
    <t xml:space="preserve">C00830</t>
  </si>
  <si>
    <t xml:space="preserve">C01790</t>
  </si>
  <si>
    <t xml:space="preserve">C00128</t>
  </si>
  <si>
    <t xml:space="preserve">C02710</t>
  </si>
  <si>
    <t xml:space="preserve">C03082</t>
  </si>
  <si>
    <t xml:space="preserve">C00143</t>
  </si>
  <si>
    <t xml:space="preserve">C03374</t>
  </si>
  <si>
    <t xml:space="preserve">C02153</t>
  </si>
  <si>
    <t xml:space="preserve">C00267</t>
  </si>
  <si>
    <t xml:space="preserve">C00188</t>
  </si>
  <si>
    <t xml:space="preserve">C02910</t>
  </si>
  <si>
    <t xml:space="preserve">C02284</t>
  </si>
  <si>
    <t xml:space="preserve">C03948</t>
  </si>
  <si>
    <t xml:space="preserve">C04449</t>
  </si>
  <si>
    <t xml:space="preserve">C03633</t>
  </si>
  <si>
    <t xml:space="preserve">C00982</t>
  </si>
  <si>
    <t xml:space="preserve">C00116</t>
  </si>
  <si>
    <t xml:space="preserve">C03672</t>
  </si>
  <si>
    <t xml:space="preserve">C02727</t>
  </si>
  <si>
    <t xml:space="preserve">C03483</t>
  </si>
  <si>
    <t xml:space="preserve">C03208</t>
  </si>
  <si>
    <t xml:space="preserve">C03673</t>
  </si>
  <si>
    <t xml:space="preserve">C02304</t>
  </si>
  <si>
    <t xml:space="preserve">C03566</t>
  </si>
  <si>
    <t xml:space="preserve">C02897</t>
  </si>
  <si>
    <t xml:space="preserve">C00213</t>
  </si>
  <si>
    <t xml:space="preserve">C01353</t>
  </si>
  <si>
    <t xml:space="preserve">C03024</t>
  </si>
  <si>
    <t xml:space="preserve">C03344</t>
  </si>
  <si>
    <t xml:space="preserve">C04122</t>
  </si>
  <si>
    <t xml:space="preserve">C04061</t>
  </si>
  <si>
    <t xml:space="preserve">C01859</t>
  </si>
  <si>
    <t xml:space="preserve">C02349</t>
  </si>
  <si>
    <t xml:space="preserve">C03443</t>
  </si>
  <si>
    <t xml:space="preserve">C01048</t>
  </si>
  <si>
    <t xml:space="preserve">C01993</t>
  </si>
  <si>
    <t xml:space="preserve">C01680</t>
  </si>
  <si>
    <t xml:space="preserve">C02859</t>
  </si>
  <si>
    <t xml:space="preserve">C01071</t>
  </si>
  <si>
    <t xml:space="preserve">C03054</t>
  </si>
  <si>
    <t xml:space="preserve">C02771</t>
  </si>
  <si>
    <t xml:space="preserve">C03177</t>
  </si>
  <si>
    <t xml:space="preserve">C01756</t>
  </si>
  <si>
    <t xml:space="preserve">C02673</t>
  </si>
  <si>
    <t xml:space="preserve">C00933</t>
  </si>
  <si>
    <t xml:space="preserve">C01433</t>
  </si>
  <si>
    <t xml:space="preserve">C00256</t>
  </si>
  <si>
    <t xml:space="preserve">C01375</t>
  </si>
  <si>
    <t xml:space="preserve">C00178</t>
  </si>
  <si>
    <t xml:space="preserve">C02829</t>
  </si>
  <si>
    <t xml:space="preserve">C02011</t>
  </si>
  <si>
    <t xml:space="preserve">C03531</t>
  </si>
  <si>
    <t xml:space="preserve">C03282</t>
  </si>
  <si>
    <t xml:space="preserve">C03763</t>
  </si>
  <si>
    <t xml:space="preserve">C00383</t>
  </si>
  <si>
    <t xml:space="preserve">C04032</t>
  </si>
  <si>
    <t xml:space="preserve">C00886</t>
  </si>
  <si>
    <t xml:space="preserve">C00727</t>
  </si>
  <si>
    <t xml:space="preserve">C03173</t>
  </si>
  <si>
    <t xml:space="preserve">C03606</t>
  </si>
  <si>
    <t xml:space="preserve">C02724</t>
  </si>
  <si>
    <t xml:space="preserve">C04216</t>
  </si>
  <si>
    <t xml:space="preserve">C04283</t>
  </si>
  <si>
    <t xml:space="preserve">C04086</t>
  </si>
  <si>
    <t xml:space="preserve">C03814</t>
  </si>
  <si>
    <t xml:space="preserve">C01796</t>
  </si>
  <si>
    <t xml:space="preserve">C01467</t>
  </si>
  <si>
    <t xml:space="preserve">C01661</t>
  </si>
  <si>
    <t xml:space="preserve">C00375</t>
  </si>
  <si>
    <t xml:space="preserve">C03460</t>
  </si>
  <si>
    <t xml:space="preserve">C00924</t>
  </si>
  <si>
    <t xml:space="preserve">C00225</t>
  </si>
  <si>
    <t xml:space="preserve">C02636</t>
  </si>
  <si>
    <t xml:space="preserve">C03686</t>
  </si>
  <si>
    <t xml:space="preserve">C00657</t>
  </si>
  <si>
    <t xml:space="preserve">C00791</t>
  </si>
  <si>
    <t xml:space="preserve">C00838</t>
  </si>
  <si>
    <t xml:space="preserve">C01129</t>
  </si>
  <si>
    <t xml:space="preserve">C03055</t>
  </si>
  <si>
    <t xml:space="preserve">C02209</t>
  </si>
  <si>
    <t xml:space="preserve">C03923</t>
  </si>
  <si>
    <t xml:space="preserve">C02285</t>
  </si>
  <si>
    <t xml:space="preserve">C02295</t>
  </si>
  <si>
    <t xml:space="preserve">C00192</t>
  </si>
  <si>
    <t xml:space="preserve">C00527</t>
  </si>
  <si>
    <t xml:space="preserve">C04245</t>
  </si>
  <si>
    <t xml:space="preserve">C01040</t>
  </si>
  <si>
    <t xml:space="preserve">C02179</t>
  </si>
  <si>
    <t xml:space="preserve">C01005</t>
  </si>
  <si>
    <t xml:space="preserve">C01036</t>
  </si>
  <si>
    <t xml:space="preserve">C02875</t>
  </si>
  <si>
    <t xml:space="preserve">C03211</t>
  </si>
  <si>
    <t xml:space="preserve">C04058</t>
  </si>
  <si>
    <t xml:space="preserve">C03285</t>
  </si>
  <si>
    <t xml:space="preserve">C04429</t>
  </si>
  <si>
    <t xml:space="preserve">C00762</t>
  </si>
  <si>
    <t xml:space="preserve">C02473</t>
  </si>
  <si>
    <t xml:space="preserve">C00789</t>
  </si>
  <si>
    <t xml:space="preserve">C03676</t>
  </si>
  <si>
    <t xml:space="preserve">C00013</t>
  </si>
  <si>
    <t xml:space="preserve">C01001</t>
  </si>
  <si>
    <t xml:space="preserve">C00278</t>
  </si>
  <si>
    <t xml:space="preserve">C04454</t>
  </si>
  <si>
    <t xml:space="preserve">C02452</t>
  </si>
  <si>
    <t xml:space="preserve">C02792</t>
  </si>
  <si>
    <t xml:space="preserve">C00700</t>
  </si>
  <si>
    <t xml:space="preserve">C00961</t>
  </si>
  <si>
    <t xml:space="preserve">C01470</t>
  </si>
  <si>
    <t xml:space="preserve">C00453</t>
  </si>
  <si>
    <t xml:space="preserve">C04034</t>
  </si>
  <si>
    <t xml:space="preserve">C02119</t>
  </si>
  <si>
    <t xml:space="preserve">C03551</t>
  </si>
  <si>
    <t xml:space="preserve">C03554</t>
  </si>
  <si>
    <t xml:space="preserve">C00670</t>
  </si>
  <si>
    <t xml:space="preserve">C00285</t>
  </si>
  <si>
    <t xml:space="preserve">C01955</t>
  </si>
  <si>
    <t xml:space="preserve">C01084</t>
  </si>
  <si>
    <t xml:space="preserve">C00370</t>
  </si>
  <si>
    <t xml:space="preserve">C03287</t>
  </si>
  <si>
    <t xml:space="preserve">C00540</t>
  </si>
  <si>
    <t xml:space="preserve">C01220</t>
  </si>
  <si>
    <t xml:space="preserve">C00760</t>
  </si>
  <si>
    <t xml:space="preserve">C04544</t>
  </si>
  <si>
    <t xml:space="preserve">C02160</t>
  </si>
  <si>
    <t xml:space="preserve">C03703</t>
  </si>
  <si>
    <t xml:space="preserve">C01961</t>
  </si>
  <si>
    <t xml:space="preserve">C02991</t>
  </si>
  <si>
    <t xml:space="preserve">C03987</t>
  </si>
  <si>
    <t xml:space="preserve">C01149</t>
  </si>
  <si>
    <t xml:space="preserve">C04248</t>
  </si>
  <si>
    <t xml:space="preserve">C02117</t>
  </si>
  <si>
    <t xml:space="preserve">C03261</t>
  </si>
  <si>
    <t xml:space="preserve">C03998</t>
  </si>
  <si>
    <t xml:space="preserve">C04468</t>
  </si>
  <si>
    <t xml:space="preserve">C03064</t>
  </si>
  <si>
    <t xml:space="preserve">C03602</t>
  </si>
  <si>
    <t xml:space="preserve">C03868</t>
  </si>
  <si>
    <t xml:space="preserve">C01606</t>
  </si>
  <si>
    <t xml:space="preserve">C00899</t>
  </si>
  <si>
    <t xml:space="preserve">C02814</t>
  </si>
  <si>
    <t xml:space="preserve">C04527</t>
  </si>
  <si>
    <t xml:space="preserve">C03804</t>
  </si>
  <si>
    <t xml:space="preserve">C00352</t>
  </si>
  <si>
    <t xml:space="preserve">C03682</t>
  </si>
  <si>
    <t xml:space="preserve">C02129</t>
  </si>
  <si>
    <t xml:space="preserve">C03840</t>
  </si>
  <si>
    <t xml:space="preserve">C00080</t>
  </si>
  <si>
    <t xml:space="preserve">C04243</t>
  </si>
  <si>
    <t xml:space="preserve">C02460</t>
  </si>
  <si>
    <t xml:space="preserve">C04138</t>
  </si>
  <si>
    <t xml:space="preserve">C02006</t>
  </si>
  <si>
    <t xml:space="preserve">C00585</t>
  </si>
  <si>
    <t xml:space="preserve">C02063</t>
  </si>
  <si>
    <t xml:space="preserve">C00529</t>
  </si>
  <si>
    <t xml:space="preserve">C02611</t>
  </si>
  <si>
    <t xml:space="preserve">C03572</t>
  </si>
  <si>
    <t xml:space="preserve">C01158</t>
  </si>
  <si>
    <t xml:space="preserve">C00037</t>
  </si>
  <si>
    <t xml:space="preserve">C03316</t>
  </si>
  <si>
    <t xml:space="preserve">C02293</t>
  </si>
  <si>
    <t xml:space="preserve">C04474</t>
  </si>
  <si>
    <t xml:space="preserve">C02751</t>
  </si>
  <si>
    <t xml:space="preserve">C01227</t>
  </si>
  <si>
    <t xml:space="preserve">C00418</t>
  </si>
  <si>
    <t xml:space="preserve">C01893</t>
  </si>
  <si>
    <t xml:space="preserve">C04258</t>
  </si>
  <si>
    <t xml:space="preserve">C04361</t>
  </si>
  <si>
    <t xml:space="preserve">C02805</t>
  </si>
  <si>
    <t xml:space="preserve">C00606</t>
  </si>
  <si>
    <t xml:space="preserve">C01607</t>
  </si>
  <si>
    <t xml:space="preserve">C01063</t>
  </si>
  <si>
    <t xml:space="preserve">C04318</t>
  </si>
  <si>
    <t xml:space="preserve">C01622</t>
  </si>
  <si>
    <t xml:space="preserve">C00112</t>
  </si>
  <si>
    <t xml:space="preserve">C01577</t>
  </si>
  <si>
    <t xml:space="preserve">C02913</t>
  </si>
  <si>
    <t xml:space="preserve">C03289</t>
  </si>
  <si>
    <t xml:space="preserve">C00640</t>
  </si>
  <si>
    <t xml:space="preserve">C02422</t>
  </si>
  <si>
    <t xml:space="preserve">C04472</t>
  </si>
  <si>
    <t xml:space="preserve">C02353</t>
  </si>
  <si>
    <t xml:space="preserve">C00268</t>
  </si>
  <si>
    <t xml:space="preserve">C01773</t>
  </si>
  <si>
    <t xml:space="preserve">C00821</t>
  </si>
  <si>
    <t xml:space="preserve">C02183</t>
  </si>
  <si>
    <t xml:space="preserve">C01346</t>
  </si>
  <si>
    <t xml:space="preserve">C00343</t>
  </si>
  <si>
    <t xml:space="preserve">C04135</t>
  </si>
  <si>
    <t xml:space="preserve">C04336</t>
  </si>
  <si>
    <t xml:space="preserve">C00216</t>
  </si>
  <si>
    <t xml:space="preserve">C01768</t>
  </si>
  <si>
    <t xml:space="preserve">C03181</t>
  </si>
  <si>
    <t xml:space="preserve">C03320</t>
  </si>
  <si>
    <t xml:space="preserve">C02015</t>
  </si>
  <si>
    <t xml:space="preserve">C01746</t>
  </si>
  <si>
    <t xml:space="preserve">C04055</t>
  </si>
  <si>
    <t xml:space="preserve">C02956</t>
  </si>
  <si>
    <t xml:space="preserve">C00604</t>
  </si>
  <si>
    <t xml:space="preserve">C03726</t>
  </si>
  <si>
    <t xml:space="preserve">C01296</t>
  </si>
  <si>
    <t xml:space="preserve">C01421</t>
  </si>
  <si>
    <t xml:space="preserve">C00493</t>
  </si>
  <si>
    <t xml:space="preserve">C00167</t>
  </si>
  <si>
    <t xml:space="preserve">C01626</t>
  </si>
  <si>
    <t xml:space="preserve">C03684</t>
  </si>
  <si>
    <t xml:space="preserve">C00251</t>
  </si>
  <si>
    <t xml:space="preserve">C01510</t>
  </si>
  <si>
    <t xml:space="preserve">C01025</t>
  </si>
  <si>
    <t xml:space="preserve">C02393</t>
  </si>
  <si>
    <t xml:space="preserve">C04424</t>
  </si>
  <si>
    <t xml:space="preserve">C00941</t>
  </si>
  <si>
    <t xml:space="preserve">C00583</t>
  </si>
  <si>
    <t xml:space="preserve">C00777</t>
  </si>
  <si>
    <t xml:space="preserve">C03275</t>
  </si>
  <si>
    <t xml:space="preserve">C04018</t>
  </si>
  <si>
    <t xml:space="preserve">C03110</t>
  </si>
  <si>
    <t xml:space="preserve">C01292</t>
  </si>
  <si>
    <t xml:space="preserve">C00742</t>
  </si>
  <si>
    <t xml:space="preserve">C03735</t>
  </si>
  <si>
    <t xml:space="preserve">C02091</t>
  </si>
  <si>
    <t xml:space="preserve">C02625</t>
  </si>
  <si>
    <t xml:space="preserve">C00843</t>
  </si>
  <si>
    <t xml:space="preserve">C01766</t>
  </si>
  <si>
    <t xml:space="preserve">C00148</t>
  </si>
  <si>
    <t xml:space="preserve">C01231</t>
  </si>
  <si>
    <t xml:space="preserve">C03250</t>
  </si>
  <si>
    <t xml:space="preserve">C00337</t>
  </si>
  <si>
    <t xml:space="preserve">C04254</t>
  </si>
  <si>
    <t xml:space="preserve">C03571</t>
  </si>
  <si>
    <t xml:space="preserve">C00505</t>
  </si>
  <si>
    <t xml:space="preserve">C00034</t>
  </si>
  <si>
    <t xml:space="preserve">C02907</t>
  </si>
  <si>
    <t xml:space="preserve">C04236</t>
  </si>
  <si>
    <t xml:space="preserve">C02895</t>
  </si>
  <si>
    <t xml:space="preserve">C01314</t>
  </si>
  <si>
    <t xml:space="preserve">C01511</t>
  </si>
  <si>
    <t xml:space="preserve">C03866</t>
  </si>
  <si>
    <t xml:space="preserve">C04237</t>
  </si>
  <si>
    <t xml:space="preserve">C02517</t>
  </si>
  <si>
    <t xml:space="preserve">C02049</t>
  </si>
  <si>
    <t xml:space="preserve">C04249</t>
  </si>
  <si>
    <t xml:space="preserve">C02999</t>
  </si>
  <si>
    <t xml:space="preserve">C00835</t>
  </si>
  <si>
    <t xml:space="preserve">C03895</t>
  </si>
  <si>
    <t xml:space="preserve">C01990</t>
  </si>
  <si>
    <t xml:space="preserve">C00978</t>
  </si>
  <si>
    <t xml:space="preserve">C01939</t>
  </si>
  <si>
    <t xml:space="preserve">C01915</t>
  </si>
  <si>
    <t xml:space="preserve">C00554</t>
  </si>
  <si>
    <t xml:space="preserve">C01829</t>
  </si>
  <si>
    <t xml:space="preserve">C04123</t>
  </si>
  <si>
    <t xml:space="preserve">C01147</t>
  </si>
  <si>
    <t xml:space="preserve">C01517</t>
  </si>
  <si>
    <t xml:space="preserve">C03468</t>
  </si>
  <si>
    <t xml:space="preserve">C00581</t>
  </si>
  <si>
    <t xml:space="preserve">C02232</t>
  </si>
  <si>
    <t xml:space="preserve">C02826</t>
  </si>
  <si>
    <t xml:space="preserve">C03574</t>
  </si>
  <si>
    <t xml:space="preserve">C03049</t>
  </si>
  <si>
    <t xml:space="preserve">C01913</t>
  </si>
  <si>
    <t xml:space="preserve">C04341</t>
  </si>
  <si>
    <t xml:space="preserve">C03588</t>
  </si>
  <si>
    <t xml:space="preserve">C00665</t>
  </si>
  <si>
    <t xml:space="preserve">C02775</t>
  </si>
  <si>
    <t xml:space="preserve">C03236</t>
  </si>
  <si>
    <t xml:space="preserve">C01279</t>
  </si>
  <si>
    <t xml:space="preserve">C04452</t>
  </si>
  <si>
    <t xml:space="preserve">C03892</t>
  </si>
  <si>
    <t xml:space="preserve">C04223</t>
  </si>
  <si>
    <t xml:space="preserve">C03270</t>
  </si>
  <si>
    <t xml:space="preserve">C00577</t>
  </si>
  <si>
    <t xml:space="preserve">C01009</t>
  </si>
  <si>
    <t xml:space="preserve">C03390</t>
  </si>
  <si>
    <t xml:space="preserve">C00739</t>
  </si>
  <si>
    <t xml:space="preserve">C03066</t>
  </si>
  <si>
    <t xml:space="preserve">C01311</t>
  </si>
  <si>
    <t xml:space="preserve">C04354</t>
  </si>
  <si>
    <t xml:space="preserve">C00557</t>
  </si>
  <si>
    <t xml:space="preserve">C04407</t>
  </si>
  <si>
    <t xml:space="preserve">C02125</t>
  </si>
  <si>
    <t xml:space="preserve">C02824</t>
  </si>
  <si>
    <t xml:space="preserve">C03968</t>
  </si>
  <si>
    <t xml:space="preserve">C00027</t>
  </si>
  <si>
    <t xml:space="preserve">C02788</t>
  </si>
  <si>
    <t xml:space="preserve">C03167</t>
  </si>
  <si>
    <t xml:space="preserve">C00586</t>
  </si>
  <si>
    <t xml:space="preserve">C02850</t>
  </si>
  <si>
    <t xml:space="preserve">C04307</t>
  </si>
  <si>
    <t xml:space="preserve">C01777</t>
  </si>
  <si>
    <t xml:space="preserve">C03354</t>
  </si>
  <si>
    <t xml:space="preserve">C04071</t>
  </si>
  <si>
    <t xml:space="preserve">C02798</t>
  </si>
  <si>
    <t xml:space="preserve">C03767</t>
  </si>
  <si>
    <t xml:space="preserve">C01715</t>
  </si>
  <si>
    <t xml:space="preserve">C00395</t>
  </si>
  <si>
    <t xml:space="preserve">C00132</t>
  </si>
  <si>
    <t xml:space="preserve">C03302</t>
  </si>
  <si>
    <t xml:space="preserve">C03506</t>
  </si>
  <si>
    <t xml:space="preserve">C00936</t>
  </si>
  <si>
    <t xml:space="preserve">C02533</t>
  </si>
  <si>
    <t xml:space="preserve">C04127</t>
  </si>
  <si>
    <t xml:space="preserve">C00157</t>
  </si>
  <si>
    <t xml:space="preserve">C00162</t>
  </si>
  <si>
    <t xml:space="preserve">C03308</t>
  </si>
  <si>
    <t xml:space="preserve">C03497</t>
  </si>
  <si>
    <t xml:space="preserve">C02654</t>
  </si>
  <si>
    <t xml:space="preserve">C04541</t>
  </si>
  <si>
    <t xml:space="preserve">C02095</t>
  </si>
  <si>
    <t xml:space="preserve">C01017</t>
  </si>
  <si>
    <t xml:space="preserve">C03057</t>
  </si>
  <si>
    <t xml:space="preserve">C02924</t>
  </si>
  <si>
    <t xml:space="preserve">C03982</t>
  </si>
  <si>
    <t xml:space="preserve">C02919</t>
  </si>
  <si>
    <t xml:space="preserve">C00075</t>
  </si>
  <si>
    <t xml:space="preserve">C01251</t>
  </si>
  <si>
    <t xml:space="preserve">C01298</t>
  </si>
  <si>
    <t xml:space="preserve">C02362</t>
  </si>
  <si>
    <t xml:space="preserve">C04140</t>
  </si>
  <si>
    <t xml:space="preserve">C01516</t>
  </si>
  <si>
    <t xml:space="preserve">C01740</t>
  </si>
  <si>
    <t xml:space="preserve">C03524</t>
  </si>
  <si>
    <t xml:space="preserve">C02502</t>
  </si>
  <si>
    <t xml:space="preserve">C02856</t>
  </si>
  <si>
    <t xml:space="preserve">C03862</t>
  </si>
  <si>
    <t xml:space="preserve">C00150</t>
  </si>
  <si>
    <t xml:space="preserve">C04081</t>
  </si>
  <si>
    <t xml:space="preserve">C00748</t>
  </si>
  <si>
    <t xml:space="preserve">C01613</t>
  </si>
  <si>
    <t xml:space="preserve">C03314</t>
  </si>
  <si>
    <t xml:space="preserve">C00257</t>
  </si>
  <si>
    <t xml:space="preserve">C00618</t>
  </si>
  <si>
    <t xml:space="preserve">C04485</t>
  </si>
  <si>
    <t xml:space="preserve">C04275</t>
  </si>
  <si>
    <t xml:space="preserve">C01410</t>
  </si>
  <si>
    <t xml:space="preserve">C03386</t>
  </si>
  <si>
    <t xml:space="preserve">C01444</t>
  </si>
  <si>
    <t xml:space="preserve">C01505</t>
  </si>
  <si>
    <t xml:space="preserve">C02318</t>
  </si>
  <si>
    <t xml:space="preserve">C02338</t>
  </si>
  <si>
    <t xml:space="preserve">C03729</t>
  </si>
  <si>
    <t xml:space="preserve">C03389</t>
  </si>
  <si>
    <t xml:space="preserve">C00020</t>
  </si>
  <si>
    <t xml:space="preserve">C04204</t>
  </si>
  <si>
    <t xml:space="preserve">C00685</t>
  </si>
  <si>
    <t xml:space="preserve">C00300</t>
  </si>
  <si>
    <t xml:space="preserve">C04266</t>
  </si>
  <si>
    <t xml:space="preserve">C01922</t>
  </si>
  <si>
    <t xml:space="preserve">C02329</t>
  </si>
  <si>
    <t xml:space="preserve">C02514</t>
  </si>
  <si>
    <t xml:space="preserve">C03897</t>
  </si>
  <si>
    <t xml:space="preserve">C04185</t>
  </si>
  <si>
    <t xml:space="preserve">C00937</t>
  </si>
  <si>
    <t xml:space="preserve">C00223</t>
  </si>
  <si>
    <t xml:space="preserve">C02915</t>
  </si>
  <si>
    <t xml:space="preserve">C03321</t>
  </si>
  <si>
    <t xml:space="preserve">C03264</t>
  </si>
  <si>
    <t xml:space="preserve">C03755</t>
  </si>
  <si>
    <t xml:space="preserve">C00864</t>
  </si>
  <si>
    <t xml:space="preserve">C01883</t>
  </si>
  <si>
    <t xml:space="preserve">C00868</t>
  </si>
  <si>
    <t xml:space="preserve">C04014</t>
  </si>
  <si>
    <t xml:space="preserve">C03503</t>
  </si>
  <si>
    <t xml:space="preserve">C02977</t>
  </si>
  <si>
    <t xml:space="preserve">C00055</t>
  </si>
  <si>
    <t xml:space="preserve">C01080</t>
  </si>
  <si>
    <t xml:space="preserve">C03761</t>
  </si>
  <si>
    <t xml:space="preserve">C01625</t>
  </si>
  <si>
    <t xml:space="preserve">C00721</t>
  </si>
  <si>
    <t xml:space="preserve">C01188</t>
  </si>
  <si>
    <t xml:space="preserve">C02679</t>
  </si>
  <si>
    <t xml:space="preserve">C03833</t>
  </si>
  <si>
    <t xml:space="preserve">C02694</t>
  </si>
  <si>
    <t xml:space="preserve">C00334</t>
  </si>
  <si>
    <t xml:space="preserve">C02245</t>
  </si>
  <si>
    <t xml:space="preserve">C02834</t>
  </si>
  <si>
    <t xml:space="preserve">C02983</t>
  </si>
  <si>
    <t xml:space="preserve">C04475</t>
  </si>
  <si>
    <t xml:space="preserve">C00928</t>
  </si>
  <si>
    <t xml:space="preserve">C03942</t>
  </si>
  <si>
    <t xml:space="preserve">C01581</t>
  </si>
  <si>
    <t xml:space="preserve">C02025</t>
  </si>
  <si>
    <t xml:space="preserve">C04400</t>
  </si>
  <si>
    <t xml:space="preserve">C01007</t>
  </si>
  <si>
    <t xml:space="preserve">C00667</t>
  </si>
  <si>
    <t xml:space="preserve">C01938</t>
  </si>
  <si>
    <t xml:space="preserve">C01534</t>
  </si>
  <si>
    <t xml:space="preserve">C00147</t>
  </si>
  <si>
    <t xml:space="preserve">C02005</t>
  </si>
  <si>
    <t xml:space="preserve">C01323</t>
  </si>
  <si>
    <t xml:space="preserve">C04260</t>
  </si>
  <si>
    <t xml:space="preserve">C02142</t>
  </si>
  <si>
    <t xml:space="preserve">C01929</t>
  </si>
  <si>
    <t xml:space="preserve">C02920</t>
  </si>
  <si>
    <t xml:space="preserve">C00914</t>
  </si>
  <si>
    <t xml:space="preserve">C02506</t>
  </si>
  <si>
    <t xml:space="preserve">C01446</t>
  </si>
  <si>
    <t xml:space="preserve">C03659</t>
  </si>
  <si>
    <t xml:space="preserve">C01086</t>
  </si>
  <si>
    <t xml:space="preserve">C02491</t>
  </si>
  <si>
    <t xml:space="preserve">C01652</t>
  </si>
  <si>
    <t xml:space="preserve">C03337</t>
  </si>
  <si>
    <t xml:space="preserve">C02399</t>
  </si>
  <si>
    <t xml:space="preserve">C01769</t>
  </si>
  <si>
    <t xml:space="preserve">C02808</t>
  </si>
  <si>
    <t xml:space="preserve">C02888</t>
  </si>
  <si>
    <t xml:space="preserve">C03023</t>
  </si>
  <si>
    <t xml:space="preserve">C03445</t>
  </si>
  <si>
    <t xml:space="preserve">C03845</t>
  </si>
  <si>
    <t xml:space="preserve">C00443</t>
  </si>
  <si>
    <t xml:space="preserve">C00817</t>
  </si>
  <si>
    <t xml:space="preserve">C01481</t>
  </si>
  <si>
    <t xml:space="preserve">C00784</t>
  </si>
  <si>
    <t xml:space="preserve">C03424</t>
  </si>
  <si>
    <t xml:space="preserve">C01784</t>
  </si>
  <si>
    <t xml:space="preserve">C02104</t>
  </si>
  <si>
    <t xml:space="preserve">C04161</t>
  </si>
  <si>
    <t xml:space="preserve">C04499</t>
  </si>
  <si>
    <t xml:space="preserve">C04396</t>
  </si>
  <si>
    <t xml:space="preserve">C00723</t>
  </si>
  <si>
    <t xml:space="preserve">C04208</t>
  </si>
  <si>
    <t xml:space="preserve">C02335</t>
  </si>
  <si>
    <t xml:space="preserve">C02849</t>
  </si>
  <si>
    <t xml:space="preserve">C01392</t>
  </si>
  <si>
    <t xml:space="preserve">C02253</t>
  </si>
  <si>
    <t xml:space="preserve">C00496</t>
  </si>
  <si>
    <t xml:space="preserve">C01493</t>
  </si>
  <si>
    <t xml:space="preserve">C04163</t>
  </si>
  <si>
    <t xml:space="preserve">C02185</t>
  </si>
  <si>
    <t xml:space="preserve">C03832</t>
  </si>
  <si>
    <t xml:space="preserve">C02216</t>
  </si>
  <si>
    <t xml:space="preserve">C03789</t>
  </si>
  <si>
    <t xml:space="preserve">C03466</t>
  </si>
  <si>
    <t xml:space="preserve">C02833</t>
  </si>
  <si>
    <t xml:space="preserve">C03113</t>
  </si>
  <si>
    <t xml:space="preserve">C02331</t>
  </si>
  <si>
    <t xml:space="preserve">C03375</t>
  </si>
  <si>
    <t xml:space="preserve">C01257</t>
  </si>
  <si>
    <t xml:space="preserve">C00510</t>
  </si>
  <si>
    <t xml:space="preserve">C01250</t>
  </si>
  <si>
    <t xml:space="preserve">C01854</t>
  </si>
  <si>
    <t xml:space="preserve">C02750</t>
  </si>
  <si>
    <t xml:space="preserve">C02756</t>
  </si>
  <si>
    <t xml:space="preserve">C03950</t>
  </si>
  <si>
    <t xml:space="preserve">C00513</t>
  </si>
  <si>
    <t xml:space="preserve">C00678</t>
  </si>
  <si>
    <t xml:space="preserve">C02558</t>
  </si>
  <si>
    <t xml:space="preserve">C04075</t>
  </si>
  <si>
    <t xml:space="preserve">C00457</t>
  </si>
  <si>
    <t xml:space="preserve">C02974</t>
  </si>
  <si>
    <t xml:space="preserve">C04498</t>
  </si>
  <si>
    <t xml:space="preserve">C03144</t>
  </si>
  <si>
    <t xml:space="preserve">C02935</t>
  </si>
  <si>
    <t xml:space="preserve">C03660</t>
  </si>
  <si>
    <t xml:space="preserve">C02617</t>
  </si>
  <si>
    <t xml:space="preserve">C03736</t>
  </si>
  <si>
    <t xml:space="preserve">C03765</t>
  </si>
  <si>
    <t xml:space="preserve">C02374</t>
  </si>
  <si>
    <t xml:space="preserve">C04269</t>
  </si>
  <si>
    <t xml:space="preserve">C03513</t>
  </si>
  <si>
    <t xml:space="preserve">C02620</t>
  </si>
  <si>
    <t xml:space="preserve">C03125</t>
  </si>
  <si>
    <t xml:space="preserve">C02652</t>
  </si>
  <si>
    <t xml:space="preserve">C00997</t>
  </si>
  <si>
    <t xml:space="preserve">C01704</t>
  </si>
  <si>
    <t xml:space="preserve">C00767</t>
  </si>
  <si>
    <t xml:space="preserve">C04344</t>
  </si>
  <si>
    <t xml:space="preserve">C03147</t>
  </si>
  <si>
    <t xml:space="preserve">C03090</t>
  </si>
  <si>
    <t xml:space="preserve">C00336</t>
  </si>
  <si>
    <t xml:space="preserve">C02116</t>
  </si>
  <si>
    <t xml:space="preserve">C03044</t>
  </si>
  <si>
    <t xml:space="preserve">C03907</t>
  </si>
  <si>
    <t xml:space="preserve">C01494</t>
  </si>
  <si>
    <t xml:space="preserve">C02215</t>
  </si>
  <si>
    <t xml:space="preserve">C00967</t>
  </si>
  <si>
    <t xml:space="preserve">C03509</t>
  </si>
  <si>
    <t xml:space="preserve">C03821</t>
  </si>
  <si>
    <t xml:space="preserve">C03094</t>
  </si>
  <si>
    <t xml:space="preserve">C03095</t>
  </si>
  <si>
    <t xml:space="preserve">C03784</t>
  </si>
  <si>
    <t xml:space="preserve">C02717</t>
  </si>
  <si>
    <t xml:space="preserve">C01977</t>
  </si>
  <si>
    <t xml:space="preserve">C00218</t>
  </si>
  <si>
    <t xml:space="preserve">C03981</t>
  </si>
  <si>
    <t xml:space="preserve">C01303</t>
  </si>
  <si>
    <t xml:space="preserve">C04000</t>
  </si>
  <si>
    <t xml:space="preserve">C03245</t>
  </si>
  <si>
    <t xml:space="preserve">C03643</t>
  </si>
  <si>
    <t xml:space="preserve">C03585</t>
  </si>
  <si>
    <t xml:space="preserve">C02003</t>
  </si>
  <si>
    <t xml:space="preserve">C01697</t>
  </si>
  <si>
    <t xml:space="preserve">C02303</t>
  </si>
  <si>
    <t xml:space="preserve">C03369</t>
  </si>
  <si>
    <t xml:space="preserve">C00191</t>
  </si>
  <si>
    <t xml:space="preserve">C01687</t>
  </si>
  <si>
    <t xml:space="preserve">C00629</t>
  </si>
  <si>
    <t xml:space="preserve">C04117</t>
  </si>
  <si>
    <t xml:space="preserve">C04167</t>
  </si>
  <si>
    <t xml:space="preserve">C04280</t>
  </si>
  <si>
    <t xml:space="preserve">C00465</t>
  </si>
  <si>
    <t xml:space="preserve">C00624</t>
  </si>
  <si>
    <t xml:space="preserve">C01145</t>
  </si>
  <si>
    <t xml:space="preserve">C03796</t>
  </si>
  <si>
    <t xml:space="preserve">C02337</t>
  </si>
  <si>
    <t xml:space="preserve">C00647</t>
  </si>
  <si>
    <t xml:space="preserve">C01532</t>
  </si>
  <si>
    <t xml:space="preserve">C04019</t>
  </si>
  <si>
    <t xml:space="preserve">C00142</t>
  </si>
  <si>
    <t xml:space="preserve">C04109</t>
  </si>
  <si>
    <t xml:space="preserve">C02201</t>
  </si>
  <si>
    <t xml:space="preserve">C00744</t>
  </si>
  <si>
    <t xml:space="preserve">C00569</t>
  </si>
  <si>
    <t xml:space="preserve">C02629</t>
  </si>
  <si>
    <t xml:space="preserve">C00508</t>
  </si>
  <si>
    <t xml:space="preserve">C03480</t>
  </si>
  <si>
    <t xml:space="preserve">C03723</t>
  </si>
  <si>
    <t xml:space="preserve">C03848</t>
  </si>
  <si>
    <t xml:space="preserve">C04190</t>
  </si>
  <si>
    <t xml:space="preserve">C01865</t>
  </si>
  <si>
    <t xml:space="preserve">C04405</t>
  </si>
  <si>
    <t xml:space="preserve">C00202</t>
  </si>
  <si>
    <t xml:space="preserve">C00621</t>
  </si>
  <si>
    <t xml:space="preserve">C02986</t>
  </si>
  <si>
    <t xml:space="preserve">C01903</t>
  </si>
  <si>
    <t xml:space="preserve">C03558</t>
  </si>
  <si>
    <t xml:space="preserve">C03174</t>
  </si>
  <si>
    <t xml:space="preserve">C03842</t>
  </si>
  <si>
    <t xml:space="preserve">C03561</t>
  </si>
  <si>
    <t xml:space="preserve">C01621</t>
  </si>
  <si>
    <t xml:space="preserve">C02315</t>
  </si>
  <si>
    <t xml:space="preserve">C03477</t>
  </si>
  <si>
    <t xml:space="preserve">C04410</t>
  </si>
  <si>
    <t xml:space="preserve">C04184</t>
  </si>
  <si>
    <t xml:space="preserve">C00617</t>
  </si>
  <si>
    <t xml:space="preserve">C02593</t>
  </si>
  <si>
    <t xml:space="preserve">C01477</t>
  </si>
  <si>
    <t xml:space="preserve">C01414</t>
  </si>
  <si>
    <t xml:space="preserve">C04244</t>
  </si>
  <si>
    <t xml:space="preserve">C03896</t>
  </si>
  <si>
    <t xml:space="preserve">C04517</t>
  </si>
  <si>
    <t xml:space="preserve">C03653</t>
  </si>
  <si>
    <t xml:space="preserve">C02848</t>
  </si>
  <si>
    <t xml:space="preserve">C04393</t>
  </si>
  <si>
    <t xml:space="preserve">C03002</t>
  </si>
  <si>
    <t xml:space="preserve">C01992</t>
  </si>
  <si>
    <t xml:space="preserve">C00364</t>
  </si>
  <si>
    <t xml:space="preserve">C00947</t>
  </si>
  <si>
    <t xml:space="preserve">C01966</t>
  </si>
  <si>
    <t xml:space="preserve">C00733</t>
  </si>
  <si>
    <t xml:space="preserve">C02669</t>
  </si>
  <si>
    <t xml:space="preserve">C00497</t>
  </si>
  <si>
    <t xml:space="preserve">C03271</t>
  </si>
  <si>
    <t xml:space="preserve">C03060</t>
  </si>
  <si>
    <t xml:space="preserve">C01940</t>
  </si>
  <si>
    <t xml:space="preserve">C01566</t>
  </si>
  <si>
    <t xml:space="preserve">C02651</t>
  </si>
  <si>
    <t xml:space="preserve">C03525</t>
  </si>
  <si>
    <t xml:space="preserve">C04374</t>
  </si>
  <si>
    <t xml:space="preserve">C03867</t>
  </si>
  <si>
    <t xml:space="preserve">C03028</t>
  </si>
  <si>
    <t xml:space="preserve">C00382</t>
  </si>
  <si>
    <t xml:space="preserve">C01473</t>
  </si>
  <si>
    <t xml:space="preserve">C02540</t>
  </si>
  <si>
    <t xml:space="preserve">C00632</t>
  </si>
  <si>
    <t xml:space="preserve">C01558</t>
  </si>
  <si>
    <t xml:space="preserve">C01856</t>
  </si>
  <si>
    <t xml:space="preserve">C02264</t>
  </si>
  <si>
    <t xml:space="preserve">C04006</t>
  </si>
  <si>
    <t xml:space="preserve">C04132</t>
  </si>
  <si>
    <t xml:space="preserve">C02387</t>
  </si>
  <si>
    <t xml:space="preserve">C03687</t>
  </si>
  <si>
    <t xml:space="preserve">C00390</t>
  </si>
  <si>
    <t xml:space="preserve">C02736</t>
  </si>
  <si>
    <t xml:space="preserve">C03529</t>
  </si>
  <si>
    <t xml:space="preserve">C03516</t>
  </si>
  <si>
    <t xml:space="preserve">C02945</t>
  </si>
  <si>
    <t xml:space="preserve">C01616</t>
  </si>
  <si>
    <t xml:space="preserve">C01495</t>
  </si>
  <si>
    <t xml:space="preserve">C04436</t>
  </si>
  <si>
    <t xml:space="preserve">C00895</t>
  </si>
  <si>
    <t xml:space="preserve">C04210</t>
  </si>
  <si>
    <t xml:space="preserve">C03828</t>
  </si>
  <si>
    <t xml:space="preserve">C02942</t>
  </si>
  <si>
    <t xml:space="preserve">C01600</t>
  </si>
  <si>
    <t xml:space="preserve">C04444</t>
  </si>
  <si>
    <t xml:space="preserve">C03951</t>
  </si>
  <si>
    <t xml:space="preserve">C01869</t>
  </si>
  <si>
    <t xml:space="preserve">C02107</t>
  </si>
  <si>
    <t xml:space="preserve">C00349</t>
  </si>
  <si>
    <t xml:space="preserve">C02240</t>
  </si>
  <si>
    <t xml:space="preserve">C03317</t>
  </si>
  <si>
    <t xml:space="preserve">C04365</t>
  </si>
  <si>
    <t xml:space="preserve">C01098</t>
  </si>
  <si>
    <t xml:space="preserve">C02903</t>
  </si>
  <si>
    <t xml:space="preserve">C03774</t>
  </si>
  <si>
    <t xml:space="preserve">C03809</t>
  </si>
  <si>
    <t xml:space="preserve">C03323</t>
  </si>
  <si>
    <t xml:space="preserve">C02437</t>
  </si>
  <si>
    <t xml:space="preserve">C02058</t>
  </si>
  <si>
    <t xml:space="preserve">C00372</t>
  </si>
  <si>
    <t xml:space="preserve">C03131</t>
  </si>
  <si>
    <t xml:space="preserve">C03557</t>
  </si>
  <si>
    <t xml:space="preserve">C01957</t>
  </si>
  <si>
    <t xml:space="preserve">C02752</t>
  </si>
  <si>
    <t xml:space="preserve">C02487</t>
  </si>
  <si>
    <t xml:space="preserve">C02367</t>
  </si>
  <si>
    <t xml:space="preserve">C04450</t>
  </si>
  <si>
    <t xml:space="preserve">C01696</t>
  </si>
  <si>
    <t xml:space="preserve">C02865</t>
  </si>
  <si>
    <t xml:space="preserve">C02802</t>
  </si>
  <si>
    <t xml:space="preserve">C02550</t>
  </si>
  <si>
    <t xml:space="preserve">C02375</t>
  </si>
  <si>
    <t xml:space="preserve">C04417</t>
  </si>
  <si>
    <t xml:space="preserve">C03855</t>
  </si>
  <si>
    <t xml:space="preserve">C02905</t>
  </si>
  <si>
    <t xml:space="preserve">C01794</t>
  </si>
  <si>
    <t xml:space="preserve">C01871</t>
  </si>
  <si>
    <t xml:space="preserve">C01899</t>
  </si>
  <si>
    <t xml:space="preserve">C02995</t>
  </si>
  <si>
    <t xml:space="preserve">C03940</t>
  </si>
  <si>
    <t xml:space="preserve">C01548</t>
  </si>
  <si>
    <t xml:space="preserve">C02148</t>
  </si>
  <si>
    <t xml:space="preserve">C03454</t>
  </si>
  <si>
    <t xml:space="preserve">C01750</t>
  </si>
  <si>
    <t xml:space="preserve">C01752</t>
  </si>
  <si>
    <t xml:space="preserve">C03481</t>
  </si>
  <si>
    <t xml:space="preserve">C01513</t>
  </si>
  <si>
    <t xml:space="preserve">C00386</t>
  </si>
  <si>
    <t xml:space="preserve">C01765</t>
  </si>
  <si>
    <t xml:space="preserve">C04384</t>
  </si>
  <si>
    <t xml:space="preserve">C02476</t>
  </si>
  <si>
    <t xml:space="preserve">C04426</t>
  </si>
  <si>
    <t xml:space="preserve">C02486</t>
  </si>
  <si>
    <t xml:space="preserve">C02815</t>
  </si>
  <si>
    <t xml:space="preserve">C04310</t>
  </si>
  <si>
    <t xml:space="preserve">C04110</t>
  </si>
  <si>
    <t xml:space="preserve">C02537</t>
  </si>
  <si>
    <t xml:space="preserve">C03441</t>
  </si>
  <si>
    <t xml:space="preserve">C01308</t>
  </si>
  <si>
    <t xml:space="preserve">C03716</t>
  </si>
  <si>
    <t xml:space="preserve">C03087</t>
  </si>
  <si>
    <t xml:space="preserve">C01307</t>
  </si>
  <si>
    <t xml:space="preserve">C04100</t>
  </si>
  <si>
    <t xml:space="preserve">C02048</t>
  </si>
  <si>
    <t xml:space="preserve">C00292</t>
  </si>
  <si>
    <t xml:space="preserve">C03455</t>
  </si>
  <si>
    <t xml:space="preserve">C01391</t>
  </si>
  <si>
    <t xml:space="preserve">C02141</t>
  </si>
  <si>
    <t xml:space="preserve">C01412</t>
  </si>
  <si>
    <t xml:space="preserve">C00095</t>
  </si>
  <si>
    <t xml:space="preserve">C01800</t>
  </si>
  <si>
    <t xml:space="preserve">C00298</t>
  </si>
  <si>
    <t xml:space="preserve">C04082</t>
  </si>
  <si>
    <t xml:space="preserve">C03288</t>
  </si>
  <si>
    <t xml:space="preserve">C01979</t>
  </si>
  <si>
    <t xml:space="preserve">C03766</t>
  </si>
  <si>
    <t xml:space="preserve">C01350</t>
  </si>
  <si>
    <t xml:space="preserve">C03488</t>
  </si>
  <si>
    <t xml:space="preserve">C04526</t>
  </si>
  <si>
    <t xml:space="preserve">C02147</t>
  </si>
  <si>
    <t xml:space="preserve">C03388</t>
  </si>
  <si>
    <t xml:space="preserve">C03731</t>
  </si>
  <si>
    <t xml:space="preserve">C01648</t>
  </si>
  <si>
    <t xml:space="preserve">C02930</t>
  </si>
  <si>
    <t xml:space="preserve">C00949</t>
  </si>
  <si>
    <t xml:space="preserve">C03335</t>
  </si>
  <si>
    <t xml:space="preserve">C01635</t>
  </si>
  <si>
    <t xml:space="preserve">C02220</t>
  </si>
  <si>
    <t xml:space="preserve">C03291</t>
  </si>
  <si>
    <t xml:space="preserve">C02551</t>
  </si>
  <si>
    <t xml:space="preserve">C02242</t>
  </si>
  <si>
    <t xml:space="preserve">C04540</t>
  </si>
  <si>
    <t xml:space="preserve">C03912</t>
  </si>
  <si>
    <t xml:space="preserve">C04142</t>
  </si>
  <si>
    <t xml:space="preserve">C03093</t>
  </si>
  <si>
    <t xml:space="preserve">C03026</t>
  </si>
  <si>
    <t xml:space="preserve">C03713</t>
  </si>
  <si>
    <t xml:space="preserve">C04395</t>
  </si>
  <si>
    <t xml:space="preserve">C03342</t>
  </si>
  <si>
    <t xml:space="preserve">C01695</t>
  </si>
  <si>
    <t xml:space="preserve">C04011</t>
  </si>
  <si>
    <t xml:space="preserve">C01395</t>
  </si>
  <si>
    <t xml:space="preserve">C02106</t>
  </si>
  <si>
    <t xml:space="preserve">C02646</t>
  </si>
  <si>
    <t xml:space="preserve">C02086</t>
  </si>
  <si>
    <t xml:space="preserve">C02065</t>
  </si>
  <si>
    <t xml:space="preserve">C00538</t>
  </si>
  <si>
    <t xml:space="preserve">C00310</t>
  </si>
  <si>
    <t xml:space="preserve">C02405</t>
  </si>
  <si>
    <t xml:space="preserve">C04121</t>
  </si>
  <si>
    <t xml:space="preserve">C02844</t>
  </si>
  <si>
    <t xml:space="preserve">C01074</t>
  </si>
  <si>
    <t xml:space="preserve">C02501</t>
  </si>
  <si>
    <t xml:space="preserve">C03721</t>
  </si>
  <si>
    <t xml:space="preserve">C02556</t>
  </si>
  <si>
    <t xml:space="preserve">C04287</t>
  </si>
  <si>
    <t xml:space="preserve">C04387</t>
  </si>
  <si>
    <t xml:space="preserve">C02381</t>
  </si>
  <si>
    <t xml:space="preserve">C04003</t>
  </si>
  <si>
    <t xml:space="preserve">C03620</t>
  </si>
  <si>
    <t xml:space="preserve">C03552</t>
  </si>
  <si>
    <t xml:space="preserve">C03760</t>
  </si>
  <si>
    <t xml:space="preserve">C04446</t>
  </si>
  <si>
    <t xml:space="preserve">C02583</t>
  </si>
  <si>
    <t xml:space="preserve">C00977</t>
  </si>
  <si>
    <t xml:space="preserve">C04246</t>
  </si>
  <si>
    <t xml:space="preserve">C01564</t>
  </si>
  <si>
    <t xml:space="preserve">C00490</t>
  </si>
  <si>
    <t xml:space="preserve">C02959</t>
  </si>
  <si>
    <t xml:space="preserve">C03818</t>
  </si>
  <si>
    <t xml:space="preserve">C02785</t>
  </si>
  <si>
    <t xml:space="preserve">C00289</t>
  </si>
  <si>
    <t xml:space="preserve">C04152</t>
  </si>
  <si>
    <t xml:space="preserve">C01276</t>
  </si>
  <si>
    <t xml:space="preserve">C04438</t>
  </si>
  <si>
    <t xml:space="preserve">C01309</t>
  </si>
  <si>
    <t xml:space="preserve">C01664</t>
  </si>
  <si>
    <t xml:space="preserve">C00892</t>
  </si>
  <si>
    <t xml:space="preserve">C03419</t>
  </si>
  <si>
    <t xml:space="preserve">C00244</t>
  </si>
  <si>
    <t xml:space="preserve">C03902</t>
  </si>
  <si>
    <t xml:space="preserve">C01418</t>
  </si>
  <si>
    <t xml:space="preserve">C01386</t>
  </si>
  <si>
    <t xml:space="preserve">C03104</t>
  </si>
  <si>
    <t xml:space="preserve">C01029</t>
  </si>
  <si>
    <t xml:space="preserve">C02947</t>
  </si>
  <si>
    <t xml:space="preserve">C04432</t>
  </si>
  <si>
    <t xml:space="preserve">C02426</t>
  </si>
  <si>
    <t xml:space="preserve">C00104</t>
  </si>
  <si>
    <t xml:space="preserve">C02714</t>
  </si>
  <si>
    <t xml:space="preserve">C00517</t>
  </si>
  <si>
    <t xml:space="preserve">C03510</t>
  </si>
  <si>
    <t xml:space="preserve">C03470</t>
  </si>
  <si>
    <t xml:space="preserve">C03816</t>
  </si>
  <si>
    <t xml:space="preserve">C01724</t>
  </si>
  <si>
    <t xml:space="preserve">C01555</t>
  </si>
  <si>
    <t xml:space="preserve">C00659</t>
  </si>
  <si>
    <t xml:space="preserve">C02619</t>
  </si>
  <si>
    <t xml:space="preserve">C03520</t>
  </si>
  <si>
    <t xml:space="preserve">C01465</t>
  </si>
  <si>
    <t xml:space="preserve">C03517</t>
  </si>
  <si>
    <t xml:space="preserve">C04328</t>
  </si>
  <si>
    <t xml:space="preserve">C01475</t>
  </si>
  <si>
    <t xml:space="preserve">C03476</t>
  </si>
  <si>
    <t xml:space="preserve">C01205</t>
  </si>
  <si>
    <t xml:space="preserve">C01775</t>
  </si>
  <si>
    <t xml:space="preserve">C04096</t>
  </si>
  <si>
    <t xml:space="preserve">C01574</t>
  </si>
  <si>
    <t xml:space="preserve">C00155</t>
  </si>
  <si>
    <t xml:space="preserve">C03888</t>
  </si>
  <si>
    <t xml:space="preserve">C03846</t>
  </si>
  <si>
    <t xml:space="preserve">C04029</t>
  </si>
  <si>
    <t xml:space="preserve">C03001</t>
  </si>
  <si>
    <t xml:space="preserve">C00726</t>
  </si>
  <si>
    <t xml:space="preserve">C02152</t>
  </si>
  <si>
    <t xml:space="preserve">C04534</t>
  </si>
  <si>
    <t xml:space="preserve">C01166</t>
  </si>
  <si>
    <t xml:space="preserve">C03990</t>
  </si>
  <si>
    <t xml:space="preserve">C03747</t>
  </si>
  <si>
    <t xml:space="preserve">C01023</t>
  </si>
  <si>
    <t xml:space="preserve">C01195</t>
  </si>
  <si>
    <t xml:space="preserve">C01778</t>
  </si>
  <si>
    <t xml:space="preserve">C03559</t>
  </si>
  <si>
    <t xml:space="preserve">C02461</t>
  </si>
  <si>
    <t xml:space="preserve">C02110</t>
  </si>
  <si>
    <t xml:space="preserve">C03977</t>
  </si>
  <si>
    <t xml:space="preserve">C02155</t>
  </si>
  <si>
    <t xml:space="preserve">C02628</t>
  </si>
  <si>
    <t xml:space="preserve">C04057</t>
  </si>
  <si>
    <t xml:space="preserve">C00521</t>
  </si>
  <si>
    <t xml:space="preserve">C03187</t>
  </si>
  <si>
    <t xml:space="preserve">C01738</t>
  </si>
  <si>
    <t xml:space="preserve">C01631</t>
  </si>
  <si>
    <t xml:space="preserve">C02127</t>
  </si>
  <si>
    <t xml:space="preserve">C03935</t>
  </si>
  <si>
    <t xml:space="preserve">C00396</t>
  </si>
  <si>
    <t xml:space="preserve">C02346</t>
  </si>
  <si>
    <t xml:space="preserve">C02241</t>
  </si>
  <si>
    <t xml:space="preserve">C04370</t>
  </si>
  <si>
    <t xml:space="preserve">C03032</t>
  </si>
  <si>
    <t xml:space="preserve">C02109</t>
  </si>
  <si>
    <t xml:space="preserve">C00541</t>
  </si>
  <si>
    <t xml:space="preserve">C02837</t>
  </si>
  <si>
    <t xml:space="preserve">C02663</t>
  </si>
  <si>
    <t xml:space="preserve">C00046</t>
  </si>
  <si>
    <t xml:space="preserve">C02987</t>
  </si>
  <si>
    <t xml:space="preserve">C04437</t>
  </si>
  <si>
    <t xml:space="preserve">C02931</t>
  </si>
  <si>
    <t xml:space="preserve">C04300</t>
  </si>
  <si>
    <t xml:space="preserve">C02130</t>
  </si>
  <si>
    <t xml:space="preserve">C00291</t>
  </si>
  <si>
    <t xml:space="preserve">C01776</t>
  </si>
  <si>
    <t xml:space="preserve">C04206</t>
  </si>
  <si>
    <t xml:space="preserve">C04383</t>
  </si>
  <si>
    <t xml:space="preserve">C01593</t>
  </si>
  <si>
    <t xml:space="preserve">C00905</t>
  </si>
  <si>
    <t xml:space="preserve">C03790</t>
  </si>
  <si>
    <t xml:space="preserve">C03999</t>
  </si>
  <si>
    <t xml:space="preserve">C02554</t>
  </si>
  <si>
    <t xml:space="preserve">C02267</t>
  </si>
  <si>
    <t xml:space="preserve">C01504</t>
  </si>
  <si>
    <t xml:space="preserve">C02448</t>
  </si>
  <si>
    <t xml:space="preserve">C02093</t>
  </si>
  <si>
    <t xml:space="preserve">C00626</t>
  </si>
  <si>
    <t xml:space="preserve">C01834</t>
  </si>
  <si>
    <t xml:space="preserve">C04515</t>
  </si>
  <si>
    <t xml:space="preserve">C01709</t>
  </si>
  <si>
    <t xml:space="preserve">C04303</t>
  </si>
  <si>
    <t xml:space="preserve">C03771</t>
  </si>
  <si>
    <t xml:space="preserve">C04304</t>
  </si>
  <si>
    <t xml:space="preserve">C04128</t>
  </si>
  <si>
    <t xml:space="preserve">C02549</t>
  </si>
  <si>
    <t xml:space="preserve">C03176</t>
  </si>
  <si>
    <t xml:space="preserve">C04484</t>
  </si>
  <si>
    <t xml:space="preserve">C00092</t>
  </si>
  <si>
    <t xml:space="preserve">C03067</t>
  </si>
  <si>
    <t xml:space="preserve">C01877</t>
  </si>
  <si>
    <t xml:space="preserve">C03748</t>
  </si>
  <si>
    <t xml:space="preserve">C03007</t>
  </si>
  <si>
    <t xml:space="preserve">C00755</t>
  </si>
  <si>
    <t xml:space="preserve">C00050</t>
  </si>
  <si>
    <t xml:space="preserve">C00460</t>
  </si>
  <si>
    <t xml:space="preserve">C01951</t>
  </si>
  <si>
    <t xml:space="preserve">C03475</t>
  </si>
  <si>
    <t xml:space="preserve">C01175</t>
  </si>
  <si>
    <t xml:space="preserve">C02427</t>
  </si>
  <si>
    <t xml:space="preserve">C02379</t>
  </si>
  <si>
    <t xml:space="preserve">C04380</t>
  </si>
  <si>
    <t xml:space="preserve">C03740</t>
  </si>
  <si>
    <t xml:space="preserve">C00951</t>
  </si>
  <si>
    <t xml:space="preserve">C01449</t>
  </si>
  <si>
    <t xml:space="preserve">C02420</t>
  </si>
  <si>
    <t xml:space="preserve">C02081</t>
  </si>
  <si>
    <t xml:space="preserve">C03498</t>
  </si>
  <si>
    <t xml:space="preserve">C01527</t>
  </si>
  <si>
    <t xml:space="preserve">C03220</t>
  </si>
  <si>
    <t xml:space="preserve">C00683</t>
  </si>
  <si>
    <t xml:space="preserve">C01792</t>
  </si>
  <si>
    <t xml:space="preserve">C00296</t>
  </si>
  <si>
    <t xml:space="preserve">C01638</t>
  </si>
  <si>
    <t xml:space="preserve">C01911</t>
  </si>
  <si>
    <t xml:space="preserve">C02854</t>
  </si>
  <si>
    <t xml:space="preserve">C03915</t>
  </si>
  <si>
    <t xml:space="preserve">C03601</t>
  </si>
  <si>
    <t xml:space="preserve">C00764</t>
  </si>
  <si>
    <t xml:space="preserve">C04091</t>
  </si>
  <si>
    <t xml:space="preserve">C01232</t>
  </si>
  <si>
    <t xml:space="preserve">C01994</t>
  </si>
  <si>
    <t xml:space="preserve">C03306</t>
  </si>
  <si>
    <t xml:space="preserve">C04069</t>
  </si>
  <si>
    <t xml:space="preserve">C01810</t>
  </si>
  <si>
    <t xml:space="preserve">C03180</t>
  </si>
  <si>
    <t xml:space="preserve">C02618</t>
  </si>
  <si>
    <t xml:space="preserve">C03004</t>
  </si>
  <si>
    <t xml:space="preserve">C02187</t>
  </si>
  <si>
    <t xml:space="preserve">C00230</t>
  </si>
  <si>
    <t xml:space="preserve">C02243</t>
  </si>
  <si>
    <t xml:space="preserve">C04175</t>
  </si>
  <si>
    <t xml:space="preserve">C03932</t>
  </si>
  <si>
    <t xml:space="preserve">C00420</t>
  </si>
  <si>
    <t xml:space="preserve">C00209</t>
  </si>
  <si>
    <t xml:space="preserve">C01027</t>
  </si>
  <si>
    <t xml:space="preserve">C03371</t>
  </si>
  <si>
    <t xml:space="preserve">C02407</t>
  </si>
  <si>
    <t xml:space="preserve">C03276</t>
  </si>
  <si>
    <t xml:space="preserve">C03926</t>
  </si>
  <si>
    <t xml:space="preserve">C03380</t>
  </si>
  <si>
    <t xml:space="preserve">C04065</t>
  </si>
  <si>
    <t xml:space="preserve">C03975</t>
  </si>
  <si>
    <t xml:space="preserve">C04159</t>
  </si>
  <si>
    <t xml:space="preserve">C04465</t>
  </si>
  <si>
    <t xml:space="preserve">C00648</t>
  </si>
  <si>
    <t xml:space="preserve">C01409</t>
  </si>
  <si>
    <t xml:space="preserve">C01751</t>
  </si>
  <si>
    <t xml:space="preserve">C03417</t>
  </si>
  <si>
    <t xml:space="preserve">C04272</t>
  </si>
  <si>
    <t xml:space="preserve">C00340</t>
  </si>
  <si>
    <t xml:space="preserve">C02088</t>
  </si>
  <si>
    <t xml:space="preserve">C04409</t>
  </si>
  <si>
    <t xml:space="preserve">C00560</t>
  </si>
  <si>
    <t xml:space="preserve">C02840</t>
  </si>
  <si>
    <t xml:space="preserve">C02248</t>
  </si>
  <si>
    <t xml:space="preserve">C04218</t>
  </si>
  <si>
    <t xml:space="preserve">C02176</t>
  </si>
  <si>
    <t xml:space="preserve">C01073</t>
  </si>
  <si>
    <t xml:space="preserve">C00664</t>
  </si>
  <si>
    <t xml:space="preserve">C00696</t>
  </si>
  <si>
    <t xml:space="preserve">C02505</t>
  </si>
  <si>
    <t xml:space="preserve">C02324</t>
  </si>
  <si>
    <t xml:space="preserve">C02463</t>
  </si>
  <si>
    <t xml:space="preserve">C02114</t>
  </si>
  <si>
    <t xml:space="preserve">C00752</t>
  </si>
  <si>
    <t xml:space="preserve">C03851</t>
  </si>
  <si>
    <t xml:space="preserve">C02686</t>
  </si>
  <si>
    <t xml:space="preserve">C02347</t>
  </si>
  <si>
    <t xml:space="preserve">C03889</t>
  </si>
  <si>
    <t xml:space="preserve">C00525</t>
  </si>
  <si>
    <t xml:space="preserve">C02299</t>
  </si>
  <si>
    <t xml:space="preserve">C02411</t>
  </si>
  <si>
    <t xml:space="preserve">C04331</t>
  </si>
  <si>
    <t xml:space="preserve">C02189</t>
  </si>
  <si>
    <t xml:space="preserve">C01182</t>
  </si>
  <si>
    <t xml:space="preserve">C00676</t>
  </si>
  <si>
    <t xml:space="preserve">C04277</t>
  </si>
  <si>
    <t xml:space="preserve">C00847</t>
  </si>
  <si>
    <t xml:space="preserve">C03494</t>
  </si>
  <si>
    <t xml:space="preserve">C02860</t>
  </si>
  <si>
    <t xml:space="preserve">C03635</t>
  </si>
  <si>
    <t xml:space="preserve">C02842</t>
  </si>
  <si>
    <t xml:space="preserve">C02874</t>
  </si>
  <si>
    <t xml:space="preserve">C00768</t>
  </si>
  <si>
    <t xml:space="preserve">C01733</t>
  </si>
  <si>
    <t xml:space="preserve">C00771</t>
  </si>
  <si>
    <t xml:space="preserve">C03906</t>
  </si>
  <si>
    <t xml:space="preserve">C01932</t>
  </si>
  <si>
    <t xml:space="preserve">C00274</t>
  </si>
  <si>
    <t xml:space="preserve">C03210</t>
  </si>
  <si>
    <t xml:space="preserve">C04276</t>
  </si>
  <si>
    <t xml:space="preserve">C02146</t>
  </si>
  <si>
    <t xml:space="preserve">C04535</t>
  </si>
  <si>
    <t xml:space="preserve">C03622</t>
  </si>
  <si>
    <t xml:space="preserve">C02601</t>
  </si>
  <si>
    <t xml:space="preserve">C00890</t>
  </si>
  <si>
    <t xml:space="preserve">C02719</t>
  </si>
  <si>
    <t xml:space="preserve">C01575</t>
  </si>
  <si>
    <t xml:space="preserve">C04149</t>
  </si>
  <si>
    <t xml:space="preserve">C01450</t>
  </si>
  <si>
    <t xml:space="preserve">C01044</t>
  </si>
  <si>
    <t xml:space="preserve">C03984</t>
  </si>
  <si>
    <t xml:space="preserve">C01116</t>
  </si>
  <si>
    <t xml:space="preserve">C01553</t>
  </si>
  <si>
    <t xml:space="preserve">C03407</t>
  </si>
  <si>
    <t xml:space="preserve">C00401</t>
  </si>
  <si>
    <t xml:space="preserve">C01239</t>
  </si>
  <si>
    <t xml:space="preserve">C04514</t>
  </si>
  <si>
    <t xml:space="preserve">C00862</t>
  </si>
  <si>
    <t xml:space="preserve">C00168</t>
  </si>
  <si>
    <t xml:space="preserve">C04048</t>
  </si>
  <si>
    <t xml:space="preserve">C01981</t>
  </si>
  <si>
    <t xml:space="preserve">C04391</t>
  </si>
  <si>
    <t xml:space="preserve">C03603</t>
  </si>
  <si>
    <t xml:space="preserve">C03807</t>
  </si>
  <si>
    <t xml:space="preserve">C00516</t>
  </si>
  <si>
    <t xml:space="preserve">C01162</t>
  </si>
  <si>
    <t xml:space="preserve">C03617</t>
  </si>
  <si>
    <t xml:space="preserve">C03103</t>
  </si>
  <si>
    <t xml:space="preserve">C01337</t>
  </si>
  <si>
    <t xml:space="preserve">C01136</t>
  </si>
  <si>
    <t xml:space="preserve">C02052</t>
  </si>
  <si>
    <t xml:space="preserve">C02689</t>
  </si>
  <si>
    <t xml:space="preserve">C02490</t>
  </si>
  <si>
    <t xml:space="preserve">C01976</t>
  </si>
  <si>
    <t xml:space="preserve">C04067</t>
  </si>
  <si>
    <t xml:space="preserve">C01891</t>
  </si>
  <si>
    <t xml:space="preserve">C04265</t>
  </si>
  <si>
    <t xml:space="preserve">C01333</t>
  </si>
  <si>
    <t xml:space="preserve">C00341</t>
  </si>
  <si>
    <t xml:space="preserve">C00085</t>
  </si>
  <si>
    <t xml:space="preserve">C03750</t>
  </si>
  <si>
    <t xml:space="preserve">C04270</t>
  </si>
  <si>
    <t xml:space="preserve">C02891</t>
  </si>
  <si>
    <t xml:space="preserve">C04062</t>
  </si>
  <si>
    <t xml:space="preserve">C02030</t>
  </si>
  <si>
    <t xml:space="preserve">C00098</t>
  </si>
  <si>
    <t xml:space="preserve">C02310</t>
  </si>
  <si>
    <t xml:space="preserve">C03284</t>
  </si>
  <si>
    <t xml:space="preserve">C03218</t>
  </si>
  <si>
    <t xml:space="preserve">C03334</t>
  </si>
  <si>
    <t xml:space="preserve">C03629</t>
  </si>
  <si>
    <t xml:space="preserve">C01897</t>
  </si>
  <si>
    <t xml:space="preserve">C03899</t>
  </si>
  <si>
    <t xml:space="preserve">C03642</t>
  </si>
  <si>
    <t xml:space="preserve">C01385</t>
  </si>
  <si>
    <t xml:space="preserve">C02239</t>
  </si>
  <si>
    <t xml:space="preserve">C03522</t>
  </si>
  <si>
    <t xml:space="preserve">C02424</t>
  </si>
  <si>
    <t xml:space="preserve">C03927</t>
  </si>
  <si>
    <t xml:space="preserve">C01958</t>
  </si>
  <si>
    <t xml:space="preserve">C02608</t>
  </si>
  <si>
    <t xml:space="preserve">C01767</t>
  </si>
  <si>
    <t xml:space="preserve">C04508</t>
  </si>
  <si>
    <t xml:space="preserve">C03458</t>
  </si>
  <si>
    <t xml:space="preserve">C02585</t>
  </si>
  <si>
    <t xml:space="preserve">C00437</t>
  </si>
  <si>
    <t xml:space="preserve">C00578</t>
  </si>
  <si>
    <t xml:space="preserve">C00627</t>
  </si>
  <si>
    <t xml:space="preserve">C03550</t>
  </si>
  <si>
    <t xml:space="preserve">C02760</t>
  </si>
  <si>
    <t xml:space="preserve">C00240</t>
  </si>
  <si>
    <t xml:space="preserve">C01959</t>
  </si>
  <si>
    <t xml:space="preserve">C02404</t>
  </si>
  <si>
    <t xml:space="preserve">C03537</t>
  </si>
  <si>
    <t xml:space="preserve">C01357</t>
  </si>
  <si>
    <t xml:space="preserve">C03198</t>
  </si>
  <si>
    <t xml:space="preserve">C02787</t>
  </si>
  <si>
    <t xml:space="preserve">C01509</t>
  </si>
  <si>
    <t xml:space="preserve">C02342</t>
  </si>
  <si>
    <t xml:space="preserve">C03570</t>
  </si>
  <si>
    <t xml:space="preserve">C01253</t>
  </si>
  <si>
    <t xml:space="preserve">C02053</t>
  </si>
  <si>
    <t xml:space="preserve">C03534</t>
  </si>
  <si>
    <t xml:space="preserve">C02151</t>
  </si>
  <si>
    <t xml:space="preserve">C03575</t>
  </si>
  <si>
    <t xml:space="preserve">C02229</t>
  </si>
  <si>
    <t xml:space="preserve">C01935</t>
  </si>
  <si>
    <t xml:space="preserve">C03860</t>
  </si>
  <si>
    <t xml:space="preserve">C02423</t>
  </si>
  <si>
    <t xml:space="preserve">C04078</t>
  </si>
  <si>
    <t xml:space="preserve">C03175</t>
  </si>
  <si>
    <t xml:space="preserve">C03893</t>
  </si>
  <si>
    <t xml:space="preserve">C01912</t>
  </si>
  <si>
    <t xml:space="preserve">C01599</t>
  </si>
  <si>
    <t xml:space="preserve">C02964</t>
  </si>
  <si>
    <t xml:space="preserve">C01870</t>
  </si>
  <si>
    <t xml:space="preserve">C01820</t>
  </si>
  <si>
    <t xml:space="preserve">C04301</t>
  </si>
  <si>
    <t xml:space="preserve">C02507</t>
  </si>
  <si>
    <t xml:space="preserve">C03898</t>
  </si>
  <si>
    <t xml:space="preserve">C01054</t>
  </si>
  <si>
    <t xml:space="preserve">C00439</t>
  </si>
  <si>
    <t xml:space="preserve">C02980</t>
  </si>
  <si>
    <t xml:space="preserve">C03075</t>
  </si>
  <si>
    <t xml:space="preserve">C00901</t>
  </si>
  <si>
    <t xml:space="preserve">C04530</t>
  </si>
  <si>
    <t xml:space="preserve">C03691</t>
  </si>
  <si>
    <t xml:space="preserve">C00032</t>
  </si>
  <si>
    <t xml:space="preserve">C00001</t>
  </si>
  <si>
    <t xml:space="preserve">C03232</t>
  </si>
  <si>
    <t xml:space="preserve">C02077</t>
  </si>
  <si>
    <t xml:space="preserve">C01931</t>
  </si>
  <si>
    <t xml:space="preserve">C03514</t>
  </si>
  <si>
    <t xml:space="preserve">C04148</t>
  </si>
  <si>
    <t xml:space="preserve">C00974</t>
  </si>
  <si>
    <t xml:space="preserve">C01634</t>
  </si>
  <si>
    <t xml:space="preserve">C02108</t>
  </si>
  <si>
    <t xml:space="preserve">C04044</t>
  </si>
  <si>
    <t xml:space="preserve">C03192</t>
  </si>
  <si>
    <t xml:space="preserve">C00089</t>
  </si>
  <si>
    <t xml:space="preserve">C01286</t>
  </si>
  <si>
    <t xml:space="preserve">C02206</t>
  </si>
  <si>
    <t xml:space="preserve">C04026</t>
  </si>
  <si>
    <t xml:space="preserve">C02440</t>
  </si>
  <si>
    <t xml:space="preserve">C03248</t>
  </si>
  <si>
    <t xml:space="preserve">C02852</t>
  </si>
  <si>
    <t xml:space="preserve">C01500</t>
  </si>
  <si>
    <t xml:space="preserve">C00138</t>
  </si>
  <si>
    <t xml:space="preserve">C03815</t>
  </si>
  <si>
    <t xml:space="preserve">C03904</t>
  </si>
  <si>
    <t xml:space="preserve">C00996</t>
  </si>
  <si>
    <t xml:space="preserve">C04090</t>
  </si>
  <si>
    <t xml:space="preserve">C02794</t>
  </si>
  <si>
    <t xml:space="preserve">C03146</t>
  </si>
  <si>
    <t xml:space="preserve">C02932</t>
  </si>
  <si>
    <t xml:space="preserve">C00968</t>
  </si>
  <si>
    <t xml:space="preserve">C04317</t>
  </si>
  <si>
    <t xml:space="preserve">C02226</t>
  </si>
  <si>
    <t xml:space="preserve">C00923</t>
  </si>
  <si>
    <t xml:space="preserve">C02511</t>
  </si>
  <si>
    <t xml:space="preserve">C00201</t>
  </si>
  <si>
    <t xml:space="preserve">C03595</t>
  </si>
  <si>
    <t xml:space="preserve">C00314</t>
  </si>
  <si>
    <t xml:space="preserve">C00060</t>
  </si>
  <si>
    <t xml:space="preserve">C01441</t>
  </si>
  <si>
    <t xml:space="preserve">C00326</t>
  </si>
  <si>
    <t xml:space="preserve">C02754</t>
  </si>
  <si>
    <t xml:space="preserve">C02909</t>
  </si>
  <si>
    <t xml:space="preserve">C03665</t>
  </si>
  <si>
    <t xml:space="preserve">C02044</t>
  </si>
  <si>
    <t xml:space="preserve">C02194</t>
  </si>
  <si>
    <t xml:space="preserve">C04349</t>
  </si>
  <si>
    <t xml:space="preserve">C02373</t>
  </si>
  <si>
    <t xml:space="preserve">C00769</t>
  </si>
  <si>
    <t xml:space="preserve">C02681</t>
  </si>
  <si>
    <t xml:space="preserve">C03050</t>
  </si>
  <si>
    <t xml:space="preserve">C03299</t>
  </si>
  <si>
    <t xml:space="preserve">C03965</t>
  </si>
  <si>
    <t xml:space="preserve">C03852</t>
  </si>
  <si>
    <t xml:space="preserve">C01457</t>
  </si>
  <si>
    <t xml:space="preserve">C01592</t>
  </si>
  <si>
    <t xml:space="preserve">C00038</t>
  </si>
  <si>
    <t xml:space="preserve">C02250</t>
  </si>
  <si>
    <t xml:space="preserve">C03704</t>
  </si>
  <si>
    <t xml:space="preserve">C01523</t>
  </si>
  <si>
    <t xml:space="preserve">C03097</t>
  </si>
  <si>
    <t xml:space="preserve">C01294</t>
  </si>
  <si>
    <t xml:space="preserve">C04050</t>
  </si>
  <si>
    <t xml:space="preserve">C00568</t>
  </si>
  <si>
    <t xml:space="preserve">C03237</t>
  </si>
  <si>
    <t xml:space="preserve">C01289</t>
  </si>
  <si>
    <t xml:space="preserve">C02477</t>
  </si>
  <si>
    <t xml:space="preserve">C01396</t>
  </si>
  <si>
    <t xml:space="preserve">C02778</t>
  </si>
  <si>
    <t xml:space="preserve">C01868</t>
  </si>
  <si>
    <t xml:space="preserve">C02385</t>
  </si>
  <si>
    <t xml:space="preserve">C02590</t>
  </si>
  <si>
    <t xml:space="preserve">C01361</t>
  </si>
  <si>
    <t xml:space="preserve">C02359</t>
  </si>
  <si>
    <t xml:space="preserve">C03056</t>
  </si>
  <si>
    <t xml:space="preserve">C03116</t>
  </si>
  <si>
    <t xml:space="preserve">C00275</t>
  </si>
  <si>
    <t xml:space="preserve">C00633</t>
  </si>
  <si>
    <t xml:space="preserve">C04241</t>
  </si>
  <si>
    <t xml:space="preserve">C02384</t>
  </si>
  <si>
    <t xml:space="preserve">C03305</t>
  </si>
  <si>
    <t xml:space="preserve">C04153</t>
  </si>
  <si>
    <t xml:space="preserve">C03826</t>
  </si>
  <si>
    <t xml:space="preserve">C03885</t>
  </si>
  <si>
    <t xml:space="preserve">C01703</t>
  </si>
  <si>
    <t xml:space="preserve">C02720</t>
  </si>
  <si>
    <t xml:space="preserve">C00615</t>
  </si>
  <si>
    <t xml:space="preserve">C03958</t>
  </si>
  <si>
    <t xml:space="preserve">C01474</t>
  </si>
  <si>
    <t xml:space="preserve">C03405</t>
  </si>
  <si>
    <t xml:space="preserve">C03884</t>
  </si>
  <si>
    <t xml:space="preserve">C01774</t>
  </si>
  <si>
    <t xml:space="preserve">C02112</t>
  </si>
  <si>
    <t xml:space="preserve">C03346</t>
  </si>
  <si>
    <t xml:space="preserve">C01817</t>
  </si>
  <si>
    <t xml:space="preserve">C04529</t>
  </si>
  <si>
    <t xml:space="preserve">C01483</t>
  </si>
  <si>
    <t xml:space="preserve">C02166</t>
  </si>
  <si>
    <t xml:space="preserve">C02538</t>
  </si>
  <si>
    <t xml:space="preserve">C03473</t>
  </si>
  <si>
    <t xml:space="preserve">C00214</t>
  </si>
  <si>
    <t xml:space="preserve">C02079</t>
  </si>
  <si>
    <t xml:space="preserve">C02994</t>
  </si>
  <si>
    <t xml:space="preserve">C04324</t>
  </si>
  <si>
    <t xml:space="preserve">C01079</t>
  </si>
  <si>
    <t xml:space="preserve">C02493</t>
  </si>
  <si>
    <t xml:space="preserve">C02640</t>
  </si>
  <si>
    <t xml:space="preserve">C01435</t>
  </si>
  <si>
    <t xml:space="preserve">C04151</t>
  </si>
  <si>
    <t xml:space="preserve">C04242</t>
  </si>
  <si>
    <t xml:space="preserve">C00125</t>
  </si>
  <si>
    <t xml:space="preserve">C00756</t>
  </si>
  <si>
    <t xml:space="preserve">C04375</t>
  </si>
  <si>
    <t xml:space="preserve">C00176</t>
  </si>
  <si>
    <t xml:space="preserve">C00440</t>
  </si>
  <si>
    <t xml:space="preserve">C01862</t>
  </si>
  <si>
    <t xml:space="preserve">C03109</t>
  </si>
  <si>
    <t xml:space="preserve">C01808</t>
  </si>
  <si>
    <t xml:space="preserve">C03732</t>
  </si>
  <si>
    <t xml:space="preserve">C00031</t>
  </si>
  <si>
    <t xml:space="preserve">C03119</t>
  </si>
  <si>
    <t xml:space="preserve">C01647</t>
  </si>
  <si>
    <t xml:space="preserve">C02190</t>
  </si>
  <si>
    <t xml:space="preserve">C01873</t>
  </si>
  <si>
    <t xml:space="preserve">C03145</t>
  </si>
  <si>
    <t xml:space="preserve">C03243</t>
  </si>
  <si>
    <t xml:space="preserve">C03883</t>
  </si>
  <si>
    <t xml:space="preserve">C00966</t>
  </si>
  <si>
    <t xml:space="preserve">C03400</t>
  </si>
  <si>
    <t xml:space="preserve">C02023</t>
  </si>
  <si>
    <t xml:space="preserve">C01836</t>
  </si>
  <si>
    <t xml:space="preserve">C02616</t>
  </si>
  <si>
    <t xml:space="preserve">C03290</t>
  </si>
  <si>
    <t xml:space="preserve">C01698</t>
  </si>
  <si>
    <t xml:space="preserve">C01070</t>
  </si>
  <si>
    <t xml:space="preserve">C02521</t>
  </si>
  <si>
    <t xml:space="preserve">C02133</t>
  </si>
  <si>
    <t xml:space="preserve">C04369</t>
  </si>
  <si>
    <t xml:space="preserve">C00387</t>
  </si>
  <si>
    <t xml:space="preserve">C00477</t>
  </si>
  <si>
    <t xml:space="preserve">C00523</t>
  </si>
  <si>
    <t xml:space="preserve">C02319</t>
  </si>
  <si>
    <t xml:space="preserve">C02083</t>
  </si>
  <si>
    <t xml:space="preserve">C04049</t>
  </si>
  <si>
    <t xml:space="preserve">C02123</t>
  </si>
  <si>
    <t xml:space="preserve">C00103</t>
  </si>
  <si>
    <t xml:space="preserve">C03025</t>
  </si>
  <si>
    <t xml:space="preserve">C00654</t>
  </si>
  <si>
    <t xml:space="preserve">C03769</t>
  </si>
  <si>
    <t xml:space="preserve">C04083</t>
  </si>
  <si>
    <t xml:space="preserve">C03707</t>
  </si>
  <si>
    <t xml:space="preserve">C02336</t>
  </si>
  <si>
    <t xml:space="preserve">C03186</t>
  </si>
  <si>
    <t xml:space="preserve">C01318</t>
  </si>
  <si>
    <t xml:space="preserve">C03324</t>
  </si>
  <si>
    <t xml:space="preserve">C03781</t>
  </si>
  <si>
    <t xml:space="preserve">C01720</t>
  </si>
  <si>
    <t xml:space="preserve">C01514</t>
  </si>
  <si>
    <t xml:space="preserve">C00258</t>
  </si>
  <si>
    <t xml:space="preserve">C00849</t>
  </si>
  <si>
    <t xml:space="preserve">C02781</t>
  </si>
  <si>
    <t xml:space="preserve">C00715</t>
  </si>
  <si>
    <t xml:space="preserve">C02188</t>
  </si>
  <si>
    <t xml:space="preserve">C03864</t>
  </si>
  <si>
    <t xml:space="preserve">C02530</t>
  </si>
  <si>
    <t xml:space="preserve">C04054</t>
  </si>
  <si>
    <t xml:space="preserve">C02774</t>
  </si>
  <si>
    <t xml:space="preserve">C00694</t>
  </si>
  <si>
    <t xml:space="preserve">C02944</t>
  </si>
  <si>
    <t xml:space="preserve">C02139</t>
  </si>
  <si>
    <t xml:space="preserve">C02002</t>
  </si>
  <si>
    <t xml:space="preserve">C01275</t>
  </si>
  <si>
    <t xml:space="preserve">C03394</t>
  </si>
  <si>
    <t xml:space="preserve">C02340</t>
  </si>
  <si>
    <t xml:space="preserve">C00579</t>
  </si>
  <si>
    <t xml:space="preserve">C02777</t>
  </si>
  <si>
    <t xml:space="preserve">C00003</t>
  </si>
  <si>
    <t xml:space="preserve">C02382</t>
  </si>
  <si>
    <t xml:space="preserve">C03756</t>
  </si>
  <si>
    <t xml:space="preserve">C02981</t>
  </si>
  <si>
    <t xml:space="preserve">C00973</t>
  </si>
  <si>
    <t xml:space="preserve">C02454</t>
  </si>
  <si>
    <t xml:space="preserve">C00366</t>
  </si>
  <si>
    <t xml:space="preserve">C03870</t>
  </si>
  <si>
    <t xml:space="preserve">C00197</t>
  </si>
  <si>
    <t xml:space="preserve">C02831</t>
  </si>
  <si>
    <t xml:space="preserve">C02892</t>
  </si>
  <si>
    <t xml:space="preserve">C00584</t>
  </si>
  <si>
    <t xml:space="preserve">C00829</t>
  </si>
  <si>
    <t xml:space="preserve">C04273</t>
  </si>
  <si>
    <t xml:space="preserve">C03196</t>
  </si>
  <si>
    <t xml:space="preserve">C00200</t>
  </si>
  <si>
    <t xml:space="preserve">C03787</t>
  </si>
  <si>
    <t xml:space="preserve">C02894</t>
  </si>
  <si>
    <t xml:space="preserve">C04371</t>
  </si>
  <si>
    <t xml:space="preserve">C04440</t>
  </si>
  <si>
    <t xml:space="preserve">C04330</t>
  </si>
  <si>
    <t xml:space="preserve">C04213</t>
  </si>
  <si>
    <t xml:space="preserve">C03065</t>
  </si>
  <si>
    <t xml:space="preserve">C03016</t>
  </si>
  <si>
    <t xml:space="preserve">C01716</t>
  </si>
  <si>
    <t xml:space="preserve">C04403</t>
  </si>
  <si>
    <t xml:space="preserve">C02218</t>
  </si>
  <si>
    <t xml:space="preserve">C02671</t>
  </si>
  <si>
    <t xml:space="preserve">C00400</t>
  </si>
  <si>
    <t xml:space="preserve">C03924</t>
  </si>
  <si>
    <t xml:space="preserve">C03357</t>
  </si>
  <si>
    <t xml:space="preserve">C00576</t>
  </si>
  <si>
    <t xml:space="preserve">C01146</t>
  </si>
  <si>
    <t xml:space="preserve">C03038</t>
  </si>
  <si>
    <t xml:space="preserve">C02330</t>
  </si>
  <si>
    <t xml:space="preserve">C00650</t>
  </si>
  <si>
    <t xml:space="preserve">C03992</t>
  </si>
  <si>
    <t xml:space="preserve">C00195</t>
  </si>
  <si>
    <t xml:space="preserve">C02912</t>
  </si>
  <si>
    <t xml:space="preserve">C04394</t>
  </si>
  <si>
    <t xml:space="preserve">C00305</t>
  </si>
  <si>
    <t xml:space="preserve">C00948</t>
  </si>
  <si>
    <t xml:space="preserve">C02666</t>
  </si>
  <si>
    <t xml:space="preserve">C02678</t>
  </si>
  <si>
    <t xml:space="preserve">C00100</t>
  </si>
  <si>
    <t xml:space="preserve">C03960</t>
  </si>
  <si>
    <t xml:space="preserve">C02046</t>
  </si>
  <si>
    <t xml:space="preserve">C03166</t>
  </si>
  <si>
    <t xml:space="preserve">C04299</t>
  </si>
  <si>
    <t xml:space="preserve">C01918</t>
  </si>
  <si>
    <t xml:space="preserve">C03442</t>
  </si>
  <si>
    <t xml:space="preserve">C03634</t>
  </si>
  <si>
    <t xml:space="preserve">C00019</t>
  </si>
  <si>
    <t xml:space="preserve">C04385</t>
  </si>
  <si>
    <t xml:space="preserve">C04112</t>
  </si>
  <si>
    <t xml:space="preserve">C02749</t>
  </si>
  <si>
    <t xml:space="preserve">C03178</t>
  </si>
  <si>
    <t xml:space="preserve">C04363</t>
  </si>
  <si>
    <t xml:space="preserve">C01885</t>
  </si>
  <si>
    <t xml:space="preserve">C03151</t>
  </si>
  <si>
    <t xml:space="preserve">C00306</t>
  </si>
  <si>
    <t xml:space="preserve">C02624</t>
  </si>
  <si>
    <t xml:space="preserve">C00081</t>
  </si>
  <si>
    <t xml:space="preserve">C02704</t>
  </si>
  <si>
    <t xml:space="preserve">C03230</t>
  </si>
  <si>
    <t xml:space="preserve">C00348</t>
  </si>
  <si>
    <t xml:space="preserve">C01789</t>
  </si>
  <si>
    <t xml:space="preserve">C03678</t>
  </si>
  <si>
    <t xml:space="preserve">C02755</t>
  </si>
  <si>
    <t xml:space="preserve">C04215</t>
  </si>
  <si>
    <t xml:space="preserve">C01886</t>
  </si>
  <si>
    <t xml:space="preserve">C02635</t>
  </si>
  <si>
    <t xml:space="preserve">C02768</t>
  </si>
  <si>
    <t xml:space="preserve">C00728</t>
  </si>
  <si>
    <t xml:space="preserve">C00187</t>
  </si>
  <si>
    <t xml:space="preserve">C03539</t>
  </si>
  <si>
    <t xml:space="preserve">C02224</t>
  </si>
  <si>
    <t xml:space="preserve">C02598</t>
  </si>
  <si>
    <t xml:space="preserve">C03063</t>
  </si>
  <si>
    <t xml:space="preserve">C01114</t>
  </si>
  <si>
    <t xml:space="preserve">C02904</t>
  </si>
  <si>
    <t xml:space="preserve">C03956</t>
  </si>
  <si>
    <t xml:space="preserve">C00690</t>
  </si>
  <si>
    <t xml:space="preserve">C02990</t>
  </si>
  <si>
    <t xml:space="preserve">C02441</t>
  </si>
  <si>
    <t xml:space="preserve">C03190</t>
  </si>
  <si>
    <t xml:space="preserve">C04279</t>
  </si>
  <si>
    <t xml:space="preserve">C04518</t>
  </si>
  <si>
    <t xml:space="preserve">C01651</t>
  </si>
  <si>
    <t xml:space="preserve">C01721</t>
  </si>
  <si>
    <t xml:space="preserve">C00135</t>
  </si>
  <si>
    <t xml:space="preserve">C02076</t>
  </si>
  <si>
    <t xml:space="preserve">C04459</t>
  </si>
  <si>
    <t xml:space="preserve">C00984</t>
  </si>
  <si>
    <t xml:space="preserve">C03274</t>
  </si>
  <si>
    <t xml:space="preserve">C03366</t>
  </si>
  <si>
    <t xml:space="preserve">C04381</t>
  </si>
  <si>
    <t xml:space="preserve">C00570</t>
  </si>
  <si>
    <t xml:space="preserve">C00874</t>
  </si>
  <si>
    <t xml:space="preserve">C03887</t>
  </si>
  <si>
    <t xml:space="preserve">C03408</t>
  </si>
  <si>
    <t xml:space="preserve">C00319</t>
  </si>
  <si>
    <t xml:space="preserve">C03363</t>
  </si>
  <si>
    <t xml:space="preserve">C01542</t>
  </si>
  <si>
    <t xml:space="preserve">C04052</t>
  </si>
  <si>
    <t xml:space="preserve">C02589</t>
  </si>
  <si>
    <t xml:space="preserve">C01900</t>
  </si>
  <si>
    <t xml:space="preserve">C04342</t>
  </si>
  <si>
    <t xml:space="preserve">C03702</t>
  </si>
  <si>
    <t xml:space="preserve">C00139</t>
  </si>
  <si>
    <t xml:space="preserve">C03604</t>
  </si>
  <si>
    <t xml:space="preserve">C03527</t>
  </si>
  <si>
    <t xml:space="preserve">C04040</t>
  </si>
  <si>
    <t xml:space="preserve">C03464</t>
  </si>
  <si>
    <t xml:space="preserve">C04088</t>
  </si>
  <si>
    <t xml:space="preserve">C02174</t>
  </si>
  <si>
    <t xml:space="preserve">C02561</t>
  </si>
  <si>
    <t xml:space="preserve">C02031</t>
  </si>
  <si>
    <t xml:space="preserve">C04045</t>
  </si>
  <si>
    <t xml:space="preserve">C04522</t>
  </si>
  <si>
    <t xml:space="preserve">C04418</t>
  </si>
  <si>
    <t xml:space="preserve">C01895</t>
  </si>
  <si>
    <t xml:space="preserve">C00137</t>
  </si>
  <si>
    <t xml:space="preserve">C00655</t>
  </si>
  <si>
    <t xml:space="preserve">C02007</t>
  </si>
  <si>
    <t xml:space="preserve">C01803</t>
  </si>
  <si>
    <t xml:space="preserve">C01002</t>
  </si>
  <si>
    <t xml:space="preserve">C04136</t>
  </si>
  <si>
    <t xml:space="preserve">C02180</t>
  </si>
  <si>
    <t xml:space="preserve">C01183</t>
  </si>
  <si>
    <t xml:space="preserve">C02566</t>
  </si>
  <si>
    <t xml:space="preserve">C01122</t>
  </si>
  <si>
    <t xml:space="preserve">C01053</t>
  </si>
  <si>
    <t xml:space="preserve">C04319</t>
  </si>
  <si>
    <t xml:space="preserve">C04119</t>
  </si>
  <si>
    <t xml:space="preserve">C02214</t>
  </si>
  <si>
    <t xml:space="preserve">C03297</t>
  </si>
  <si>
    <t xml:space="preserve">C02286</t>
  </si>
  <si>
    <t xml:space="preserve">C02529</t>
  </si>
  <si>
    <t xml:space="preserve">C03600</t>
  </si>
  <si>
    <t xml:space="preserve">C01941</t>
  </si>
  <si>
    <t xml:space="preserve">C01604</t>
  </si>
  <si>
    <t xml:space="preserve">C02516</t>
  </si>
  <si>
    <t xml:space="preserve">C04478</t>
  </si>
  <si>
    <t xml:space="preserve">C00741</t>
  </si>
  <si>
    <t xml:space="preserve">C03788</t>
  </si>
  <si>
    <t xml:space="preserve">C00532</t>
  </si>
  <si>
    <t xml:space="preserve">C03465</t>
  </si>
  <si>
    <t xml:space="preserve">C03434</t>
  </si>
  <si>
    <t xml:space="preserve">C01910</t>
  </si>
  <si>
    <t xml:space="preserve">C03136</t>
  </si>
  <si>
    <t xml:space="preserve">C02279</t>
  </si>
  <si>
    <t xml:space="preserve">C01194</t>
  </si>
  <si>
    <t xml:space="preserve">C04456</t>
  </si>
  <si>
    <t xml:space="preserve">C00593</t>
  </si>
  <si>
    <t xml:space="preserve">C03782</t>
  </si>
  <si>
    <t xml:space="preserve">C01731</t>
  </si>
  <si>
    <t xml:space="preserve">C04001</t>
  </si>
  <si>
    <t xml:space="preserve">C04538</t>
  </si>
  <si>
    <t xml:space="preserve">C03698</t>
  </si>
  <si>
    <t xml:space="preserve">C02573</t>
  </si>
  <si>
    <t xml:space="preserve">C02536</t>
  </si>
  <si>
    <t xml:space="preserve">C02609</t>
  </si>
  <si>
    <t xml:space="preserve">C02985</t>
  </si>
  <si>
    <t xml:space="preserve">C03042</t>
  </si>
  <si>
    <t xml:space="preserve">C02623</t>
  </si>
  <si>
    <t xml:space="preserve">C01878</t>
  </si>
  <si>
    <t xml:space="preserve">C04422</t>
  </si>
  <si>
    <t xml:space="preserve">C02258</t>
  </si>
  <si>
    <t xml:space="preserve">C04285</t>
  </si>
  <si>
    <t xml:space="preserve">C02693</t>
  </si>
  <si>
    <t xml:space="preserve">C03985</t>
  </si>
  <si>
    <t xml:space="preserve">C04214</t>
  </si>
  <si>
    <t xml:space="preserve">C00807</t>
  </si>
  <si>
    <t xml:space="preserve">C01382</t>
  </si>
  <si>
    <t xml:space="preserve">C00068</t>
  </si>
  <si>
    <t xml:space="preserve">C01218</t>
  </si>
  <si>
    <t xml:space="preserve">C01142</t>
  </si>
  <si>
    <t xml:space="preserve">C00254</t>
  </si>
  <si>
    <t xml:space="preserve">C01452</t>
  </si>
  <si>
    <t xml:space="preserve">C00805</t>
  </si>
  <si>
    <t xml:space="preserve">C03446</t>
  </si>
  <si>
    <t xml:space="preserve">C01369</t>
  </si>
  <si>
    <t xml:space="preserve">C00688</t>
  </si>
  <si>
    <t xml:space="preserve">C04239</t>
  </si>
  <si>
    <t xml:space="preserve">C03438</t>
  </si>
  <si>
    <t xml:space="preserve">C01632</t>
  </si>
  <si>
    <t xml:space="preserve">C01111</t>
  </si>
  <si>
    <t xml:space="preserve">C01660</t>
  </si>
  <si>
    <t xml:space="preserve">C03507</t>
  </si>
  <si>
    <t xml:space="preserve">C01165</t>
  </si>
  <si>
    <t xml:space="preserve">C02219</t>
  </si>
  <si>
    <t xml:space="preserve">C02350</t>
  </si>
  <si>
    <t xml:space="preserve">C00628</t>
  </si>
  <si>
    <t xml:space="preserve">C04528</t>
  </si>
  <si>
    <t xml:space="preserve">C00810</t>
  </si>
  <si>
    <t xml:space="preserve">C00445</t>
  </si>
  <si>
    <t xml:space="preserve">C03576</t>
  </si>
  <si>
    <t xml:space="preserve">C04408</t>
  </si>
  <si>
    <t xml:space="preserve">C02885</t>
  </si>
  <si>
    <t xml:space="preserve">C00656</t>
  </si>
  <si>
    <t xml:space="preserve">C01828</t>
  </si>
  <si>
    <t xml:space="preserve">C03168</t>
  </si>
  <si>
    <t xml:space="preserve">C03886</t>
  </si>
  <si>
    <t xml:space="preserve">C01734</t>
  </si>
  <si>
    <t xml:space="preserve">C03835</t>
  </si>
  <si>
    <t xml:space="preserve">C02483</t>
  </si>
  <si>
    <t xml:space="preserve">C02061</t>
  </si>
  <si>
    <t xml:space="preserve">C04359</t>
  </si>
  <si>
    <t xml:space="preserve">C02644</t>
  </si>
  <si>
    <t xml:space="preserve">C04433</t>
  </si>
  <si>
    <t xml:space="preserve">C02828</t>
  </si>
  <si>
    <t xml:space="preserve">C03073</t>
  </si>
  <si>
    <t xml:space="preserve">C00828</t>
  </si>
  <si>
    <t xml:space="preserve">C02793</t>
  </si>
  <si>
    <t xml:space="preserve">C00921</t>
  </si>
  <si>
    <t xml:space="preserve">C01673</t>
  </si>
  <si>
    <t xml:space="preserve">C03495</t>
  </si>
  <si>
    <t xml:space="preserve">C03074</t>
  </si>
  <si>
    <t xml:space="preserve">C01285</t>
  </si>
  <si>
    <t xml:space="preserve">C03533</t>
  </si>
  <si>
    <t xml:space="preserve">C04097</t>
  </si>
  <si>
    <t xml:space="preserve">C03164</t>
  </si>
  <si>
    <t xml:space="preserve">C03654</t>
  </si>
  <si>
    <t xml:space="preserve">C01685</t>
  </si>
  <si>
    <t xml:space="preserve">C02394</t>
  </si>
  <si>
    <t xml:space="preserve">C03878</t>
  </si>
  <si>
    <t xml:space="preserve">C02548</t>
  </si>
  <si>
    <t xml:space="preserve">C02290</t>
  </si>
  <si>
    <t xml:space="preserve">C02217</t>
  </si>
  <si>
    <t xml:space="preserve">C03133</t>
  </si>
  <si>
    <t xml:space="preserve">C02144</t>
  </si>
  <si>
    <t xml:space="preserve">C04015</t>
  </si>
  <si>
    <t xml:space="preserve">C01429</t>
  </si>
  <si>
    <t xml:space="preserve">C03412</t>
  </si>
  <si>
    <t xml:space="preserve">C02196</t>
  </si>
  <si>
    <t xml:space="preserve">C03993</t>
  </si>
  <si>
    <t xml:space="preserve">C00241</t>
  </si>
  <si>
    <t xml:space="preserve">C02080</t>
  </si>
  <si>
    <t xml:space="preserve">C01533</t>
  </si>
  <si>
    <t xml:space="preserve">C03909</t>
  </si>
  <si>
    <t xml:space="preserve">C04404</t>
  </si>
  <si>
    <t xml:space="preserve">C03005</t>
  </si>
  <si>
    <t xml:space="preserve">C00853</t>
  </si>
  <si>
    <t xml:space="preserve">C02421</t>
  </si>
  <si>
    <t xml:space="preserve">C03206</t>
  </si>
  <si>
    <t xml:space="preserve">C03296</t>
  </si>
  <si>
    <t xml:space="preserve">C04264</t>
  </si>
  <si>
    <t xml:space="preserve">C04500</t>
  </si>
  <si>
    <t xml:space="preserve">C02415</t>
  </si>
  <si>
    <t xml:space="preserve">C00264</t>
  </si>
  <si>
    <t xml:space="preserve">C02273</t>
  </si>
  <si>
    <t xml:space="preserve">C02970</t>
  </si>
  <si>
    <t xml:space="preserve">C04155</t>
  </si>
  <si>
    <t xml:space="preserve">C00017</t>
  </si>
  <si>
    <t xml:space="preserve">C00410</t>
  </si>
  <si>
    <t xml:space="preserve">C00021</t>
  </si>
  <si>
    <t xml:space="preserve">C01041</t>
  </si>
  <si>
    <t xml:space="preserve">C04415</t>
  </si>
  <si>
    <t xml:space="preserve">C03318</t>
  </si>
  <si>
    <t xml:space="preserve">C03395</t>
  </si>
  <si>
    <t xml:space="preserve">C00183</t>
  </si>
  <si>
    <t xml:space="preserve">C02231</t>
  </si>
  <si>
    <t xml:space="preserve">C03857</t>
  </si>
  <si>
    <t xml:space="preserve">C04036</t>
  </si>
  <si>
    <t xml:space="preserve">C03298</t>
  </si>
  <si>
    <t xml:space="preserve">C01545</t>
  </si>
  <si>
    <t xml:space="preserve">C02823</t>
  </si>
  <si>
    <t xml:space="preserve">C02212</t>
  </si>
  <si>
    <t xml:space="preserve">C00806</t>
  </si>
  <si>
    <t xml:space="preserve">C01365</t>
  </si>
  <si>
    <t xml:space="preserve">C01123</t>
  </si>
  <si>
    <t xml:space="preserve">C01327</t>
  </si>
  <si>
    <t xml:space="preserve">C03631</t>
  </si>
  <si>
    <t xml:space="preserve">C04428</t>
  </si>
  <si>
    <t xml:space="preserve">C00866</t>
  </si>
  <si>
    <t xml:space="preserve">C02101</t>
  </si>
  <si>
    <t xml:space="preserve">C04321</t>
  </si>
  <si>
    <t xml:space="preserve">C00870</t>
  </si>
  <si>
    <t xml:space="preserve">C01735</t>
  </si>
  <si>
    <t xml:space="preserve">C02269</t>
  </si>
  <si>
    <t xml:space="preserve">C00006</t>
  </si>
  <si>
    <t xml:space="preserve">C01039</t>
  </si>
  <si>
    <t xml:space="preserve">C03294</t>
  </si>
  <si>
    <t xml:space="preserve">C01320</t>
  </si>
  <si>
    <t xml:space="preserve">C03783</t>
  </si>
  <si>
    <t xml:space="preserve">C04507</t>
  </si>
  <si>
    <t xml:space="preserve">C02559</t>
  </si>
  <si>
    <t xml:space="preserve">C03015</t>
  </si>
  <si>
    <t xml:space="preserve">C01181</t>
  </si>
  <si>
    <t xml:space="preserve">C03021</t>
  </si>
  <si>
    <t xml:space="preserve">C01628</t>
  </si>
  <si>
    <t xml:space="preserve">C02162</t>
  </si>
  <si>
    <t xml:space="preserve">C03229</t>
  </si>
  <si>
    <t xml:space="preserve">C00674</t>
  </si>
  <si>
    <t xml:space="preserve">C03689</t>
  </si>
  <si>
    <t xml:space="preserve">C01849</t>
  </si>
  <si>
    <t xml:space="preserve">C03040</t>
  </si>
  <si>
    <t xml:space="preserve">C00280</t>
  </si>
  <si>
    <t xml:space="preserve">C02767</t>
  </si>
  <si>
    <t xml:space="preserve">C02197</t>
  </si>
  <si>
    <t xml:space="preserve">C03328</t>
  </si>
  <si>
    <t xml:space="preserve">C00444</t>
  </si>
  <si>
    <t xml:space="preserve">C03217</t>
  </si>
  <si>
    <t xml:space="preserve">C03615</t>
  </si>
  <si>
    <t xml:space="preserve">C03207</t>
  </si>
  <si>
    <t xml:space="preserve">C03797</t>
  </si>
  <si>
    <t xml:space="preserve">C00749</t>
  </si>
  <si>
    <t xml:space="preserve">C00854</t>
  </si>
  <si>
    <t xml:space="preserve">C03869</t>
  </si>
  <si>
    <t xml:space="preserve">C00732</t>
  </si>
  <si>
    <t xml:space="preserve">C04194</t>
  </si>
  <si>
    <t xml:space="preserve">C03423</t>
  </si>
  <si>
    <t xml:space="preserve">C01806</t>
  </si>
  <si>
    <t xml:space="preserve">C02832</t>
  </si>
  <si>
    <t xml:space="preserve">C03752</t>
  </si>
  <si>
    <t xml:space="preserve">C02236</t>
  </si>
  <si>
    <t xml:space="preserve">C00094</t>
  </si>
  <si>
    <t xml:space="preserve">C02839</t>
  </si>
  <si>
    <t xml:space="preserve">C00146</t>
  </si>
  <si>
    <t xml:space="preserve">C01131</t>
  </si>
  <si>
    <t xml:space="preserve">C04198</t>
  </si>
  <si>
    <t xml:space="preserve">C02846</t>
  </si>
  <si>
    <t xml:space="preserve">C04350</t>
  </si>
  <si>
    <t xml:space="preserve">C02650</t>
  </si>
  <si>
    <t xml:space="preserve">C03172</t>
  </si>
  <si>
    <t xml:space="preserve">C02531</t>
  </si>
  <si>
    <t xml:space="preserve">C00910</t>
  </si>
  <si>
    <t xml:space="preserve">C02738</t>
  </si>
  <si>
    <t xml:space="preserve">C00766</t>
  </si>
  <si>
    <t xml:space="preserve">C03401</t>
  </si>
  <si>
    <t xml:space="preserve">C02988</t>
  </si>
  <si>
    <t xml:space="preserve">C03824</t>
  </si>
  <si>
    <t xml:space="preserve">C03077</t>
  </si>
  <si>
    <t xml:space="preserve">C02810</t>
  </si>
  <si>
    <t xml:space="preserve">C01468</t>
  </si>
  <si>
    <t xml:space="preserve">C04314</t>
  </si>
  <si>
    <t xml:space="preserve">C03611</t>
  </si>
  <si>
    <t xml:space="preserve">C02578</t>
  </si>
  <si>
    <t xml:space="preserve">C03918</t>
  </si>
  <si>
    <t xml:space="preserve">C02157</t>
  </si>
  <si>
    <t xml:space="preserve">C03279</t>
  </si>
  <si>
    <t xml:space="preserve">C03834</t>
  </si>
  <si>
    <t xml:space="preserve">C01726</t>
  </si>
  <si>
    <t xml:space="preserve">C02325</t>
  </si>
  <si>
    <t xml:space="preserve">C03013</t>
  </si>
  <si>
    <t xml:space="preserve">C03859</t>
  </si>
  <si>
    <t xml:space="preserve">C04434</t>
  </si>
  <si>
    <t xml:space="preserve">C01823</t>
  </si>
  <si>
    <t xml:space="preserve">C00219</t>
  </si>
  <si>
    <t xml:space="preserve">C01688</t>
  </si>
  <si>
    <t xml:space="preserve">C04489</t>
  </si>
  <si>
    <t xml:space="preserve">C03945</t>
  </si>
  <si>
    <t xml:space="preserve">C03219</t>
  </si>
  <si>
    <t xml:space="preserve">C04160</t>
  </si>
  <si>
    <t xml:space="preserve">C00724</t>
  </si>
  <si>
    <t xml:space="preserve">C00406</t>
  </si>
  <si>
    <t xml:space="preserve">C03590</t>
  </si>
  <si>
    <t xml:space="preserve">C03577</t>
  </si>
  <si>
    <t xml:space="preserve">C02470</t>
  </si>
  <si>
    <t xml:space="preserve">C01948</t>
  </si>
  <si>
    <t xml:space="preserve">C01747</t>
  </si>
  <si>
    <t xml:space="preserve">C03768</t>
  </si>
  <si>
    <t xml:space="preserve">C01623</t>
  </si>
  <si>
    <t xml:space="preserve">C03003</t>
  </si>
  <si>
    <t xml:space="preserve">C00834</t>
  </si>
  <si>
    <t xml:space="preserve">C04457</t>
  </si>
  <si>
    <t xml:space="preserve">C00916</t>
  </si>
  <si>
    <t xml:space="preserve">C03392</t>
  </si>
  <si>
    <t xml:space="preserve">C03873</t>
  </si>
  <si>
    <t xml:space="preserve">C00282</t>
  </si>
  <si>
    <t xml:space="preserve">C03352</t>
  </si>
  <si>
    <t xml:space="preserve">C01254</t>
  </si>
  <si>
    <t xml:space="preserve">C03865</t>
  </si>
  <si>
    <t xml:space="preserve">C04158</t>
  </si>
  <si>
    <t xml:space="preserve">C01339</t>
  </si>
  <si>
    <t xml:space="preserve">C04115</t>
  </si>
  <si>
    <t xml:space="preserve">C00722</t>
  </si>
  <si>
    <t xml:space="preserve">C04545</t>
  </si>
  <si>
    <t xml:space="preserve">C01762</t>
  </si>
  <si>
    <t xml:space="preserve">C01018</t>
  </si>
  <si>
    <t xml:space="preserve">C02596</t>
  </si>
  <si>
    <t xml:space="preserve">C03849</t>
  </si>
  <si>
    <t xml:space="preserve">C00481</t>
  </si>
  <si>
    <t xml:space="preserve">C00316</t>
  </si>
  <si>
    <t xml:space="preserve">C03838</t>
  </si>
  <si>
    <t xml:space="preserve">C03452</t>
  </si>
  <si>
    <t xml:space="preserve">C03238</t>
  </si>
  <si>
    <t xml:space="preserve">C01502</t>
  </si>
  <si>
    <t xml:space="preserve">C01453</t>
  </si>
  <si>
    <t xml:space="preserve">C01107</t>
  </si>
  <si>
    <t xml:space="preserve">C01347</t>
  </si>
  <si>
    <t xml:space="preserve">C04294</t>
  </si>
  <si>
    <t xml:space="preserve">C04224</t>
  </si>
  <si>
    <t xml:space="preserve">C03836</t>
  </si>
  <si>
    <t xml:space="preserve">C00016</t>
  </si>
  <si>
    <t xml:space="preserve">C00295</t>
  </si>
  <si>
    <t xml:space="preserve">C00571</t>
  </si>
  <si>
    <t xml:space="preserve">C02968</t>
  </si>
  <si>
    <t xml:space="preserve">C03376</t>
  </si>
  <si>
    <t xml:space="preserve">C01282</t>
  </si>
  <si>
    <t xml:space="preserve">C04274</t>
  </si>
  <si>
    <t xml:space="preserve">C04411</t>
  </si>
  <si>
    <t xml:space="preserve">C00713</t>
  </si>
  <si>
    <t xml:space="preserve">C03301</t>
  </si>
  <si>
    <t xml:space="preserve">C02637</t>
  </si>
  <si>
    <t xml:space="preserve">C00163</t>
  </si>
  <si>
    <t xml:space="preserve">C03089</t>
  </si>
  <si>
    <t xml:space="preserve">C01925</t>
  </si>
  <si>
    <t xml:space="preserve">C04351</t>
  </si>
  <si>
    <t xml:space="preserve">C04509</t>
  </si>
  <si>
    <t xml:space="preserve">C02431</t>
  </si>
  <si>
    <t xml:space="preserve">C03037</t>
  </si>
  <si>
    <t xml:space="preserve">C03292</t>
  </si>
  <si>
    <t xml:space="preserve">C03148</t>
  </si>
  <si>
    <t xml:space="preserve">C03268</t>
  </si>
  <si>
    <t xml:space="preserve">C00177</t>
  </si>
  <si>
    <t xml:space="preserve">C03776</t>
  </si>
  <si>
    <t xml:space="preserve">C02307</t>
  </si>
  <si>
    <t xml:space="preserve">C03919</t>
  </si>
  <si>
    <t xml:space="preserve">C02772</t>
  </si>
  <si>
    <t xml:space="preserve">C02898</t>
  </si>
  <si>
    <t xml:space="preserve">C02565</t>
  </si>
  <si>
    <t xml:space="preserve">C01420</t>
  </si>
  <si>
    <t xml:space="preserve">C04271</t>
  </si>
  <si>
    <t xml:space="preserve">C02462</t>
  </si>
  <si>
    <t xml:space="preserve">C00969</t>
  </si>
  <si>
    <t xml:space="preserve">C04023</t>
  </si>
  <si>
    <t xml:space="preserve">C02861</t>
  </si>
  <si>
    <t xml:space="preserve">C00054</t>
  </si>
  <si>
    <t xml:space="preserve">C03668</t>
  </si>
  <si>
    <t xml:space="preserve">C01934</t>
  </si>
  <si>
    <t xml:space="preserve">C01221</t>
  </si>
  <si>
    <t xml:space="preserve">C02929</t>
  </si>
  <si>
    <t xml:space="preserve">C00494</t>
  </si>
  <si>
    <t xml:space="preserve">C04087</t>
  </si>
  <si>
    <t xml:space="preserve">C04504</t>
  </si>
  <si>
    <t xml:space="preserve">C03385</t>
  </si>
  <si>
    <t xml:space="preserve">C03255</t>
  </si>
  <si>
    <t xml:space="preserve">C00427</t>
  </si>
  <si>
    <t xml:space="preserve">C01980</t>
  </si>
  <si>
    <t xml:space="preserve">C02193</t>
  </si>
  <si>
    <t xml:space="preserve">C04469</t>
  </si>
  <si>
    <t xml:space="preserve">C00281</t>
  </si>
  <si>
    <t xml:space="preserve">C03695</t>
  </si>
  <si>
    <t xml:space="preserve">C04021</t>
  </si>
  <si>
    <t xml:space="preserve">C03462</t>
  </si>
  <si>
    <t xml:space="preserve">C03900</t>
  </si>
  <si>
    <t xml:space="preserve">C00466</t>
  </si>
  <si>
    <t xml:space="preserve">C03092</t>
  </si>
  <si>
    <t xml:space="preserve">C02900</t>
  </si>
  <si>
    <t xml:space="preserve">C03018</t>
  </si>
  <si>
    <t xml:space="preserve">C00597</t>
  </si>
  <si>
    <t xml:space="preserve">C00208</t>
  </si>
  <si>
    <t xml:space="preserve">C04259</t>
  </si>
  <si>
    <t xml:space="preserve">C00851</t>
  </si>
  <si>
    <t xml:space="preserve">C04146</t>
  </si>
  <si>
    <t xml:space="preserve">C01549</t>
  </si>
  <si>
    <t xml:space="preserve">C00024</t>
  </si>
  <si>
    <t xml:space="preserve">C03710</t>
  </si>
  <si>
    <t xml:space="preserve">C03343</t>
  </si>
  <si>
    <t xml:space="preserve">C03304</t>
  </si>
  <si>
    <t xml:space="preserve">C03022</t>
  </si>
  <si>
    <t xml:space="preserve">C02939</t>
  </si>
  <si>
    <t xml:space="preserve">C04288</t>
  </si>
  <si>
    <t xml:space="preserve">C02685</t>
  </si>
  <si>
    <t xml:space="preserve">C00799</t>
  </si>
  <si>
    <t xml:space="preserve">C04268</t>
  </si>
  <si>
    <t xml:space="preserve">C03903</t>
  </si>
  <si>
    <t xml:space="preserve">C04217</t>
  </si>
  <si>
    <t xml:space="preserve">C04281</t>
  </si>
  <si>
    <t xml:space="preserve">C02647</t>
  </si>
  <si>
    <t xml:space="preserve">C01297</t>
  </si>
  <si>
    <t xml:space="preserve">C04481</t>
  </si>
  <si>
    <t xml:space="preserve">C00486</t>
  </si>
  <si>
    <t xml:space="preserve">C03345</t>
  </si>
  <si>
    <t xml:space="preserve">C03717</t>
  </si>
  <si>
    <t xml:space="preserve">C02054</t>
  </si>
  <si>
    <t xml:space="preserve">C02094</t>
  </si>
  <si>
    <t xml:space="preserve">C01933</t>
  </si>
  <si>
    <t xml:space="preserve">C03140</t>
  </si>
  <si>
    <t xml:space="preserve">C01515</t>
  </si>
  <si>
    <t xml:space="preserve">C03260</t>
  </si>
  <si>
    <t xml:space="preserve">C01249</t>
  </si>
  <si>
    <t xml:space="preserve">C02435</t>
  </si>
  <si>
    <t xml:space="preserve">C03894</t>
  </si>
  <si>
    <t xml:space="preserve">C03947</t>
  </si>
  <si>
    <t xml:space="preserve">C02064</t>
  </si>
  <si>
    <t xml:space="preserve">C02923</t>
  </si>
  <si>
    <t xml:space="preserve">C04192</t>
  </si>
  <si>
    <t xml:space="preserve">C01561</t>
  </si>
  <si>
    <t xml:space="preserve">C02882</t>
  </si>
  <si>
    <t xml:space="preserve">C03933</t>
  </si>
  <si>
    <t xml:space="preserve">C04047</t>
  </si>
  <si>
    <t xml:space="preserve">C02397</t>
  </si>
  <si>
    <t xml:space="preserve">C01570</t>
  </si>
  <si>
    <t xml:space="preserve">C00703</t>
  </si>
  <si>
    <t xml:space="preserve">C00927</t>
  </si>
  <si>
    <t xml:space="preserve">C01788</t>
  </si>
  <si>
    <t xml:space="preserve">C03964</t>
  </si>
  <si>
    <t xml:space="preserve">C03943</t>
  </si>
  <si>
    <t xml:space="preserve">C00253</t>
  </si>
  <si>
    <t xml:space="preserve">C02429</t>
  </si>
  <si>
    <t xml:space="preserve">C03712</t>
  </si>
  <si>
    <t xml:space="preserve">C02916</t>
  </si>
  <si>
    <t xml:space="preserve">C04033</t>
  </si>
  <si>
    <t xml:space="preserve">C03722</t>
  </si>
  <si>
    <t xml:space="preserve">C00415</t>
  </si>
  <si>
    <t xml:space="preserve">C01587</t>
  </si>
  <si>
    <t xml:space="preserve">C01702</t>
  </si>
  <si>
    <t xml:space="preserve">C00535</t>
  </si>
  <si>
    <t xml:space="preserve">C02380</t>
  </si>
  <si>
    <t xml:space="preserve">C02280</t>
  </si>
  <si>
    <t xml:space="preserve">C01487</t>
  </si>
  <si>
    <t xml:space="preserve">C04134</t>
  </si>
  <si>
    <t xml:space="preserve">C03283</t>
  </si>
  <si>
    <t xml:space="preserve">C03759</t>
  </si>
  <si>
    <t xml:space="preserve">C04323</t>
  </si>
  <si>
    <t xml:space="preserve">C03197</t>
  </si>
  <si>
    <t xml:space="preserve">C04306</t>
  </si>
  <si>
    <t xml:space="preserve">C03382</t>
  </si>
  <si>
    <t xml:space="preserve">C02008</t>
  </si>
  <si>
    <t xml:space="preserve">C01711</t>
  </si>
  <si>
    <t xml:space="preserve">C00955</t>
  </si>
  <si>
    <t xml:space="preserve">C03225</t>
  </si>
  <si>
    <t xml:space="preserve">C01936</t>
  </si>
  <si>
    <t xml:space="preserve">C04189</t>
  </si>
  <si>
    <t xml:space="preserve">C00548</t>
  </si>
  <si>
    <t xml:space="preserve">C03749</t>
  </si>
  <si>
    <t xml:space="preserve">C01679</t>
  </si>
  <si>
    <t xml:space="preserve">C01818</t>
  </si>
  <si>
    <t xml:space="preserve">C02281</t>
  </si>
  <si>
    <t xml:space="preserve">C03970</t>
  </si>
  <si>
    <t xml:space="preserve">C01753</t>
  </si>
  <si>
    <t xml:space="preserve">C02443</t>
  </si>
  <si>
    <t xml:space="preserve">C02877</t>
  </si>
  <si>
    <t xml:space="preserve">C02836</t>
  </si>
  <si>
    <t xml:space="preserve">C01942</t>
  </si>
  <si>
    <t xml:space="preserve">C01521</t>
  </si>
  <si>
    <t xml:space="preserve">C02047</t>
  </si>
  <si>
    <t xml:space="preserve">C04482</t>
  </si>
  <si>
    <t xml:space="preserve">C03663</t>
  </si>
  <si>
    <t xml:space="preserve">C02488</t>
  </si>
  <si>
    <t xml:space="preserve">C03775</t>
  </si>
  <si>
    <t xml:space="preserve">C02638</t>
  </si>
  <si>
    <t xml:space="preserve">C04420</t>
  </si>
  <si>
    <t xml:space="preserve">C03391</t>
  </si>
  <si>
    <t xml:space="preserve">C02813</t>
  </si>
  <si>
    <t xml:space="preserve">C00083</t>
  </si>
  <si>
    <t xml:space="preserve">C00590</t>
  </si>
  <si>
    <t xml:space="preserve">C03440</t>
  </si>
  <si>
    <t xml:space="preserve">C04382</t>
  </si>
  <si>
    <t xml:space="preserve">C04399</t>
  </si>
  <si>
    <t xml:space="preserve">C01155</t>
  </si>
  <si>
    <t xml:space="preserve">C02361</t>
  </si>
  <si>
    <t xml:space="preserve">C02471</t>
  </si>
  <si>
    <t xml:space="preserve">C02368</t>
  </si>
  <si>
    <t xml:space="preserve">C00512</t>
  </si>
  <si>
    <t xml:space="preserve">C04202</t>
  </si>
  <si>
    <t xml:space="preserve">C04209</t>
  </si>
  <si>
    <t xml:space="preserve">C03487</t>
  </si>
  <si>
    <t xml:space="preserve">C01627</t>
  </si>
  <si>
    <t xml:space="preserve">C02513</t>
  </si>
  <si>
    <t xml:space="preserve">C00668</t>
  </si>
  <si>
    <t xml:space="preserve">C03745</t>
  </si>
  <si>
    <t xml:space="preserve">C04056</t>
  </si>
  <si>
    <t xml:space="preserve">C04063</t>
  </si>
  <si>
    <t xml:space="preserve">C03742</t>
  </si>
  <si>
    <t xml:space="preserve">C04009</t>
  </si>
  <si>
    <t xml:space="preserve">C03916</t>
  </si>
  <si>
    <t xml:space="preserve">C02032</t>
  </si>
  <si>
    <t xml:space="preserve">C01102</t>
  </si>
  <si>
    <t xml:space="preserve">C02690</t>
  </si>
  <si>
    <t xml:space="preserve">C00564</t>
  </si>
  <si>
    <t xml:space="preserve">C04292</t>
  </si>
  <si>
    <t xml:space="preserve">C04094</t>
  </si>
  <si>
    <t xml:space="preserve">C03675</t>
  </si>
  <si>
    <t xml:space="preserve">C01736</t>
  </si>
  <si>
    <t xml:space="preserve">C01228</t>
  </si>
  <si>
    <t xml:space="preserve">C04107</t>
  </si>
  <si>
    <t xml:space="preserve">C02725</t>
  </si>
  <si>
    <t xml:space="preserve">C01668</t>
  </si>
  <si>
    <t xml:space="preserve">C02249</t>
  </si>
  <si>
    <t xml:space="preserve">C04501</t>
  </si>
  <si>
    <t xml:space="preserve">C02800</t>
  </si>
  <si>
    <t xml:space="preserve">C00689</t>
  </si>
  <si>
    <t xml:space="preserve">C00988</t>
  </si>
  <si>
    <t xml:space="preserve">C02748</t>
  </si>
  <si>
    <t xml:space="preserve">C03616</t>
  </si>
  <si>
    <t xml:space="preserve">C00059</t>
  </si>
  <si>
    <t xml:space="preserve">C02993</t>
  </si>
  <si>
    <t xml:space="preserve">C02492</t>
  </si>
  <si>
    <t xml:space="preserve">C00636</t>
  </si>
  <si>
    <t xml:space="preserve">C00141</t>
  </si>
  <si>
    <t xml:space="preserve">C01563</t>
  </si>
  <si>
    <t xml:space="preserve">C03505</t>
  </si>
  <si>
    <t xml:space="preserve">C03195</t>
  </si>
  <si>
    <t xml:space="preserve">C00908</t>
  </si>
  <si>
    <t xml:space="preserve">C02937</t>
  </si>
  <si>
    <t xml:space="preserve">C00960</t>
  </si>
  <si>
    <t xml:space="preserve">C03008</t>
  </si>
  <si>
    <t xml:space="preserve">C03329</t>
  </si>
  <si>
    <t xml:space="preserve">C02633</t>
  </si>
  <si>
    <t xml:space="preserve">C03212</t>
  </si>
  <si>
    <t xml:space="preserve">C03753</t>
  </si>
  <si>
    <t xml:space="preserve">C04232</t>
  </si>
  <si>
    <t xml:space="preserve">C03592</t>
  </si>
  <si>
    <t xml:space="preserve">C03071</t>
  </si>
  <si>
    <t xml:space="preserve">C00903</t>
  </si>
  <si>
    <t xml:space="preserve">C01461</t>
  </si>
  <si>
    <t xml:space="preserve">C00565</t>
  </si>
  <si>
    <t xml:space="preserve">C00355</t>
  </si>
  <si>
    <t xml:space="preserve">C01732</t>
  </si>
  <si>
    <t xml:space="preserve">C03377</t>
  </si>
  <si>
    <t xml:space="preserve">C03418</t>
  </si>
  <si>
    <t xml:space="preserve">C02773</t>
  </si>
  <si>
    <t xml:space="preserve">C01718</t>
  </si>
  <si>
    <t xml:space="preserve">C03491</t>
  </si>
  <si>
    <t xml:space="preserve">C04171</t>
  </si>
  <si>
    <t xml:space="preserve">C03839</t>
  </si>
  <si>
    <t xml:space="preserve">C03882</t>
  </si>
  <si>
    <t xml:space="preserve">C00634</t>
  </si>
  <si>
    <t xml:space="preserve">C04176</t>
  </si>
  <si>
    <t xml:space="preserve">C03107</t>
  </si>
  <si>
    <t xml:space="preserve">C03159</t>
  </si>
  <si>
    <t xml:space="preserve">C03253</t>
  </si>
  <si>
    <t xml:space="preserve">C04226</t>
  </si>
  <si>
    <t xml:space="preserve">C00612</t>
  </si>
  <si>
    <t xml:space="preserve">C01960</t>
  </si>
  <si>
    <t xml:space="preserve">C04327</t>
  </si>
  <si>
    <t xml:space="preserve">C01813</t>
  </si>
  <si>
    <t xml:space="preserve">C04523</t>
  </si>
  <si>
    <t xml:space="preserve">C00333</t>
  </si>
  <si>
    <t xml:space="preserve">C02568</t>
  </si>
  <si>
    <t xml:space="preserve">C03693</t>
  </si>
  <si>
    <t xml:space="preserve">C02871</t>
  </si>
  <si>
    <t xml:space="preserve">C00151</t>
  </si>
  <si>
    <t xml:space="preserve">C04068</t>
  </si>
  <si>
    <t xml:space="preserve">C01046</t>
  </si>
  <si>
    <t xml:space="preserve">C00550</t>
  </si>
  <si>
    <t xml:space="preserve">C02425</t>
  </si>
  <si>
    <t xml:space="preserve">C01965</t>
  </si>
  <si>
    <t xml:space="preserve">C03549</t>
  </si>
  <si>
    <t xml:space="preserve">C03216</t>
  </si>
  <si>
    <t xml:space="preserve">C04479</t>
  </si>
  <si>
    <t xml:space="preserve">C02265</t>
  </si>
  <si>
    <t xml:space="preserve">C02042</t>
  </si>
  <si>
    <t xml:space="preserve">C01583</t>
  </si>
  <si>
    <t xml:space="preserve">C04357</t>
  </si>
  <si>
    <t xml:space="preserve">C01705</t>
  </si>
  <si>
    <t xml:space="preserve">C01844</t>
  </si>
  <si>
    <t xml:space="preserve">C01874</t>
  </si>
  <si>
    <t xml:space="preserve">C02883</t>
  </si>
  <si>
    <t xml:space="preserve">C02021</t>
  </si>
  <si>
    <t xml:space="preserve">C03359</t>
  </si>
  <si>
    <t xml:space="preserve">C01987</t>
  </si>
  <si>
    <t xml:space="preserve">C03837</t>
  </si>
  <si>
    <t xml:space="preserve">C01970</t>
  </si>
  <si>
    <t xml:space="preserve">C00813</t>
  </si>
  <si>
    <t xml:space="preserve">C00591</t>
  </si>
  <si>
    <t xml:space="preserve">C00610</t>
  </si>
  <si>
    <t xml:space="preserve">C04503</t>
  </si>
  <si>
    <t xml:space="preserve">C03171</t>
  </si>
  <si>
    <t xml:space="preserve">C03091</t>
  </si>
  <si>
    <t xml:space="preserve">C04311</t>
  </si>
  <si>
    <t xml:space="preserve">C04406</t>
  </si>
  <si>
    <t xml:space="preserve">C03563</t>
  </si>
  <si>
    <t xml:space="preserve">C03469</t>
  </si>
  <si>
    <t xml:space="preserve">C03901</t>
  </si>
  <si>
    <t xml:space="preserve">C03349</t>
  </si>
  <si>
    <t xml:space="preserve">C00631</t>
  </si>
  <si>
    <t xml:space="preserve">C01284</t>
  </si>
  <si>
    <t xml:space="preserve">C04182</t>
  </si>
  <si>
    <t xml:space="preserve">C04290</t>
  </si>
  <si>
    <t xml:space="preserve">C01997</t>
  </si>
  <si>
    <t xml:space="preserve">C03649</t>
  </si>
  <si>
    <t xml:space="preserve">C00205</t>
  </si>
  <si>
    <t xml:space="preserve">C01103</t>
  </si>
  <si>
    <t xml:space="preserve">C00449</t>
  </si>
  <si>
    <t xml:space="preserve">C00367</t>
  </si>
  <si>
    <t xml:space="preserve">C01666</t>
  </si>
  <si>
    <t xml:space="preserve">C03108</t>
  </si>
  <si>
    <t xml:space="preserve">C04074</t>
  </si>
  <si>
    <t xml:space="preserve">C04092</t>
  </si>
  <si>
    <t xml:space="preserve">C00871</t>
  </si>
  <si>
    <t xml:space="preserve">C02018</t>
  </si>
  <si>
    <t xml:space="preserve">C00299</t>
  </si>
  <si>
    <t xml:space="preserve">C04199</t>
  </si>
  <si>
    <t xml:space="preserve">C04402</t>
  </si>
  <si>
    <t xml:space="preserve">C04392</t>
  </si>
  <si>
    <t xml:space="preserve">C00182</t>
  </si>
  <si>
    <t xml:space="preserve">C02816</t>
  </si>
  <si>
    <t xml:space="preserve">C03741</t>
  </si>
  <si>
    <t xml:space="preserve">C04186</t>
  </si>
  <si>
    <t xml:space="preserve">C03383</t>
  </si>
  <si>
    <t xml:space="preserve">C02607</t>
  </si>
  <si>
    <t xml:space="preserve">C03794</t>
  </si>
  <si>
    <t xml:space="preserve">C00587</t>
  </si>
  <si>
    <t xml:space="preserve">C01042</t>
  </si>
  <si>
    <t xml:space="preserve">C04506</t>
  </si>
  <si>
    <t xml:space="preserve">C03088</t>
  </si>
  <si>
    <t xml:space="preserve">C03568</t>
  </si>
  <si>
    <t xml:space="preserve">C03844</t>
  </si>
  <si>
    <t xml:space="preserve">C02718</t>
  </si>
  <si>
    <t xml:space="preserve">C01066</t>
  </si>
  <si>
    <t xml:space="preserve">C04492</t>
  </si>
  <si>
    <t xml:space="preserve">C02711</t>
  </si>
  <si>
    <t xml:space="preserve">C02369</t>
  </si>
  <si>
    <t xml:space="preserve">C03194</t>
  </si>
  <si>
    <t xml:space="preserve">C02851</t>
  </si>
  <si>
    <t xml:space="preserve">C02370</t>
  </si>
  <si>
    <t xml:space="preserve">C01293</t>
  </si>
  <si>
    <t xml:space="preserve">C03928</t>
  </si>
  <si>
    <t xml:space="preserve">C01051</t>
  </si>
  <si>
    <t xml:space="preserve">C00472</t>
  </si>
  <si>
    <t xml:space="preserve">C00836</t>
  </si>
  <si>
    <t xml:space="preserve">C03012</t>
  </si>
  <si>
    <t xml:space="preserve">C02758</t>
  </si>
  <si>
    <t xml:space="preserve">C00718</t>
  </si>
  <si>
    <t xml:space="preserve">C01312</t>
  </si>
  <si>
    <t xml:space="preserve">C02118</t>
  </si>
  <si>
    <t xml:space="preserve">C01550</t>
  </si>
  <si>
    <t xml:space="preserve">C02743</t>
  </si>
  <si>
    <t xml:space="preserve">C03266</t>
  </si>
  <si>
    <t xml:space="preserve">C04084</t>
  </si>
  <si>
    <t xml:space="preserve">C03079</t>
  </si>
  <si>
    <t xml:space="preserve">C01725</t>
  </si>
  <si>
    <t xml:space="preserve">C03700</t>
  </si>
  <si>
    <t xml:space="preserve">C03128</t>
  </si>
  <si>
    <t xml:space="preserve">C03278</t>
  </si>
  <si>
    <t xml:space="preserve">C00956</t>
  </si>
  <si>
    <t xml:space="preserve">C02363</t>
  </si>
  <si>
    <t xml:space="preserve">C04181</t>
  </si>
  <si>
    <t xml:space="preserve">C03967</t>
  </si>
  <si>
    <t xml:space="preserve">C04154</t>
  </si>
  <si>
    <t xml:space="preserve">C02084</t>
  </si>
  <si>
    <t xml:space="preserve">C00072</t>
  </si>
  <si>
    <t xml:space="preserve">C02466</t>
  </si>
  <si>
    <t xml:space="preserve">C04133</t>
  </si>
  <si>
    <t xml:space="preserve">C03648</t>
  </si>
  <si>
    <t xml:space="preserve">C00889</t>
  </si>
  <si>
    <t xml:space="preserve">C02230</t>
  </si>
  <si>
    <t xml:space="preserve">C01855</t>
  </si>
  <si>
    <t xml:space="preserve">C03231</t>
  </si>
  <si>
    <t xml:space="preserve">C03364</t>
  </si>
  <si>
    <t xml:space="preserve">C03640</t>
  </si>
  <si>
    <t xml:space="preserve">C01164</t>
  </si>
  <si>
    <t xml:space="preserve">C01058</t>
  </si>
  <si>
    <t xml:space="preserve">C04315</t>
  </si>
  <si>
    <t xml:space="preserve">C03351</t>
  </si>
  <si>
    <t xml:space="preserve">C01099</t>
  </si>
  <si>
    <t xml:space="preserve">C03330</t>
  </si>
  <si>
    <t xml:space="preserve">C02345</t>
  </si>
  <si>
    <t xml:space="preserve">C02606</t>
  </si>
  <si>
    <t xml:space="preserve">C02660</t>
  </si>
  <si>
    <t xml:space="preserve">C01639</t>
  </si>
  <si>
    <t xml:space="preserve">C02096</t>
  </si>
  <si>
    <t xml:space="preserve">C03624</t>
  </si>
  <si>
    <t xml:space="preserve">C00932</t>
  </si>
  <si>
    <t xml:space="preserve">C00344</t>
  </si>
  <si>
    <t xml:space="preserve">C00782</t>
  </si>
  <si>
    <t xml:space="preserve">C02729</t>
  </si>
  <si>
    <t xml:space="preserve">C03474</t>
  </si>
  <si>
    <t xml:space="preserve">C00322</t>
  </si>
  <si>
    <t xml:space="preserve">C02314</t>
  </si>
  <si>
    <t xml:space="preserve">C01491</t>
  </si>
  <si>
    <t xml:space="preserve">C01437</t>
  </si>
  <si>
    <t xml:space="preserve">C01786</t>
  </si>
  <si>
    <t xml:space="preserve">C02519</t>
  </si>
  <si>
    <t xml:space="preserve">C03891</t>
  </si>
  <si>
    <t xml:space="preserve">C01683</t>
  </si>
  <si>
    <t xml:space="preserve">C02811</t>
  </si>
  <si>
    <t xml:space="preserve">C02019</t>
  </si>
  <si>
    <t xml:space="preserve">C03286</t>
  </si>
  <si>
    <t xml:space="preserve">C04042</t>
  </si>
  <si>
    <t xml:space="preserve">C02893</t>
  </si>
  <si>
    <t xml:space="preserve">C03310</t>
  </si>
  <si>
    <t xml:space="preserve">C03934</t>
  </si>
  <si>
    <t xml:space="preserve">C04145</t>
  </si>
  <si>
    <t xml:space="preserve">C00229</t>
  </si>
  <si>
    <t xml:space="preserve">C04320</t>
  </si>
  <si>
    <t xml:space="preserve">C02419</t>
  </si>
  <si>
    <t xml:space="preserve">C01052</t>
  </si>
  <si>
    <t xml:space="preserve">C01108</t>
  </si>
  <si>
    <t xml:space="preserve">C00134</t>
  </si>
  <si>
    <t xml:space="preserve">C04168</t>
  </si>
  <si>
    <t xml:space="preserve">C01260</t>
  </si>
  <si>
    <t xml:space="preserve">C03657</t>
  </si>
  <si>
    <t xml:space="preserve">C04443</t>
  </si>
  <si>
    <t xml:space="preserve">C01460</t>
  </si>
  <si>
    <t xml:space="preserve">C01864</t>
  </si>
  <si>
    <t xml:space="preserve">C00930</t>
  </si>
  <si>
    <t xml:space="preserve">C04353</t>
  </si>
  <si>
    <t xml:space="preserve">C01926</t>
  </si>
  <si>
    <t xml:space="preserve">C02621</t>
  </si>
  <si>
    <t xml:space="preserve">C03697</t>
  </si>
  <si>
    <t xml:space="preserve">C02684</t>
  </si>
  <si>
    <t xml:space="preserve">C00635</t>
  </si>
  <si>
    <t xml:space="preserve">C00283</t>
  </si>
  <si>
    <t xml:space="preserve">C02571</t>
  </si>
  <si>
    <t xml:space="preserve">C03810</t>
  </si>
  <si>
    <t xml:space="preserve">C01739</t>
  </si>
  <si>
    <t xml:space="preserve">C00904</t>
  </si>
  <si>
    <t xml:space="preserve">C02658</t>
  </si>
  <si>
    <t xml:space="preserve">C02838</t>
  </si>
  <si>
    <t xml:space="preserve">C04207</t>
  </si>
  <si>
    <t xml:space="preserve">C00212</t>
  </si>
  <si>
    <t xml:space="preserve">C01619</t>
  </si>
  <si>
    <t xml:space="preserve">C01804</t>
  </si>
  <si>
    <t xml:space="preserve">C04338</t>
  </si>
  <si>
    <t xml:space="preserve">C02595</t>
  </si>
  <si>
    <t xml:space="preserve">C03954</t>
  </si>
  <si>
    <t xml:space="preserve">C03598</t>
  </si>
  <si>
    <t xml:space="preserve">C03877</t>
  </si>
  <si>
    <t xml:space="preserve">C01612</t>
  </si>
  <si>
    <t xml:space="preserve">C01825</t>
  </si>
  <si>
    <t xml:space="preserve">C01261</t>
  </si>
  <si>
    <t xml:space="preserve">C04060</t>
  </si>
  <si>
    <t xml:space="preserve">C02000</t>
  </si>
  <si>
    <t xml:space="preserve">C04111</t>
  </si>
  <si>
    <t xml:space="preserve">C01973</t>
  </si>
  <si>
    <t xml:space="preserve">C00121</t>
  </si>
  <si>
    <t xml:space="preserve">C01764</t>
  </si>
  <si>
    <t xml:space="preserve">C03247</t>
  </si>
  <si>
    <t xml:space="preserve">C02289</t>
  </si>
  <si>
    <t xml:space="preserve">C04368</t>
  </si>
  <si>
    <t xml:space="preserve">C01026</t>
  </si>
  <si>
    <t xml:space="preserve">C03461</t>
  </si>
  <si>
    <t xml:space="preserve">C00518</t>
  </si>
  <si>
    <t xml:space="preserve">C00408</t>
  </si>
  <si>
    <t xml:space="preserve">C03420</t>
  </si>
  <si>
    <t xml:space="preserve">C01417</t>
  </si>
  <si>
    <t xml:space="preserve">C01748</t>
  </si>
  <si>
    <t xml:space="preserve">C02827</t>
  </si>
  <si>
    <t xml:space="preserve">C03910</t>
  </si>
  <si>
    <t xml:space="preserve">C00271</t>
  </si>
  <si>
    <t xml:space="preserve">C00008</t>
  </si>
  <si>
    <t xml:space="preserve">C02731</t>
  </si>
  <si>
    <t xml:space="preserve">C01035</t>
  </si>
  <si>
    <t xml:space="preserve">C03111</t>
  </si>
  <si>
    <t xml:space="preserve">C03583</t>
  </si>
  <si>
    <t xml:space="preserve">C04347</t>
  </si>
  <si>
    <t xml:space="preserve">C01428</t>
  </si>
  <si>
    <t xml:space="preserve">C01975</t>
  </si>
  <si>
    <t xml:space="preserve">C03536</t>
  </si>
  <si>
    <t xml:space="preserve">C04027</t>
  </si>
  <si>
    <t xml:space="preserve">C01839</t>
  </si>
  <si>
    <t xml:space="preserve">C00561</t>
  </si>
  <si>
    <t xml:space="preserve">C03594</t>
  </si>
  <si>
    <t xml:space="preserve">C03567</t>
  </si>
  <si>
    <t xml:space="preserve">C02410</t>
  </si>
  <si>
    <t xml:space="preserve">C00827</t>
  </si>
  <si>
    <t xml:space="preserve">C02580</t>
  </si>
  <si>
    <t xml:space="preserve">C02205</t>
  </si>
  <si>
    <t xml:space="preserve">C01588</t>
  </si>
  <si>
    <t xml:space="preserve">C03952</t>
  </si>
  <si>
    <t xml:space="preserve">C04439</t>
  </si>
  <si>
    <t xml:space="preserve">C04379</t>
  </si>
  <si>
    <t xml:space="preserve">C02539</t>
  </si>
  <si>
    <t xml:space="preserve">C00249</t>
  </si>
  <si>
    <t xml:space="preserve">C03450</t>
  </si>
  <si>
    <t xml:space="preserve">C00598</t>
  </si>
  <si>
    <t xml:space="preserve">C03780</t>
  </si>
  <si>
    <t xml:space="preserve">C00236</t>
  </si>
  <si>
    <t xml:space="preserve">C04360</t>
  </si>
  <si>
    <t xml:space="preserve">C03202</t>
  </si>
  <si>
    <t xml:space="preserve">C03677</t>
  </si>
  <si>
    <t xml:space="preserve">C03201</t>
  </si>
  <si>
    <t xml:space="preserve">C02445</t>
  </si>
  <si>
    <t xml:space="preserve">C02735</t>
  </si>
  <si>
    <t xml:space="preserve">C02302</t>
  </si>
  <si>
    <t xml:space="preserve">C03518</t>
  </si>
  <si>
    <t xml:space="preserve">C03387</t>
  </si>
  <si>
    <t xml:space="preserve">C01180</t>
  </si>
  <si>
    <t xml:space="preserve">C03679</t>
  </si>
  <si>
    <t xml:space="preserve">C01172</t>
  </si>
  <si>
    <t xml:space="preserve">C02016</t>
  </si>
  <si>
    <t xml:space="preserve">C01423</t>
  </si>
  <si>
    <t xml:space="preserve">C02371</t>
  </si>
  <si>
    <t xml:space="preserve">C04221</t>
  </si>
  <si>
    <t xml:space="preserve">C02612</t>
  </si>
  <si>
    <t xml:space="preserve">C02705</t>
  </si>
  <si>
    <t xml:space="preserve">C01245</t>
  </si>
  <si>
    <t xml:space="preserve">C03931</t>
  </si>
  <si>
    <t xml:space="preserve">C00985</t>
  </si>
  <si>
    <t xml:space="preserve">C04101</t>
  </si>
  <si>
    <t xml:space="preserve">C01207</t>
  </si>
  <si>
    <t xml:space="preserve">C04025</t>
  </si>
  <si>
    <t xml:space="preserve">C01902</t>
  </si>
  <si>
    <t xml:space="preserve">C00029</t>
  </si>
  <si>
    <t xml:space="preserve">C04037</t>
  </si>
  <si>
    <t xml:space="preserve">C02667</t>
  </si>
  <si>
    <t xml:space="preserve">C03233</t>
  </si>
  <si>
    <t xml:space="preserve">C04012</t>
  </si>
  <si>
    <t xml:space="preserve">C02967</t>
  </si>
  <si>
    <t xml:space="preserve">C02045</t>
  </si>
  <si>
    <t xml:space="preserve">C03203</t>
  </si>
  <si>
    <t xml:space="preserve">C04467</t>
  </si>
  <si>
    <t xml:space="preserve">C03489</t>
  </si>
  <si>
    <t xml:space="preserve">C04201</t>
  </si>
  <si>
    <t xml:space="preserve">C04543</t>
  </si>
  <si>
    <t xml:space="preserve">C04453</t>
  </si>
  <si>
    <t xml:space="preserve">C01304</t>
  </si>
  <si>
    <t xml:space="preserve">C00217</t>
  </si>
  <si>
    <t xml:space="preserve">C03541</t>
  </si>
  <si>
    <t xml:space="preserve">C00468</t>
  </si>
  <si>
    <t xml:space="preserve">C00595</t>
  </si>
  <si>
    <t xml:space="preserve">C04263</t>
  </si>
  <si>
    <t xml:space="preserve">C00686</t>
  </si>
  <si>
    <t xml:space="preserve">C02034</t>
  </si>
  <si>
    <t xml:space="preserve">C01214</t>
  </si>
  <si>
    <t xml:space="preserve">C00012</t>
  </si>
  <si>
    <t xml:space="preserve">C03156</t>
  </si>
  <si>
    <t xml:space="preserve">C01920</t>
  </si>
  <si>
    <t xml:space="preserve">C03817</t>
  </si>
  <si>
    <t xml:space="preserve">C00934</t>
  </si>
  <si>
    <t xml:space="preserve">C04519</t>
  </si>
  <si>
    <t xml:space="preserve">C04364</t>
  </si>
  <si>
    <t xml:space="preserve">C04494</t>
  </si>
  <si>
    <t xml:space="preserve">C02806</t>
  </si>
  <si>
    <t xml:space="preserve">C03435</t>
  </si>
  <si>
    <t xml:space="preserve">C02701</t>
  </si>
  <si>
    <t xml:space="preserve">C03772</t>
  </si>
  <si>
    <t xml:space="preserve">C03393</t>
  </si>
  <si>
    <t xml:space="preserve">C02801</t>
  </si>
  <si>
    <t xml:space="preserve">C03456</t>
  </si>
  <si>
    <t xml:space="preserve">C02173</t>
  </si>
  <si>
    <t xml:space="preserve">C00010</t>
  </si>
  <si>
    <t xml:space="preserve">C04141</t>
  </si>
  <si>
    <t xml:space="preserve">C03569</t>
  </si>
  <si>
    <t xml:space="preserve">C03786</t>
  </si>
  <si>
    <t xml:space="preserve">C04024</t>
  </si>
  <si>
    <t xml:space="preserve">C02696</t>
  </si>
  <si>
    <t xml:space="preserve">C03720</t>
  </si>
  <si>
    <t xml:space="preserve">C03930</t>
  </si>
  <si>
    <t xml:space="preserve">C00573</t>
  </si>
  <si>
    <t xml:space="preserve">C02733</t>
  </si>
  <si>
    <t xml:space="preserve">C00935</t>
  </si>
  <si>
    <t xml:space="preserve">C02268</t>
  </si>
  <si>
    <t xml:space="preserve">C02642</t>
  </si>
  <si>
    <t xml:space="preserve">C01094</t>
  </si>
  <si>
    <t xml:space="preserve">C01157</t>
  </si>
  <si>
    <t xml:space="preserve">C01179</t>
  </si>
  <si>
    <t xml:space="preserve">C01167</t>
  </si>
  <si>
    <t xml:space="preserve">C00286</t>
  </si>
  <si>
    <t xml:space="preserve">C03890</t>
  </si>
  <si>
    <t xml:space="preserve">C03929</t>
  </si>
  <si>
    <t xml:space="preserve">C00492</t>
  </si>
  <si>
    <t xml:space="preserve">C00320</t>
  </si>
  <si>
    <t xml:space="preserve">C02172</t>
  </si>
  <si>
    <t xml:space="preserve">C00113</t>
  </si>
  <si>
    <t xml:space="preserve">C02298</t>
  </si>
  <si>
    <t xml:space="preserve">C03543</t>
  </si>
  <si>
    <t xml:space="preserve">C00331</t>
  </si>
  <si>
    <t xml:space="preserve">C00441</t>
  </si>
  <si>
    <t xml:space="preserve">C03535</t>
  </si>
  <si>
    <t xml:space="preserve">C00929</t>
  </si>
  <si>
    <t xml:space="preserve">C02126</t>
  </si>
  <si>
    <t xml:space="preserve">C04007</t>
  </si>
  <si>
    <t xml:space="preserve">C02341</t>
  </si>
  <si>
    <t xml:space="preserve">C03033</t>
  </si>
  <si>
    <t xml:space="preserve">C02963</t>
  </si>
  <si>
    <t xml:space="preserve">C00566</t>
  </si>
  <si>
    <t xml:space="preserve">C03508</t>
  </si>
  <si>
    <t xml:space="preserve">C00658</t>
  </si>
  <si>
    <t xml:space="preserve">C02256</t>
  </si>
  <si>
    <t xml:space="preserve">C02830</t>
  </si>
  <si>
    <t xml:space="preserve">C00231</t>
  </si>
  <si>
    <t xml:space="preserve">C03578</t>
  </si>
  <si>
    <t xml:space="preserve">C01578</t>
  </si>
  <si>
    <t xml:space="preserve">C02308</t>
  </si>
  <si>
    <t xml:space="preserve">C03548</t>
  </si>
  <si>
    <t xml:space="preserve">C02082</t>
  </si>
  <si>
    <t xml:space="preserve">C01006</t>
  </si>
  <si>
    <t xml:space="preserve">C01968</t>
  </si>
  <si>
    <t xml:space="preserve">C02001</t>
  </si>
  <si>
    <t xml:space="preserve">C03459</t>
  </si>
  <si>
    <t xml:space="preserve">C02675</t>
  </si>
  <si>
    <t xml:space="preserve">C03429</t>
  </si>
  <si>
    <t xml:space="preserve">C04293</t>
  </si>
  <si>
    <t xml:space="preserve">C03876</t>
  </si>
  <si>
    <t xml:space="preserve">C01585</t>
  </si>
  <si>
    <t xml:space="preserve">C03850</t>
  </si>
  <si>
    <t xml:space="preserve">C00641</t>
  </si>
  <si>
    <t xml:space="preserve">C04326</t>
  </si>
  <si>
    <t xml:space="preserve">C00064</t>
  </si>
  <si>
    <t xml:space="preserve">C00594</t>
  </si>
  <si>
    <t xml:space="preserve">C04496</t>
  </si>
  <si>
    <t xml:space="preserve">C02072</t>
  </si>
  <si>
    <t xml:space="preserve">C01174</t>
  </si>
  <si>
    <t xml:space="preserve">C02060</t>
  </si>
  <si>
    <t xml:space="preserve">C04183</t>
  </si>
  <si>
    <t xml:space="preserve">C03397</t>
  </si>
  <si>
    <t xml:space="preserve">C00860</t>
  </si>
  <si>
    <t xml:space="preserve">C03368</t>
  </si>
  <si>
    <t xml:space="preserve">C04196</t>
  </si>
  <si>
    <t xml:space="preserve">C03504</t>
  </si>
  <si>
    <t xml:space="preserve">C03764</t>
  </si>
  <si>
    <t xml:space="preserve">C04516</t>
  </si>
  <si>
    <t xml:space="preserve">C03427</t>
  </si>
  <si>
    <t xml:space="preserve">C00793</t>
  </si>
  <si>
    <t xml:space="preserve">C03666</t>
  </si>
  <si>
    <t xml:space="preserve">C02494</t>
  </si>
  <si>
    <t xml:space="preserve">C00371</t>
  </si>
  <si>
    <t xml:space="preserve">C00944</t>
  </si>
  <si>
    <t xml:space="preserve">C03959</t>
  </si>
  <si>
    <t xml:space="preserve">C00902</t>
  </si>
  <si>
    <t xml:space="preserve">C01956</t>
  </si>
  <si>
    <t xml:space="preserve">C01835</t>
  </si>
  <si>
    <t xml:space="preserve">C04240</t>
  </si>
  <si>
    <t xml:space="preserve">C02780</t>
  </si>
  <si>
    <t xml:space="preserve">C00878</t>
  </si>
  <si>
    <t xml:space="preserve">C00824</t>
  </si>
  <si>
    <t xml:space="preserve">C00831</t>
  </si>
  <si>
    <t xml:space="preserve">C03921</t>
  </si>
  <si>
    <t xml:space="preserve">C00474</t>
  </si>
  <si>
    <t xml:space="preserve">C01678</t>
  </si>
  <si>
    <t xml:space="preserve">C02680</t>
  </si>
  <si>
    <t xml:space="preserve">C02784</t>
  </si>
  <si>
    <t xml:space="preserve">C00519</t>
  </si>
  <si>
    <t xml:space="preserve">C04262</t>
  </si>
  <si>
    <t xml:space="preserve">C02791</t>
  </si>
  <si>
    <t xml:space="preserve">C04401</t>
  </si>
  <si>
    <t xml:space="preserve">C04173</t>
  </si>
  <si>
    <t xml:space="preserve">C00250</t>
  </si>
  <si>
    <t xml:space="preserve">C03632</t>
  </si>
  <si>
    <t xml:space="preserve">C03370</t>
  </si>
  <si>
    <t xml:space="preserve">C03396</t>
  </si>
  <si>
    <t xml:space="preserve">C02022</t>
  </si>
  <si>
    <t xml:space="preserve">C03754</t>
  </si>
  <si>
    <t xml:space="preserve">C00691</t>
  </si>
  <si>
    <t xml:space="preserve">C01348</t>
  </si>
  <si>
    <t xml:space="preserve">C02458</t>
  </si>
  <si>
    <t xml:space="preserve">C01204</t>
  </si>
  <si>
    <t xml:space="preserve">C01295</t>
  </si>
  <si>
    <t xml:space="preserve">C04325</t>
  </si>
  <si>
    <t xml:space="preserve">C00879</t>
  </si>
  <si>
    <t xml:space="preserve">C00404</t>
  </si>
  <si>
    <t xml:space="preserve">C03258</t>
  </si>
  <si>
    <t xml:space="preserve">C02392</t>
  </si>
  <si>
    <t xml:space="preserve">C00307</t>
  </si>
  <si>
    <t xml:space="preserve">C03254</t>
  </si>
  <si>
    <t xml:space="preserve">C04537</t>
  </si>
  <si>
    <t xml:space="preserve">C03829</t>
  </si>
  <si>
    <t xml:space="preserve">C00288</t>
  </si>
  <si>
    <t xml:space="preserve">C01827</t>
  </si>
  <si>
    <t xml:space="preserve">C02925</t>
  </si>
  <si>
    <t xml:space="preserve">C00047</t>
  </si>
  <si>
    <t xml:space="preserve">C03843</t>
  </si>
  <si>
    <t xml:space="preserve">C00450</t>
  </si>
  <si>
    <t xml:space="preserve">C00417</t>
  </si>
  <si>
    <t xml:space="preserve">C03326</t>
  </si>
  <si>
    <t xml:space="preserve">C02535</t>
  </si>
  <si>
    <t xml:space="preserve">C01742</t>
  </si>
  <si>
    <t xml:space="preserve">C01438</t>
  </si>
  <si>
    <t xml:space="preserve">C00952</t>
  </si>
  <si>
    <t xml:space="preserve">C04150</t>
  </si>
  <si>
    <t xml:space="preserve">C03819</t>
  </si>
  <si>
    <t xml:space="preserve">C03532</t>
  </si>
  <si>
    <t xml:space="preserve">C01858</t>
  </si>
  <si>
    <t xml:space="preserve">C00759</t>
  </si>
  <si>
    <t xml:space="preserve">C00980</t>
  </si>
  <si>
    <t xml:space="preserve">C00226</t>
  </si>
  <si>
    <t xml:space="preserve">C01603</t>
  </si>
  <si>
    <t xml:space="preserve">C03154</t>
  </si>
  <si>
    <t xml:space="preserve">C03658</t>
  </si>
  <si>
    <t xml:space="preserve">C01963</t>
  </si>
  <si>
    <t xml:space="preserve">C04113</t>
  </si>
  <si>
    <t xml:space="preserve">C01366</t>
  </si>
  <si>
    <t xml:space="preserve">C03540</t>
  </si>
  <si>
    <t xml:space="preserve">C02702</t>
  </si>
  <si>
    <t xml:space="preserve">C00501</t>
  </si>
  <si>
    <t xml:space="preserve">C03169</t>
  </si>
  <si>
    <t xml:space="preserve">C03061</t>
  </si>
  <si>
    <t xml:space="preserve">C04376</t>
  </si>
  <si>
    <t xml:space="preserve">C02455</t>
  </si>
  <si>
    <t xml:space="preserve">C03618</t>
  </si>
  <si>
    <t xml:space="preserve">C02464</t>
  </si>
  <si>
    <t xml:space="preserve">C00327</t>
  </si>
  <si>
    <t xml:space="preserve">C01526</t>
  </si>
  <si>
    <t xml:space="preserve">C03711</t>
  </si>
  <si>
    <t xml:space="preserve">C00882</t>
  </si>
  <si>
    <t xml:space="preserve">C02013</t>
  </si>
  <si>
    <t xml:space="preserve">C01411</t>
  </si>
  <si>
    <t xml:space="preserve">C00467</t>
  </si>
  <si>
    <t xml:space="preserve">C03719</t>
  </si>
  <si>
    <t xml:space="preserve">C03667</t>
  </si>
  <si>
    <t xml:space="preserve">C02940</t>
  </si>
  <si>
    <t xml:space="preserve">C02649</t>
  </si>
  <si>
    <t xml:space="preserve">C00181</t>
  </si>
  <si>
    <t xml:space="preserve">C03189</t>
  </si>
  <si>
    <t xml:space="preserve">C02579</t>
  </si>
  <si>
    <t xml:space="preserve">C02270</t>
  </si>
  <si>
    <t xml:space="preserve">C03581</t>
  </si>
  <si>
    <t xml:space="preserve">C02372</t>
  </si>
  <si>
    <t xml:space="preserve">C04466</t>
  </si>
  <si>
    <t xml:space="preserve">C02857</t>
  </si>
  <si>
    <t xml:space="preserve">C02522</t>
  </si>
  <si>
    <t xml:space="preserve">C04333</t>
  </si>
  <si>
    <t xml:space="preserve">C01771</t>
  </si>
  <si>
    <t xml:space="preserve">C04252</t>
  </si>
  <si>
    <t xml:space="preserve">C02553</t>
  </si>
  <si>
    <t xml:space="preserve">C02643</t>
  </si>
  <si>
    <t xml:space="preserve">C02260</t>
  </si>
  <si>
    <t xml:space="preserve">C01641</t>
  </si>
  <si>
    <t xml:space="preserve">C03235</t>
  </si>
  <si>
    <t xml:space="preserve">C00897</t>
  </si>
  <si>
    <t xml:space="preserve">C00796</t>
  </si>
  <si>
    <t xml:space="preserve">C01219</t>
  </si>
  <si>
    <t xml:space="preserve">C02438</t>
  </si>
  <si>
    <t xml:space="preserve">C02434</t>
  </si>
  <si>
    <t xml:space="preserve">C03138</t>
  </si>
  <si>
    <t xml:space="preserve">C01809</t>
  </si>
  <si>
    <t xml:space="preserve">C03847</t>
  </si>
  <si>
    <t xml:space="preserve">C03605</t>
  </si>
  <si>
    <t xml:space="preserve">C00649</t>
  </si>
  <si>
    <t xml:space="preserve">C03152</t>
  </si>
  <si>
    <t xml:space="preserve">C02866</t>
  </si>
  <si>
    <t xml:space="preserve">C01595</t>
  </si>
  <si>
    <t xml:space="preserve">C03564</t>
  </si>
  <si>
    <t xml:space="preserve">C01215</t>
  </si>
  <si>
    <t xml:space="preserve">C03414</t>
  </si>
  <si>
    <t xml:space="preserve">C04002</t>
  </si>
  <si>
    <t xml:space="preserve">C03969</t>
  </si>
  <si>
    <t xml:space="preserve">C01894</t>
  </si>
  <si>
    <t xml:space="preserve">C01360</t>
  </si>
  <si>
    <t xml:space="preserve">C02134</t>
  </si>
  <si>
    <t xml:space="preserve">C03863</t>
  </si>
  <si>
    <t xml:space="preserve">C04174</t>
  </si>
  <si>
    <t xml:space="preserve">C00747</t>
  </si>
  <si>
    <t xml:space="preserve">C04104</t>
  </si>
  <si>
    <t xml:space="preserve">C03825</t>
  </si>
  <si>
    <t xml:space="preserve">C02795</t>
  </si>
  <si>
    <t xml:space="preserve">C03972</t>
  </si>
  <si>
    <t xml:space="preserve">C02050</t>
  </si>
  <si>
    <t xml:space="preserve">C01024</t>
  </si>
  <si>
    <t xml:space="preserve">C04488</t>
  </si>
  <si>
    <t xml:space="preserve">C03734</t>
  </si>
  <si>
    <t xml:space="preserve">C01208</t>
  </si>
  <si>
    <t xml:space="preserve">C01264</t>
  </si>
  <si>
    <t xml:space="preserve">C02528</t>
  </si>
  <si>
    <t xml:space="preserve">C02723</t>
  </si>
  <si>
    <t xml:space="preserve">C04035</t>
  </si>
  <si>
    <t xml:space="preserve">C01367</t>
  </si>
  <si>
    <t xml:space="preserve">C03467</t>
  </si>
  <si>
    <t xml:space="preserve">C02582</t>
  </si>
  <si>
    <t xml:space="preserve">C00432</t>
  </si>
  <si>
    <t xml:space="preserve">C04193</t>
  </si>
  <si>
    <t xml:space="preserve">C03123</t>
  </si>
  <si>
    <t xml:space="preserve">C02950</t>
  </si>
  <si>
    <t xml:space="preserve">C03406</t>
  </si>
  <si>
    <t xml:space="preserve">C03319</t>
  </si>
  <si>
    <t xml:space="preserve">C04020</t>
  </si>
  <si>
    <t xml:space="preserve">C03124</t>
  </si>
  <si>
    <t xml:space="preserve">C02803</t>
  </si>
  <si>
    <t xml:space="preserve">C03652</t>
  </si>
  <si>
    <t xml:space="preserve">C02700</t>
  </si>
  <si>
    <t xml:space="preserve">C01802</t>
  </si>
  <si>
    <t xml:space="preserve">C02238</t>
  </si>
  <si>
    <t xml:space="preserve">C04004</t>
  </si>
  <si>
    <t xml:space="preserve">C03785</t>
  </si>
  <si>
    <t xml:space="preserve">C03709</t>
  </si>
  <si>
    <t xml:space="preserve">C03043</t>
  </si>
  <si>
    <t xml:space="preserve">C01819</t>
  </si>
  <si>
    <t xml:space="preserve">C02971</t>
  </si>
  <si>
    <t xml:space="preserve">C02456</t>
  </si>
  <si>
    <t xml:space="preserve">C02301</t>
  </si>
  <si>
    <t xml:space="preserve">C02728</t>
  </si>
  <si>
    <t xml:space="preserve">C02769</t>
  </si>
  <si>
    <t xml:space="preserve">C03547</t>
  </si>
  <si>
    <t xml:space="preserve">C03685</t>
  </si>
  <si>
    <t xml:space="preserve">C03607</t>
  </si>
  <si>
    <t xml:space="preserve">C02867</t>
  </si>
  <si>
    <t xml:space="preserve">C00430</t>
  </si>
  <si>
    <t xml:space="preserve">C01982</t>
  </si>
  <si>
    <t xml:space="preserve">C01923</t>
  </si>
  <si>
    <t xml:space="preserve">C01426</t>
  </si>
  <si>
    <t xml:space="preserve">C02698</t>
  </si>
  <si>
    <t xml:space="preserve">C02495</t>
  </si>
  <si>
    <t xml:space="preserve">C01096</t>
  </si>
  <si>
    <t xml:space="preserve">C03730</t>
  </si>
  <si>
    <t xml:space="preserve">C03646</t>
  </si>
  <si>
    <t xml:space="preserve">C03341</t>
  </si>
  <si>
    <t xml:space="preserve">C02158</t>
  </si>
  <si>
    <t xml:space="preserve">C01853</t>
  </si>
  <si>
    <t xml:space="preserve">C02604</t>
  </si>
  <si>
    <t xml:space="preserve">C02428</t>
  </si>
  <si>
    <t xml:space="preserve">C03727</t>
  </si>
  <si>
    <t xml:space="preserve">C00358</t>
  </si>
  <si>
    <t xml:space="preserve">C00785</t>
  </si>
  <si>
    <t xml:space="preserve">C01092</t>
  </si>
  <si>
    <t xml:space="preserve">C01760</t>
  </si>
  <si>
    <t xml:space="preserve">C04463</t>
  </si>
  <si>
    <t xml:space="preserve">C04447</t>
  </si>
  <si>
    <t xml:space="preserve">C00345</t>
  </si>
  <si>
    <t xml:space="preserve">C04388</t>
  </si>
  <si>
    <t xml:space="preserve">C04089</t>
  </si>
  <si>
    <t xml:space="preserve">C02716</t>
  </si>
  <si>
    <t xml:space="preserve">C02442</t>
  </si>
  <si>
    <t xml:space="preserve">C02132</t>
  </si>
  <si>
    <t xml:space="preserve">C00783</t>
  </si>
  <si>
    <t xml:space="preserve">C02500</t>
  </si>
  <si>
    <t xml:space="preserve">C01288</t>
  </si>
  <si>
    <t xml:space="preserve">C02870</t>
  </si>
  <si>
    <t xml:space="preserve">C02603</t>
  </si>
  <si>
    <t xml:space="preserve">C04178</t>
  </si>
  <si>
    <t xml:space="preserve">C02403</t>
  </si>
  <si>
    <t xml:space="preserve">C01021</t>
  </si>
  <si>
    <t xml:space="preserve">C00394</t>
  </si>
  <si>
    <t xml:space="preserve">C02966</t>
  </si>
  <si>
    <t xml:space="preserve">C00499</t>
  </si>
  <si>
    <t xml:space="preserve">C00852</t>
  </si>
  <si>
    <t xml:space="preserve">C04077</t>
  </si>
  <si>
    <t xml:space="preserve">C01290</t>
  </si>
  <si>
    <t xml:space="preserve">C00156</t>
  </si>
  <si>
    <t xml:space="preserve">C01601</t>
  </si>
  <si>
    <t xml:space="preserve">C03293</t>
  </si>
  <si>
    <t xml:space="preserve">C04313</t>
  </si>
  <si>
    <t xml:space="preserve">C02899</t>
  </si>
  <si>
    <t xml:space="preserve">C03976</t>
  </si>
  <si>
    <t xml:space="preserve">C03415</t>
  </si>
  <si>
    <t xml:space="preserve">C01156</t>
  </si>
  <si>
    <t xml:space="preserve">C02227</t>
  </si>
  <si>
    <t xml:space="preserve">C01717</t>
  </si>
  <si>
    <t xml:space="preserve">C02026</t>
  </si>
  <si>
    <t xml:space="preserve">C03696</t>
  </si>
  <si>
    <t xml:space="preserve">C02632</t>
  </si>
  <si>
    <t xml:space="preserve">C00589</t>
  </si>
  <si>
    <t xml:space="preserve">C04043</t>
  </si>
  <si>
    <t xml:space="preserve">C01132</t>
  </si>
  <si>
    <t xml:space="preserve">C04131</t>
  </si>
  <si>
    <t xml:space="preserve">C04372</t>
  </si>
  <si>
    <t xml:space="preserve">C03812</t>
  </si>
  <si>
    <t xml:space="preserve">C02655</t>
  </si>
  <si>
    <t xml:space="preserve">C01816</t>
  </si>
  <si>
    <t xml:space="preserve">C00619</t>
  </si>
  <si>
    <t xml:space="preserve">C04511</t>
  </si>
  <si>
    <t xml:space="preserve">C03120</t>
  </si>
  <si>
    <t xml:space="preserve">C03827</t>
  </si>
  <si>
    <t xml:space="preserve">C02817</t>
  </si>
  <si>
    <t xml:space="preserve">C01379</t>
  </si>
  <si>
    <t xml:space="preserve">C01397</t>
  </si>
  <si>
    <t xml:space="preserve">C01203</t>
  </si>
  <si>
    <t xml:space="preserve">C01882</t>
  </si>
  <si>
    <t xml:space="preserve">C03963</t>
  </si>
  <si>
    <t xml:space="preserve">C02978</t>
  </si>
  <si>
    <t xml:space="preserve">C01229</t>
  </si>
  <si>
    <t xml:space="preserve">C03209</t>
  </si>
  <si>
    <t xml:space="preserve">C01946</t>
  </si>
  <si>
    <t xml:space="preserve">C03295</t>
  </si>
  <si>
    <t xml:space="preserve">C04536</t>
  </si>
  <si>
    <t xml:space="preserve">C02348</t>
  </si>
  <si>
    <t xml:space="preserve">C04144</t>
  </si>
  <si>
    <t xml:space="preserve">C02100</t>
  </si>
  <si>
    <t xml:space="preserve">C03801</t>
  </si>
  <si>
    <t xml:space="preserve">C03027</t>
  </si>
  <si>
    <t xml:space="preserve">C03403</t>
  </si>
  <si>
    <t xml:space="preserve">C03908</t>
  </si>
  <si>
    <t xml:space="preserve">C02017</t>
  </si>
  <si>
    <t xml:space="preserve">C03029</t>
  </si>
  <si>
    <t xml:space="preserve">C02641</t>
  </si>
  <si>
    <t xml:space="preserve">C02972</t>
  </si>
  <si>
    <t xml:space="preserve">C02588</t>
  </si>
  <si>
    <t xml:space="preserve">C01905</t>
  </si>
  <si>
    <t xml:space="preserve">C01394</t>
  </si>
  <si>
    <t xml:space="preserve">C03426</t>
  </si>
  <si>
    <t xml:space="preserve">C03045</t>
  </si>
  <si>
    <t xml:space="preserve">C02327</t>
  </si>
  <si>
    <t xml:space="preserve">C04427</t>
  </si>
  <si>
    <t xml:space="preserve">C02722</t>
  </si>
  <si>
    <t xml:space="preserve">C01991</t>
  </si>
  <si>
    <t xml:space="preserve">C04462</t>
  </si>
  <si>
    <t xml:space="preserve">C04476</t>
  </si>
  <si>
    <t xml:space="preserve">C03263</t>
  </si>
  <si>
    <t xml:space="preserve">C00671</t>
  </si>
  <si>
    <t xml:space="preserve">C03249</t>
  </si>
  <si>
    <t xml:space="preserve">C03430</t>
  </si>
  <si>
    <t xml:space="preserve">C02845</t>
  </si>
  <si>
    <t xml:space="preserve">C00140</t>
  </si>
  <si>
    <t xml:space="preserve">C03034</t>
  </si>
  <si>
    <t xml:space="preserve">C03991</t>
  </si>
  <si>
    <t xml:space="preserve">C02996</t>
  </si>
  <si>
    <t xml:space="preserve">C04289</t>
  </si>
  <si>
    <t xml:space="preserve">C02546</t>
  </si>
  <si>
    <t xml:space="preserve">C00787</t>
  </si>
  <si>
    <t xml:space="preserve">C04093</t>
  </si>
  <si>
    <t xml:space="preserve">C04066</t>
  </si>
  <si>
    <t xml:space="preserve">C04220</t>
  </si>
  <si>
    <t xml:space="preserve">C03995</t>
  </si>
  <si>
    <t xml:space="preserve">C03856</t>
  </si>
  <si>
    <t xml:space="preserve">C02922</t>
  </si>
  <si>
    <t xml:space="preserve">C03384</t>
  </si>
  <si>
    <t xml:space="preserve">C01590</t>
  </si>
  <si>
    <t xml:space="preserve">C02263</t>
  </si>
  <si>
    <t xml:space="preserve">C02927</t>
  </si>
  <si>
    <t xml:space="preserve">C03831</t>
  </si>
  <si>
    <t xml:space="preserve">C03336</t>
  </si>
  <si>
    <t xml:space="preserve">C03937</t>
  </si>
  <si>
    <t xml:space="preserve">C03338</t>
  </si>
  <si>
    <t xml:space="preserve">C04531</t>
  </si>
  <si>
    <t xml:space="preserve">C03114</t>
  </si>
  <si>
    <t xml:space="preserve">C00133</t>
  </si>
  <si>
    <t xml:space="preserve">C04203</t>
  </si>
  <si>
    <t xml:space="preserve">C01322</t>
  </si>
  <si>
    <t xml:space="preserve">C03183</t>
  </si>
  <si>
    <t xml:space="preserve">C03242</t>
  </si>
  <si>
    <t xml:space="preserve">C01672</t>
  </si>
  <si>
    <t xml:space="preserve">C03404</t>
  </si>
  <si>
    <t xml:space="preserve">C00265</t>
  </si>
  <si>
    <t xml:space="preserve">C03872</t>
  </si>
  <si>
    <t xml:space="preserve">C03880</t>
  </si>
  <si>
    <t xml:space="preserve">C01567</t>
  </si>
  <si>
    <t xml:space="preserve">C04490</t>
  </si>
  <si>
    <t xml:space="preserve">C02313</t>
  </si>
  <si>
    <t xml:space="preserve">C04343</t>
  </si>
  <si>
    <t xml:space="preserve">C03680</t>
  </si>
  <si>
    <t xml:space="preserve">C00152</t>
  </si>
  <si>
    <t xml:space="preserve">C03313</t>
  </si>
  <si>
    <t xml:space="preserve">C02747</t>
  </si>
  <si>
    <t xml:space="preserve">C04542</t>
  </si>
  <si>
    <t xml:space="preserve">C04130</t>
  </si>
  <si>
    <t xml:space="preserve">C04421</t>
  </si>
  <si>
    <t xml:space="preserve">C01812</t>
  </si>
  <si>
    <t xml:space="preserve">C00203</t>
  </si>
  <si>
    <t xml:space="preserve">C02862</t>
  </si>
  <si>
    <t xml:space="preserve">C00189</t>
  </si>
  <si>
    <t xml:space="preserve">C02639</t>
  </si>
  <si>
    <t xml:space="preserve">C03048</t>
  </si>
  <si>
    <t xml:space="preserve">C01325</t>
  </si>
  <si>
    <t xml:space="preserve">C03411</t>
  </si>
  <si>
    <t xml:space="preserve">C03444</t>
  </si>
  <si>
    <t xml:space="preserve">C01352</t>
  </si>
  <si>
    <t xml:space="preserve">C03542</t>
  </si>
  <si>
    <t xml:space="preserve">C04125</t>
  </si>
  <si>
    <t xml:space="preserve">C03182</t>
  </si>
  <si>
    <t xml:space="preserve">C02570</t>
  </si>
  <si>
    <t xml:space="preserve">C04339</t>
  </si>
  <si>
    <t xml:space="preserve">C02965</t>
  </si>
  <si>
    <t xml:space="preserve">C02946</t>
  </si>
  <si>
    <t xml:space="preserve">C02524</t>
  </si>
  <si>
    <t xml:space="preserve">C00224</t>
  </si>
  <si>
    <t xml:space="preserve">C02917</t>
  </si>
  <si>
    <t xml:space="preserve">C03953</t>
  </si>
  <si>
    <t xml:space="preserve">C03656</t>
  </si>
  <si>
    <t xml:space="preserve">C02889</t>
  </si>
  <si>
    <t xml:space="preserve">C00402</t>
  </si>
  <si>
    <t xml:space="preserve">C01845</t>
  </si>
  <si>
    <t xml:space="preserve">C04257</t>
  </si>
  <si>
    <t xml:space="preserve">C03944</t>
  </si>
  <si>
    <t xml:space="preserve">C00045</t>
  </si>
  <si>
    <t xml:space="preserve">C04188</t>
  </si>
  <si>
    <t xml:space="preserve">C04316</t>
  </si>
  <si>
    <t xml:space="preserve">C04157</t>
  </si>
  <si>
    <t xml:space="preserve">C03562</t>
  </si>
  <si>
    <t xml:space="preserve">C04051</t>
  </si>
  <si>
    <t xml:space="preserve">C01964</t>
  </si>
  <si>
    <t xml:space="preserve">C02819</t>
  </si>
  <si>
    <t xml:space="preserve">C01665</t>
  </si>
  <si>
    <t xml:space="preserve">C02344</t>
  </si>
  <si>
    <t xml:space="preserve">C04390</t>
  </si>
  <si>
    <t xml:space="preserve">C00489</t>
  </si>
  <si>
    <t xml:space="preserve">C03428</t>
  </si>
  <si>
    <t xml:space="preserve">C03521</t>
  </si>
  <si>
    <t xml:space="preserve">C03733</t>
  </si>
  <si>
    <t xml:space="preserve">C03808</t>
  </si>
  <si>
    <t xml:space="preserve">C02677</t>
  </si>
  <si>
    <t xml:space="preserve">C01971</t>
  </si>
  <si>
    <t xml:space="preserve">C04414</t>
  </si>
  <si>
    <t xml:space="preserve">C01143</t>
  </si>
  <si>
    <t xml:space="preserve">C04238</t>
  </si>
  <si>
    <t xml:space="preserve">C02592</t>
  </si>
  <si>
    <t xml:space="preserve">C04073</t>
  </si>
  <si>
    <t xml:space="preserve">C02812</t>
  </si>
  <si>
    <t xml:space="preserve">C03647</t>
  </si>
  <si>
    <t xml:space="preserve">C04187</t>
  </si>
  <si>
    <t xml:space="preserve">C03792</t>
  </si>
  <si>
    <t xml:space="preserve">C03593</t>
  </si>
  <si>
    <t xml:space="preserve">C01413</t>
  </si>
  <si>
    <t xml:space="preserve">C04413</t>
  </si>
  <si>
    <t xml:space="preserve">C01281</t>
  </si>
  <si>
    <t xml:space="preserve">C04419</t>
  </si>
  <si>
    <t xml:space="preserve">C03744</t>
  </si>
  <si>
    <t xml:space="preserve">C03358</t>
  </si>
  <si>
    <t xml:space="preserve">C00809</t>
  </si>
  <si>
    <t xml:space="preserve">C02198</t>
  </si>
  <si>
    <t xml:space="preserve">C01843</t>
  </si>
  <si>
    <t xml:space="preserve">C02043</t>
  </si>
  <si>
    <t xml:space="preserve">C02294</t>
  </si>
  <si>
    <t xml:space="preserve">C01340</t>
  </si>
  <si>
    <t xml:space="preserve">C01953</t>
  </si>
  <si>
    <t xml:space="preserve">C01669</t>
  </si>
  <si>
    <t xml:space="preserve">C01458</t>
  </si>
  <si>
    <t xml:space="preserve">C03112</t>
  </si>
  <si>
    <t xml:space="preserve">C01343</t>
  </si>
  <si>
    <t xml:space="preserve">C02200</t>
  </si>
  <si>
    <t xml:space="preserve">C01291</t>
  </si>
  <si>
    <t xml:space="preserve">C03204</t>
  </si>
  <si>
    <t xml:space="preserve">C01124</t>
  </si>
  <si>
    <t xml:space="preserve">C03373</t>
  </si>
  <si>
    <t xml:space="preserve">C03228</t>
  </si>
  <si>
    <t xml:space="preserve">C00077</t>
  </si>
  <si>
    <t xml:space="preserve">C02417</t>
  </si>
  <si>
    <t xml:space="preserve">C02820</t>
  </si>
  <si>
    <t xml:space="preserve">C01069</t>
  </si>
  <si>
    <t xml:space="preserve">C03058</t>
  </si>
  <si>
    <t xml:space="preserve">C02358</t>
  </si>
  <si>
    <t xml:space="preserve">C02334</t>
  </si>
  <si>
    <t xml:space="preserve">C00820</t>
  </si>
  <si>
    <t xml:space="preserve">C03573</t>
  </si>
  <si>
    <t xml:space="preserve">C04431</t>
  </si>
  <si>
    <t xml:space="preserve">C04430</t>
  </si>
  <si>
    <t xml:space="preserve">C04005</t>
  </si>
  <si>
    <t xml:space="preserve">C02261</t>
  </si>
  <si>
    <t xml:space="preserve">C03453</t>
  </si>
  <si>
    <t xml:space="preserve">C00638</t>
  </si>
  <si>
    <t xml:space="preserve">C03664</t>
  </si>
  <si>
    <t xml:space="preserve">C03584</t>
  </si>
  <si>
    <t xml:space="preserve">C04486</t>
  </si>
  <si>
    <t xml:space="preserve">C02574</t>
  </si>
  <si>
    <t xml:space="preserve">C04098</t>
  </si>
  <si>
    <t xml:space="preserve">C02563</t>
  </si>
  <si>
    <t xml:space="preserve">C03499</t>
  </si>
  <si>
    <t xml:space="preserve">C01528</t>
  </si>
  <si>
    <t xml:space="preserve">C04539</t>
  </si>
  <si>
    <t xml:space="preserve">C03690</t>
  </si>
  <si>
    <t xml:space="preserve">C02847</t>
  </si>
  <si>
    <t xml:space="preserve">C03080</t>
  </si>
  <si>
    <t xml:space="preserve">C04172</t>
  </si>
  <si>
    <t xml:space="preserve">C02594</t>
  </si>
  <si>
    <t xml:space="preserve">C03226</t>
  </si>
  <si>
    <t xml:space="preserve">C03472</t>
  </si>
  <si>
    <t xml:space="preserve">C04195</t>
  </si>
  <si>
    <t xml:space="preserve">C04345</t>
  </si>
  <si>
    <t xml:space="preserve">C02626</t>
  </si>
  <si>
    <t xml:space="preserve">C01841</t>
  </si>
  <si>
    <t xml:space="preserve">C03365</t>
  </si>
  <si>
    <t xml:space="preserve">C03630</t>
  </si>
  <si>
    <t xml:space="preserve">C04448</t>
  </si>
  <si>
    <t xml:space="preserve">C00057</t>
  </si>
  <si>
    <t xml:space="preserve">C03193</t>
  </si>
  <si>
    <t xml:space="preserve">C03966</t>
  </si>
  <si>
    <t xml:space="preserve">C01851</t>
  </si>
  <si>
    <t xml:space="preserve">C03705</t>
  </si>
  <si>
    <t xml:space="preserve">C03841</t>
  </si>
  <si>
    <t xml:space="preserve">C00666</t>
  </si>
  <si>
    <t xml:space="preserve">C00279</t>
  </si>
  <si>
    <t xml:space="preserve">C01154</t>
  </si>
  <si>
    <t xml:space="preserve">C02105</t>
  </si>
  <si>
    <t xml:space="preserve">C01889</t>
  </si>
  <si>
    <t xml:space="preserve">C04031</t>
  </si>
  <si>
    <t xml:space="preserve">C03478</t>
  </si>
  <si>
    <t xml:space="preserve">C03655</t>
  </si>
  <si>
    <t xml:space="preserve">C01267</t>
  </si>
  <si>
    <t xml:space="preserve">C04460</t>
  </si>
  <si>
    <t xml:space="preserve">C04308</t>
  </si>
  <si>
    <t xml:space="preserve">C03793</t>
  </si>
  <si>
    <t xml:space="preserve">C00339</t>
  </si>
  <si>
    <t xml:space="preserve">C02186</t>
  </si>
  <si>
    <t xml:space="preserve">C02809</t>
  </si>
  <si>
    <t xml:space="preserve">C00543</t>
  </si>
  <si>
    <t xml:space="preserve">C04228</t>
  </si>
  <si>
    <t xml:space="preserve">C04322</t>
  </si>
  <si>
    <t xml:space="preserve">C02765</t>
  </si>
  <si>
    <t xml:space="preserve">C03215</t>
  </si>
  <si>
    <t xml:space="preserve">C03979</t>
  </si>
  <si>
    <t xml:space="preserve">C00222</t>
  </si>
  <si>
    <t xml:space="preserve">C01128</t>
  </si>
  <si>
    <t xml:space="preserve">C03353</t>
  </si>
  <si>
    <t xml:space="preserve">C01013</t>
  </si>
  <si>
    <t xml:space="preserve">C04309</t>
  </si>
  <si>
    <t xml:space="preserve">C01682</t>
  </si>
  <si>
    <t xml:space="preserve">C03281</t>
  </si>
  <si>
    <t xml:space="preserve">C03036</t>
  </si>
  <si>
    <t xml:space="preserve">C02150</t>
  </si>
  <si>
    <t xml:space="preserve">C00007</t>
  </si>
  <si>
    <t xml:space="preserve">C02078</t>
  </si>
  <si>
    <t xml:space="preserve">C03811</t>
  </si>
  <si>
    <t xml:space="preserve">C02662</t>
  </si>
  <si>
    <t xml:space="preserve">C03332</t>
  </si>
  <si>
    <t xml:space="preserve">C00376</t>
  </si>
  <si>
    <t xml:space="preserve">C03421</t>
  </si>
  <si>
    <t xml:space="preserve">C03579</t>
  </si>
  <si>
    <t xml:space="preserve">C03662</t>
  </si>
  <si>
    <t xml:space="preserve">C02467</t>
  </si>
  <si>
    <t xml:space="preserve">C02918</t>
  </si>
  <si>
    <t xml:space="preserve">C02156</t>
  </si>
  <si>
    <t xml:space="preserve">C04116</t>
  </si>
  <si>
    <t xml:space="preserve">C03126</t>
  </si>
  <si>
    <t xml:space="preserve">C04510</t>
  </si>
  <si>
    <t xml:space="preserve">C04147</t>
  </si>
  <si>
    <t xml:space="preserve">C00485</t>
  </si>
  <si>
    <t xml:space="preserve">C03582</t>
  </si>
  <si>
    <t xml:space="preserve">C03199</t>
  </si>
  <si>
    <t xml:space="preserve">C02128</t>
  </si>
  <si>
    <t xml:space="preserve">C04442</t>
  </si>
  <si>
    <t xml:space="preserve">C04455</t>
  </si>
  <si>
    <t xml:space="preserve">C04162</t>
  </si>
  <si>
    <t xml:space="preserve">C00812</t>
  </si>
  <si>
    <t xml:space="preserve">C04282</t>
  </si>
  <si>
    <t xml:space="preserve">C03501</t>
  </si>
  <si>
    <t xml:space="preserve">C02211</t>
  </si>
  <si>
    <t xml:space="preserve">C03586</t>
  </si>
  <si>
    <t xml:space="preserve">C02975</t>
  </si>
  <si>
    <t xml:space="preserve">C04362</t>
  </si>
  <si>
    <t xml:space="preserve">C03701</t>
  </si>
  <si>
    <t xml:space="preserve">C00534</t>
  </si>
  <si>
    <t xml:space="preserve">C04278</t>
  </si>
  <si>
    <t xml:space="preserve">C00228</t>
  </si>
  <si>
    <t xml:space="preserve">C03256</t>
  </si>
  <si>
    <t xml:space="preserve">C04513</t>
  </si>
  <si>
    <t xml:space="preserve">C04497</t>
  </si>
  <si>
    <t xml:space="preserve">C04373</t>
  </si>
  <si>
    <t xml:space="preserve">C01520</t>
  </si>
  <si>
    <t xml:space="preserve">C03362</t>
  </si>
  <si>
    <t xml:space="preserve">C04493</t>
  </si>
  <si>
    <t xml:space="preserve">C03530</t>
  </si>
  <si>
    <t xml:space="preserve">C01277</t>
  </si>
  <si>
    <t xml:space="preserve">C04525</t>
  </si>
  <si>
    <t xml:space="preserve">C02713</t>
  </si>
  <si>
    <t xml:space="preserve">C01917</t>
  </si>
  <si>
    <t xml:space="preserve">C04297</t>
  </si>
  <si>
    <t xml:space="preserve">C04212</t>
  </si>
  <si>
    <t xml:space="preserve">C03955</t>
  </si>
  <si>
    <t xml:space="preserve">C02676</t>
  </si>
  <si>
    <t xml:space="preserve">C04079</t>
  </si>
  <si>
    <t xml:space="preserve">C03010</t>
  </si>
  <si>
    <t xml:space="preserve">C03381</t>
  </si>
  <si>
    <t xml:space="preserve">C01677</t>
  </si>
  <si>
    <t xml:space="preserve">C04233</t>
  </si>
  <si>
    <t xml:space="preserve">C04016</t>
  </si>
  <si>
    <t xml:space="preserve">C03638</t>
  </si>
  <si>
    <t xml:space="preserve">C04179</t>
  </si>
  <si>
    <t xml:space="preserve">C04267</t>
  </si>
  <si>
    <t xml:space="preserve">C03949</t>
  </si>
  <si>
    <t xml:space="preserve">C03800</t>
  </si>
  <si>
    <t xml:space="preserve">C01368</t>
  </si>
  <si>
    <t xml:space="preserve">C03806</t>
  </si>
  <si>
    <t xml:space="preserve">C02634</t>
  </si>
  <si>
    <t xml:space="preserve">C02543</t>
  </si>
  <si>
    <t xml:space="preserve">C00563</t>
  </si>
  <si>
    <t xml:space="preserve">C03267</t>
  </si>
  <si>
    <t xml:space="preserve">C04473</t>
  </si>
  <si>
    <t xml:space="preserve">C03661</t>
  </si>
  <si>
    <t xml:space="preserve">C00487</t>
  </si>
  <si>
    <t xml:space="preserve">C02009</t>
  </si>
  <si>
    <t xml:space="preserve">C04441</t>
  </si>
  <si>
    <t xml:space="preserve">C02523</t>
  </si>
  <si>
    <t xml:space="preserve">C03757</t>
  </si>
  <si>
    <t xml:space="preserve">C00287</t>
  </si>
  <si>
    <t xml:space="preserve">C02841</t>
  </si>
  <si>
    <t xml:space="preserve">C00504</t>
  </si>
  <si>
    <t xml:space="preserve">C04250</t>
  </si>
  <si>
    <t xml:space="preserve">C00102</t>
  </si>
  <si>
    <t xml:space="preserve">C03728</t>
  </si>
  <si>
    <t xml:space="preserve">C04235</t>
  </si>
  <si>
    <t xml:space="preserve">C03565</t>
  </si>
  <si>
    <t xml:space="preserve">C04520</t>
  </si>
  <si>
    <t xml:space="preserve">C00259</t>
  </si>
  <si>
    <t xml:space="preserve">C03331</t>
  </si>
  <si>
    <t xml:space="preserve">C03560</t>
  </si>
  <si>
    <t xml:space="preserve">C03853</t>
  </si>
  <si>
    <t xml:space="preserve">C00425</t>
  </si>
  <si>
    <t xml:space="preserve">C00877</t>
  </si>
  <si>
    <t xml:space="preserve">C04284</t>
  </si>
  <si>
    <t xml:space="preserve">C03637</t>
  </si>
  <si>
    <t xml:space="preserve">C02478</t>
  </si>
  <si>
    <t xml:space="preserve">C04464</t>
  </si>
  <si>
    <t xml:space="preserve">C03791</t>
  </si>
  <si>
    <t xml:space="preserve">C02757</t>
  </si>
  <si>
    <t xml:space="preserve">C03000</t>
  </si>
  <si>
    <t xml:space="preserve">C04378</t>
  </si>
  <si>
    <t xml:space="preserve">C03502</t>
  </si>
  <si>
    <t xml:space="preserve">C04229</t>
  </si>
  <si>
    <t xml:space="preserve">C00044</t>
  </si>
  <si>
    <t xml:space="preserve">C00856</t>
  </si>
  <si>
    <t xml:space="preserve">C04072</t>
  </si>
  <si>
    <t xml:space="preserve">C01787</t>
  </si>
  <si>
    <t xml:space="preserve">C02305</t>
  </si>
  <si>
    <t xml:space="preserve">C03925</t>
  </si>
  <si>
    <t xml:space="preserve">C04286</t>
  </si>
  <si>
    <t xml:space="preserve">C01163</t>
  </si>
  <si>
    <t xml:space="preserve">C03356</t>
  </si>
  <si>
    <t xml:space="preserve">C00412</t>
  </si>
  <si>
    <t xml:space="preserve">C03861</t>
  </si>
  <si>
    <t xml:space="preserve">C04225</t>
  </si>
  <si>
    <t xml:space="preserve">C01890</t>
  </si>
  <si>
    <t xml:space="preserve">C03773</t>
  </si>
  <si>
    <t xml:space="preserve">C04458</t>
  </si>
  <si>
    <t xml:space="preserve">C01144</t>
  </si>
  <si>
    <t xml:space="preserve">C03511</t>
  </si>
  <si>
    <t xml:space="preserve">C04231</t>
  </si>
  <si>
    <t xml:space="preserve">C02569</t>
  </si>
  <si>
    <t xml:space="preserve">C03300</t>
  </si>
  <si>
    <t xml:space="preserve">C03545</t>
  </si>
  <si>
    <t xml:space="preserve">C03946</t>
  </si>
  <si>
    <t xml:space="preserve">C04477</t>
  </si>
  <si>
    <t xml:space="preserve">C00572</t>
  </si>
  <si>
    <t xml:space="preserve">C02783</t>
  </si>
  <si>
    <t xml:space="preserve">C02858</t>
  </si>
  <si>
    <t xml:space="preserve">C03083</t>
  </si>
  <si>
    <t xml:space="preserve">C02586</t>
  </si>
  <si>
    <t xml:space="preserve">C00729</t>
  </si>
  <si>
    <t xml:space="preserve">C04118</t>
  </si>
  <si>
    <t xml:space="preserve">C04487</t>
  </si>
  <si>
    <t xml:space="preserve">C02656</t>
  </si>
  <si>
    <t xml:space="preserve">C02825</t>
  </si>
  <si>
    <t xml:space="preserve">C04305</t>
  </si>
  <si>
    <t xml:space="preserve">C03803</t>
  </si>
  <si>
    <t xml:space="preserve">C00488</t>
  </si>
  <si>
    <t xml:space="preserve">C04076</t>
  </si>
  <si>
    <t xml:space="preserve">C03078</t>
  </si>
  <si>
    <t xml:space="preserve">C04191</t>
  </si>
  <si>
    <t xml:space="preserve">C03625</t>
  </si>
  <si>
    <t xml:space="preserve">C00409</t>
  </si>
  <si>
    <t xml:space="preserve">C04017</t>
  </si>
  <si>
    <t xml:space="preserve">C03738</t>
  </si>
  <si>
    <t xml:space="preserve">C01544</t>
  </si>
  <si>
    <t xml:space="preserve">C01556</t>
  </si>
  <si>
    <t xml:space="preserve">C02527</t>
  </si>
  <si>
    <t xml:space="preserve">C04080</t>
  </si>
  <si>
    <t xml:space="preserve">C04222</t>
  </si>
  <si>
    <t xml:space="preserve">C03096</t>
  </si>
  <si>
    <t xml:space="preserve">C04255</t>
  </si>
  <si>
    <t xml:space="preserve">C03348</t>
  </si>
  <si>
    <t xml:space="preserve">C02246</t>
  </si>
  <si>
    <t xml:space="preserve">C04247</t>
  </si>
  <si>
    <t xml:space="preserve">C03053</t>
  </si>
  <si>
    <t xml:space="preserve">C02992</t>
  </si>
  <si>
    <t xml:space="preserve">C03905</t>
  </si>
  <si>
    <t xml:space="preserve">C03262</t>
  </si>
  <si>
    <t xml:space="preserve">C04471</t>
  </si>
  <si>
    <t xml:space="preserve">C04296</t>
  </si>
  <si>
    <t xml:space="preserve">C04253</t>
  </si>
  <si>
    <t xml:space="preserve">C02715</t>
  </si>
  <si>
    <t xml:space="preserve">C03988</t>
  </si>
  <si>
    <t xml:space="preserve">C03913</t>
  </si>
  <si>
    <t xml:space="preserve">C03612</t>
  </si>
  <si>
    <t xml:space="preserve">C01615</t>
  </si>
  <si>
    <t xml:space="preserve">C03650</t>
  </si>
  <si>
    <t xml:space="preserve">C03205</t>
  </si>
  <si>
    <t xml:space="preserve">C04346</t>
  </si>
  <si>
    <t xml:space="preserve">C03875</t>
  </si>
  <si>
    <t xml:space="preserve">C01838</t>
  </si>
  <si>
    <t xml:space="preserve">C04435</t>
  </si>
  <si>
    <t xml:space="preserve">C03234</t>
  </si>
  <si>
    <t xml:space="preserve">C04143</t>
  </si>
  <si>
    <t xml:space="preserve">C04295</t>
  </si>
  <si>
    <t xml:space="preserve">C03515</t>
  </si>
  <si>
    <t xml:space="preserve">C02949</t>
  </si>
  <si>
    <t xml:space="preserve">C02869</t>
  </si>
  <si>
    <t xml:space="preserve">C04070</t>
  </si>
  <si>
    <t xml:space="preserve">C03636</t>
  </si>
  <si>
    <t xml:space="preserve">C04028</t>
  </si>
  <si>
    <t xml:space="preserve">C02321</t>
  </si>
  <si>
    <t xml:space="preserve">C04334</t>
  </si>
  <si>
    <t xml:space="preserve">C02657</t>
  </si>
  <si>
    <t xml:space="preserve">C03936</t>
  </si>
  <si>
    <t xml:space="preserve">C03277</t>
  </si>
  <si>
    <t xml:space="preserve">C03645</t>
  </si>
  <si>
    <t xml:space="preserve">C02351</t>
  </si>
  <si>
    <t xml:space="preserve">C03941</t>
  </si>
  <si>
    <t xml:space="preserve">C03544</t>
  </si>
  <si>
    <t xml:space="preserve">C03350</t>
  </si>
  <si>
    <t xml:space="preserve">C03762</t>
  </si>
  <si>
    <t xml:space="preserve">C01888</t>
  </si>
  <si>
    <t xml:space="preserve">C04445</t>
  </si>
  <si>
    <t xml:space="preserve">C00915</t>
  </si>
  <si>
    <t xml:space="preserve">C02890</t>
  </si>
  <si>
    <t xml:space="preserve">C04298</t>
  </si>
  <si>
    <t xml:space="preserve">C01019</t>
  </si>
  <si>
    <t xml:space="preserve">C03997</t>
  </si>
  <si>
    <t xml:space="preserve">C04046</t>
  </si>
  <si>
    <t xml:space="preserve">C03259</t>
  </si>
  <si>
    <t xml:space="preserve">C03257</t>
  </si>
  <si>
    <t xml:space="preserve">C03587</t>
  </si>
  <si>
    <t xml:space="preserve">C04340</t>
  </si>
  <si>
    <t xml:space="preserve">C01443</t>
  </si>
  <si>
    <t xml:space="preserve">C00109</t>
  </si>
  <si>
    <t xml:space="preserve">C04124</t>
  </si>
  <si>
    <t xml:space="preserve">C04302</t>
  </si>
  <si>
    <t xml:space="preserve">C01049</t>
  </si>
  <si>
    <t xml:space="preserve">C04261</t>
  </si>
  <si>
    <t xml:space="preserve">C00981</t>
  </si>
  <si>
    <t xml:space="preserve">C04329</t>
  </si>
  <si>
    <t xml:space="preserve">C04022</t>
  </si>
  <si>
    <t xml:space="preserve">C04095</t>
  </si>
  <si>
    <t xml:space="preserve">C03739</t>
  </si>
  <si>
    <t xml:space="preserve">C03179</t>
  </si>
  <si>
    <t xml:space="preserve">C04358</t>
  </si>
  <si>
    <t xml:space="preserve">C03920</t>
  </si>
  <si>
    <t xml:space="preserve">C04416</t>
  </si>
  <si>
    <t xml:space="preserve">C04041</t>
  </si>
  <si>
    <t xml:space="preserve">C03706</t>
  </si>
  <si>
    <t xml:space="preserve">C03188</t>
  </si>
  <si>
    <t xml:space="preserve">C02881</t>
  </si>
  <si>
    <t xml:space="preserve">C04099</t>
  </si>
  <si>
    <t xml:space="preserve">C03589</t>
  </si>
  <si>
    <t xml:space="preserve">C04114</t>
  </si>
  <si>
    <t xml:space="preserve">C04197</t>
  </si>
  <si>
    <t xml:space="preserve">C01266</t>
  </si>
  <si>
    <t xml:space="preserve">C04425</t>
  </si>
  <si>
    <t xml:space="preserve">C04502</t>
  </si>
  <si>
    <t xml:space="preserve">C01608</t>
  </si>
  <si>
    <t xml:space="preserve">C03484</t>
  </si>
  <si>
    <t xml:space="preserve">C03692</t>
  </si>
  <si>
    <t xml:space="preserve">C04348</t>
  </si>
  <si>
    <t xml:space="preserve">C00397</t>
  </si>
  <si>
    <t xml:space="preserve">C03971</t>
  </si>
  <si>
    <t xml:space="preserve">C02799</t>
  </si>
  <si>
    <t xml:space="preserve">C03879</t>
  </si>
  <si>
    <t xml:space="preserve">C04356</t>
  </si>
  <si>
    <t xml:space="preserve">C03492</t>
  </si>
  <si>
    <t xml:space="preserve">C03628</t>
  </si>
  <si>
    <t xml:space="preserve">C00528</t>
  </si>
  <si>
    <t xml:space="preserve">C03610</t>
  </si>
  <si>
    <t xml:space="preserve">C03436</t>
  </si>
  <si>
    <t xml:space="preserve">C04495</t>
  </si>
  <si>
    <t xml:space="preserve">C04389</t>
  </si>
  <si>
    <t xml:space="preserve">C03240</t>
  </si>
  <si>
    <t xml:space="preserve">C03614</t>
  </si>
  <si>
    <t xml:space="preserve">C03820</t>
  </si>
  <si>
    <t xml:space="preserve">C02911</t>
  </si>
  <si>
    <t xml:space="preserve">C02843</t>
  </si>
  <si>
    <t xml:space="preserve">C00392</t>
  </si>
  <si>
    <t xml:space="preserve">C04177</t>
  </si>
  <si>
    <t xml:space="preserve">C04377</t>
  </si>
  <si>
    <t xml:space="preserve">C00353</t>
  </si>
  <si>
    <t xml:space="preserve">C02333</t>
  </si>
  <si>
    <t xml:space="preserve">C03694</t>
  </si>
  <si>
    <t xml:space="preserve">C02670</t>
  </si>
  <si>
    <t xml:space="preserve">C04102</t>
  </si>
  <si>
    <t xml:space="preserve">C03858</t>
  </si>
  <si>
    <t xml:space="preserve">C02835</t>
  </si>
  <si>
    <t xml:space="preserve">C03447</t>
  </si>
  <si>
    <t xml:space="preserve">C03143</t>
  </si>
  <si>
    <t xml:space="preserve">C04386</t>
  </si>
  <si>
    <t xml:space="preserve">C02532</t>
  </si>
  <si>
    <t xml:space="preserve">C01252</t>
  </si>
  <si>
    <t xml:space="preserve">C01522</t>
  </si>
  <si>
    <t xml:space="preserve">C04355</t>
  </si>
  <si>
    <t xml:space="preserve">C04059</t>
  </si>
  <si>
    <t xml:space="preserve">C00958</t>
  </si>
  <si>
    <t xml:space="preserve">C02744</t>
  </si>
  <si>
    <t xml:space="preserve">C01629</t>
  </si>
  <si>
    <t xml:space="preserve">C00391</t>
  </si>
  <si>
    <t xml:space="preserve">C00506</t>
  </si>
  <si>
    <t xml:space="preserve">C03922</t>
  </si>
  <si>
    <t xml:space="preserve">C01371</t>
  </si>
  <si>
    <t xml:space="preserve">C01950</t>
  </si>
  <si>
    <t xml:space="preserve">C02518</t>
  </si>
  <si>
    <t xml:space="preserve">C02797</t>
  </si>
  <si>
    <t xml:space="preserve">C03556</t>
  </si>
  <si>
    <t xml:space="preserve">C01972</t>
  </si>
  <si>
    <t xml:space="preserve">C04251</t>
  </si>
  <si>
    <t xml:space="preserve">C02979</t>
  </si>
  <si>
    <t xml:space="preserve">C04491</t>
  </si>
  <si>
    <t xml:space="preserve">C03830</t>
  </si>
  <si>
    <t xml:space="preserve">C01378</t>
  </si>
  <si>
    <t xml:space="preserve">C00681</t>
  </si>
  <si>
    <t xml:space="preserve">C04256</t>
  </si>
  <si>
    <t xml:space="preserve">C00507</t>
  </si>
  <si>
    <t xml:space="preserve">C03994</t>
  </si>
  <si>
    <t xml:space="preserve">C04291</t>
  </si>
  <si>
    <t xml:space="preserve">C01067</t>
  </si>
  <si>
    <t xml:space="preserve">C02879</t>
  </si>
  <si>
    <t xml:space="preserve">C04352</t>
  </si>
  <si>
    <t xml:space="preserve">C01658</t>
  </si>
  <si>
    <t xml:space="preserve">C02886</t>
  </si>
  <si>
    <t xml:space="preserve">C03098</t>
  </si>
  <si>
    <t xml:space="preserve">C01728</t>
  </si>
  <si>
    <t xml:space="preserve">C02682</t>
  </si>
  <si>
    <t xml:space="preserve">C04137</t>
  </si>
  <si>
    <t xml:space="preserve">C03439</t>
  </si>
  <si>
    <t xml:space="preserve">C03591</t>
  </si>
  <si>
    <t xml:space="preserve">C00272</t>
  </si>
  <si>
    <t xml:space="preserve">C00004</t>
  </si>
  <si>
    <t xml:space="preserve">C01602</t>
  </si>
  <si>
    <t xml:space="preserve">Monthly List-MRR Bridge ($)</t>
  </si>
  <si>
    <t xml:space="preserve">From sql/03_mrr_bridge.sql. Opening excludes nothing; new = first billed month.</t>
  </si>
  <si>
    <t xml:space="preserve">Opening</t>
  </si>
  <si>
    <t xml:space="preserve">New</t>
  </si>
  <si>
    <t xml:space="preserve">Expansion</t>
  </si>
  <si>
    <t xml:space="preserve">Contraction</t>
  </si>
  <si>
    <t xml:space="preserve">Churn</t>
  </si>
  <si>
    <t xml:space="preserve">Closing</t>
  </si>
  <si>
    <t xml:space="preserve">Roll-forward check</t>
  </si>
  <si>
    <t xml:space="preserve">Monthly GRR</t>
  </si>
  <si>
    <t xml:space="preserve">Monthly NRR</t>
  </si>
  <si>
    <t xml:space="preserve">2022-02-01</t>
  </si>
  <si>
    <t xml:space="preserve">2022-04-01</t>
  </si>
  <si>
    <t xml:space="preserve">2022-05-01</t>
  </si>
  <si>
    <t xml:space="preserve">2022-07-01</t>
  </si>
  <si>
    <t xml:space="preserve">2022-08-01</t>
  </si>
  <si>
    <t xml:space="preserve">2022-10-01</t>
  </si>
  <si>
    <t xml:space="preserve">2022-11-01</t>
  </si>
  <si>
    <t xml:space="preserve">2023-01-01</t>
  </si>
  <si>
    <t xml:space="preserve">2023-02-01</t>
  </si>
  <si>
    <t xml:space="preserve">2023-04-01</t>
  </si>
  <si>
    <t xml:space="preserve">2023-05-01</t>
  </si>
  <si>
    <t xml:space="preserve">2023-07-01</t>
  </si>
  <si>
    <t xml:space="preserve">2023-08-01</t>
  </si>
  <si>
    <t xml:space="preserve">2023-10-01</t>
  </si>
  <si>
    <t xml:space="preserve">2023-11-01</t>
  </si>
  <si>
    <t xml:space="preserve">2024-01-01</t>
  </si>
  <si>
    <t xml:space="preserve">2024-02-01</t>
  </si>
  <si>
    <t xml:space="preserve">2024-04-01</t>
  </si>
  <si>
    <t xml:space="preserve">2024-05-01</t>
  </si>
  <si>
    <t xml:space="preserve">2024-07-01</t>
  </si>
  <si>
    <t xml:space="preserve">2024-08-01</t>
  </si>
  <si>
    <t xml:space="preserve">2024-10-01</t>
  </si>
  <si>
    <t xml:space="preserve">2024-11-01</t>
  </si>
  <si>
    <t xml:space="preserve">2025-01-01</t>
  </si>
  <si>
    <t xml:space="preserve">2025-02-01</t>
  </si>
  <si>
    <t xml:space="preserve">2025-04-01</t>
  </si>
  <si>
    <t xml:space="preserve">2025-05-01</t>
  </si>
  <si>
    <t xml:space="preserve">2025-07-01</t>
  </si>
  <si>
    <t xml:space="preserve">2025-08-01</t>
  </si>
  <si>
    <t xml:space="preserve">2025-10-01</t>
  </si>
  <si>
    <t xml:space="preserve">2025-11-01</t>
  </si>
  <si>
    <t xml:space="preserve">2026-01-01</t>
  </si>
  <si>
    <t xml:space="preserve">2026-02-01</t>
  </si>
  <si>
    <t xml:space="preserve">2026-04-01</t>
  </si>
  <si>
    <t xml:space="preserve">2026-05-01</t>
  </si>
</sst>
</file>

<file path=xl/styles.xml><?xml version="1.0" encoding="utf-8"?>
<styleSheet xmlns="http://schemas.openxmlformats.org/spreadsheetml/2006/main">
  <numFmts count="11">
    <numFmt numFmtId="164" formatCode="General"/>
    <numFmt numFmtId="165" formatCode="0.0%;\(0.0%\);\-"/>
    <numFmt numFmtId="166" formatCode="#,##0.0;\(#,##0.0\);\-"/>
    <numFmt numFmtId="167" formatCode="#,##0.0"/>
    <numFmt numFmtId="168" formatCode="0.0"/>
    <numFmt numFmtId="169" formatCode="0.00"/>
    <numFmt numFmtId="170" formatCode="0"/>
    <numFmt numFmtId="171" formatCode="#,##0;\(#,##0\);\-"/>
    <numFmt numFmtId="172" formatCode="0.00\x"/>
    <numFmt numFmtId="173" formatCode="0.00%"/>
    <numFmt numFmtId="174" formatCode="\$#,##0;&quot;($&quot;#,##0\);\-"/>
  </numFmts>
  <fonts count="11">
    <font>
      <sz val="11"/>
      <color theme="1"/>
      <name val="Calibri"/>
      <family val="2"/>
      <charset val="1"/>
    </font>
    <font>
      <sz val="10"/>
      <name val="Arial"/>
      <family val="0"/>
    </font>
    <font>
      <sz val="10"/>
      <name val="Arial"/>
      <family val="0"/>
    </font>
    <font>
      <sz val="10"/>
      <name val="Arial"/>
      <family val="0"/>
    </font>
    <font>
      <b val="true"/>
      <sz val="13"/>
      <color rgb="FF000000"/>
      <name val="Arial"/>
      <family val="0"/>
      <charset val="1"/>
    </font>
    <font>
      <i val="true"/>
      <sz val="10"/>
      <color rgb="FF52514E"/>
      <name val="Arial"/>
      <family val="0"/>
      <charset val="1"/>
    </font>
    <font>
      <sz val="10"/>
      <color rgb="FF000000"/>
      <name val="Arial"/>
      <family val="0"/>
      <charset val="1"/>
    </font>
    <font>
      <b val="true"/>
      <sz val="11"/>
      <color rgb="FF000000"/>
      <name val="Arial"/>
      <family val="0"/>
      <charset val="1"/>
    </font>
    <font>
      <sz val="10"/>
      <color rgb="FF008000"/>
      <name val="Arial"/>
      <family val="0"/>
      <charset val="1"/>
    </font>
    <font>
      <sz val="10"/>
      <color rgb="FF0000FF"/>
      <name val="Arial"/>
      <family val="0"/>
      <charset val="1"/>
    </font>
    <font>
      <sz val="10"/>
      <name val="Arial"/>
      <family val="2"/>
    </font>
  </fonts>
  <fills count="4">
    <fill>
      <patternFill patternType="none"/>
    </fill>
    <fill>
      <patternFill patternType="gray125"/>
    </fill>
    <fill>
      <patternFill patternType="solid">
        <fgColor rgb="FFDCE6F1"/>
        <bgColor rgb="FFCCFFFF"/>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left" vertical="bottom" textRotation="0" wrapText="true" indent="0" shrinkToFit="false"/>
      <protection locked="true" hidden="false"/>
    </xf>
    <xf numFmtId="164" fontId="6" fillId="2" borderId="0" xfId="0" applyFont="true" applyBorder="false" applyAlignment="true" applyProtection="false">
      <alignment horizontal="center" vertical="bottom" textRotation="0" wrapText="tru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5" fontId="9" fillId="3" borderId="0" xfId="0" applyFont="true" applyBorder="false" applyAlignment="false" applyProtection="false">
      <alignment horizontal="general" vertical="bottom"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70" fontId="9" fillId="3"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71" fontId="9"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70" fontId="6"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72" fontId="6" fillId="0" borderId="0" xfId="0" applyFont="true" applyBorder="false" applyAlignment="false" applyProtection="false">
      <alignment horizontal="general" vertical="bottom" textRotation="0" wrapText="false" indent="0" shrinkToFit="false"/>
      <protection locked="true" hidden="false"/>
    </xf>
    <xf numFmtId="173" fontId="6" fillId="0" borderId="0" xfId="0" applyFont="true" applyBorder="false" applyAlignment="false" applyProtection="false">
      <alignment horizontal="general" vertical="bottom" textRotation="0" wrapText="false" indent="0" shrinkToFit="false"/>
      <protection locked="true" hidden="false"/>
    </xf>
    <xf numFmtId="171" fontId="6" fillId="0" borderId="0" xfId="0" applyFont="true" applyBorder="false" applyAlignment="false" applyProtection="false">
      <alignment horizontal="general" vertical="bottom" textRotation="0" wrapText="false" indent="0" shrinkToFit="false"/>
      <protection locked="true" hidden="false"/>
    </xf>
    <xf numFmtId="174" fontId="6"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74" fontId="8" fillId="0" borderId="0" xfId="0" applyFont="true" applyBorder="false" applyAlignment="false" applyProtection="false">
      <alignment horizontal="general" vertical="bottom" textRotation="0" wrapText="false" indent="0" shrinkToFit="false"/>
      <protection locked="true" hidden="false"/>
    </xf>
    <xf numFmtId="171" fontId="8" fillId="0"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8" fontId="6"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5" fontId="6" fillId="2" borderId="0" xfId="0" applyFont="true" applyBorder="false" applyAlignment="false" applyProtection="false">
      <alignment horizontal="general" vertical="bottom" textRotation="0" wrapText="false" indent="0" shrinkToFit="false"/>
      <protection locked="true" hidden="false"/>
    </xf>
    <xf numFmtId="174"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A78D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52514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78D6"/>
    <pageSetUpPr fitToPage="false"/>
  </sheetPr>
  <dimension ref="A1:B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10"/>
  </cols>
  <sheetData>
    <row r="1" customFormat="false" ht="16.15" hidden="false" customHeight="false" outlineLevel="0" collapsed="false">
      <c r="A1" s="1" t="s">
        <v>0</v>
      </c>
    </row>
    <row r="2" customFormat="false" ht="15" hidden="false" customHeight="false" outlineLevel="0" collapsed="false">
      <c r="A2" s="2" t="s">
        <v>1</v>
      </c>
    </row>
    <row r="4" customFormat="false" ht="30" hidden="false" customHeight="true" outlineLevel="0" collapsed="false">
      <c r="A4" s="3" t="s">
        <v>2</v>
      </c>
      <c r="B4" s="4" t="s">
        <v>3</v>
      </c>
    </row>
    <row r="5" customFormat="false" ht="30" hidden="false" customHeight="true" outlineLevel="0" collapsed="false">
      <c r="A5" s="3" t="s">
        <v>4</v>
      </c>
      <c r="B5" s="4" t="s">
        <v>5</v>
      </c>
    </row>
    <row r="6" customFormat="false" ht="30" hidden="false" customHeight="true" outlineLevel="0" collapsed="false">
      <c r="A6" s="3" t="s">
        <v>6</v>
      </c>
      <c r="B6" s="4" t="s">
        <v>7</v>
      </c>
    </row>
    <row r="7" customFormat="false" ht="30" hidden="false" customHeight="true" outlineLevel="0" collapsed="false">
      <c r="A7" s="3" t="s">
        <v>8</v>
      </c>
      <c r="B7" s="4" t="s">
        <v>9</v>
      </c>
    </row>
    <row r="8" customFormat="false" ht="30" hidden="false" customHeight="true" outlineLevel="0" collapsed="false">
      <c r="A8" s="3" t="s">
        <v>10</v>
      </c>
      <c r="B8" s="4" t="s">
        <v>11</v>
      </c>
    </row>
    <row r="9" customFormat="false" ht="30" hidden="false" customHeight="true" outlineLevel="0" collapsed="false">
      <c r="A9" s="3" t="s">
        <v>12</v>
      </c>
      <c r="B9" s="4" t="s">
        <v>13</v>
      </c>
    </row>
    <row r="11" customFormat="false" ht="15" hidden="false" customHeight="false" outlineLevel="0" collapsed="false">
      <c r="A11" s="5" t="s">
        <v>14</v>
      </c>
    </row>
    <row r="12" customFormat="false" ht="15" hidden="false" customHeight="false" outlineLevel="0" collapsed="false">
      <c r="A12" s="3" t="s">
        <v>15</v>
      </c>
      <c r="B12" s="3" t="s">
        <v>16</v>
      </c>
    </row>
    <row r="13" customFormat="false" ht="15" hidden="false" customHeight="false" outlineLevel="0" collapsed="false">
      <c r="A13" s="3" t="s">
        <v>17</v>
      </c>
      <c r="B13" s="3" t="s">
        <v>18</v>
      </c>
    </row>
    <row r="14" customFormat="false" ht="15" hidden="false" customHeight="false" outlineLevel="0" collapsed="false">
      <c r="A14" s="3" t="s">
        <v>19</v>
      </c>
      <c r="B14" s="3" t="s">
        <v>20</v>
      </c>
    </row>
    <row r="15" customFormat="false" ht="15" hidden="false" customHeight="false" outlineLevel="0" collapsed="false">
      <c r="A15" s="3" t="s">
        <v>21</v>
      </c>
      <c r="B15" s="3" t="s">
        <v>22</v>
      </c>
    </row>
    <row r="16" customFormat="false" ht="15" hidden="false" customHeight="false" outlineLevel="0" collapsed="false">
      <c r="A16" s="3" t="s">
        <v>23</v>
      </c>
      <c r="B16" s="3" t="s">
        <v>24</v>
      </c>
    </row>
    <row r="17" customFormat="false" ht="15" hidden="false" customHeight="false" outlineLevel="0" collapsed="false">
      <c r="A17" s="3" t="s">
        <v>25</v>
      </c>
      <c r="B17" s="3" t="s">
        <v>26</v>
      </c>
    </row>
    <row r="18" customFormat="false" ht="15" hidden="false" customHeight="false" outlineLevel="0" collapsed="false">
      <c r="A18" s="3" t="s">
        <v>27</v>
      </c>
      <c r="B18" s="3" t="s">
        <v>28</v>
      </c>
    </row>
    <row r="19" customFormat="false" ht="15" hidden="false" customHeight="false" outlineLevel="0" collapsed="false">
      <c r="A19" s="3" t="s">
        <v>29</v>
      </c>
      <c r="B19" s="3" t="s">
        <v>30</v>
      </c>
    </row>
    <row r="20" customFormat="false" ht="15" hidden="false" customHeight="false" outlineLevel="0" collapsed="false">
      <c r="A20" s="3" t="s">
        <v>31</v>
      </c>
      <c r="B20" s="3" t="s">
        <v>32</v>
      </c>
    </row>
    <row r="21" customFormat="false" ht="15" hidden="false" customHeight="false" outlineLevel="0" collapsed="false">
      <c r="A21" s="3" t="s">
        <v>33</v>
      </c>
      <c r="B21" s="3" t="s">
        <v>34</v>
      </c>
    </row>
    <row r="22" customFormat="false" ht="15" hidden="false" customHeight="false" outlineLevel="0" collapsed="false">
      <c r="A22" s="3" t="s">
        <v>35</v>
      </c>
      <c r="B22" s="3" t="s">
        <v>36</v>
      </c>
    </row>
    <row r="23" customFormat="false" ht="15" hidden="false" customHeight="false" outlineLevel="0" collapsed="false">
      <c r="A23" s="3" t="s">
        <v>37</v>
      </c>
      <c r="B23" s="3" t="s">
        <v>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78D6"/>
    <pageSetUpPr fitToPage="false"/>
  </sheetPr>
  <dimension ref="A1:D2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2"/>
    <col collapsed="false" customWidth="true" hidden="false" outlineLevel="0" max="3" min="3" style="0" width="14"/>
    <col collapsed="false" customWidth="true" hidden="false" outlineLevel="0" max="4" min="4" style="0" width="60"/>
  </cols>
  <sheetData>
    <row r="1" customFormat="false" ht="16.15" hidden="false" customHeight="false" outlineLevel="0" collapsed="false">
      <c r="A1" s="1" t="s">
        <v>39</v>
      </c>
    </row>
    <row r="2" customFormat="false" ht="15" hidden="false" customHeight="false" outlineLevel="0" collapsed="false">
      <c r="A2" s="2" t="s">
        <v>40</v>
      </c>
    </row>
    <row r="4" customFormat="false" ht="15" hidden="false" customHeight="false" outlineLevel="0" collapsed="false">
      <c r="A4" s="6" t="s">
        <v>41</v>
      </c>
      <c r="B4" s="7" t="s">
        <v>42</v>
      </c>
      <c r="C4" s="7" t="s">
        <v>43</v>
      </c>
      <c r="D4" s="7" t="s">
        <v>44</v>
      </c>
    </row>
    <row r="5" customFormat="false" ht="15" hidden="false" customHeight="false" outlineLevel="0" collapsed="false">
      <c r="A5" s="3" t="s">
        <v>45</v>
      </c>
      <c r="B5" s="8" t="n">
        <f aca="false">Diligence!C5</f>
        <v>0.9093</v>
      </c>
      <c r="C5" s="8" t="n">
        <f aca="false">Diligence!D5</f>
        <v>0.91</v>
      </c>
      <c r="D5" s="3" t="s">
        <v>46</v>
      </c>
    </row>
    <row r="6" customFormat="false" ht="15" hidden="false" customHeight="false" outlineLevel="0" collapsed="false">
      <c r="A6" s="3" t="s">
        <v>47</v>
      </c>
      <c r="B6" s="8" t="n">
        <f aca="false">Diligence!F5</f>
        <v>1.02701</v>
      </c>
      <c r="C6" s="8" t="n">
        <f aca="false">Diligence!G5</f>
        <v>1.01</v>
      </c>
      <c r="D6" s="3" t="s">
        <v>46</v>
      </c>
    </row>
    <row r="7" customFormat="false" ht="15" hidden="false" customHeight="false" outlineLevel="0" collapsed="false">
      <c r="A7" s="3" t="s">
        <v>48</v>
      </c>
      <c r="B7" s="8" t="n">
        <f aca="false">Plan_vs_Actual!B26</f>
        <v>-0.00969806120639083</v>
      </c>
      <c r="D7" s="3" t="s">
        <v>49</v>
      </c>
    </row>
    <row r="8" customFormat="false" ht="15" hidden="false" customHeight="false" outlineLevel="0" collapsed="false">
      <c r="A8" s="3" t="s">
        <v>50</v>
      </c>
      <c r="B8" s="8" t="n">
        <f aca="false">Plan_vs_Actual!B25</f>
        <v>1</v>
      </c>
      <c r="D8" s="3" t="s">
        <v>51</v>
      </c>
    </row>
    <row r="9" customFormat="false" ht="15" hidden="false" customHeight="false" outlineLevel="0" collapsed="false">
      <c r="A9" s="3" t="s">
        <v>52</v>
      </c>
      <c r="B9" s="9" t="n">
        <f aca="false">ARR_Bridge!R10</f>
        <v>145.3696</v>
      </c>
      <c r="D9" s="3" t="s">
        <v>53</v>
      </c>
    </row>
    <row r="10" customFormat="false" ht="15" hidden="false" customHeight="false" outlineLevel="0" collapsed="false">
      <c r="A10" s="3" t="s">
        <v>54</v>
      </c>
      <c r="B10" s="8" t="n">
        <f aca="false">ARR_Bridge!B31</f>
        <v>0.185117550092694</v>
      </c>
      <c r="C10" s="8" t="n">
        <f aca="false">Inputs!$B$18</f>
        <v>0.25</v>
      </c>
      <c r="D10" s="3" t="s">
        <v>55</v>
      </c>
    </row>
    <row r="11" customFormat="false" ht="15" hidden="false" customHeight="false" outlineLevel="0" collapsed="false">
      <c r="A11" s="3" t="s">
        <v>56</v>
      </c>
      <c r="B11" s="8" t="n">
        <f aca="false">Retention!D5</f>
        <v>0.92122</v>
      </c>
      <c r="C11" s="8" t="n">
        <f aca="false">Inputs!$B$12</f>
        <v>0.91</v>
      </c>
      <c r="D11" s="3" t="s">
        <v>57</v>
      </c>
    </row>
    <row r="12" customFormat="false" ht="15" hidden="false" customHeight="false" outlineLevel="0" collapsed="false">
      <c r="A12" s="3" t="s">
        <v>58</v>
      </c>
      <c r="B12" s="8" t="n">
        <f aca="false">Retention!E5</f>
        <v>1.03067</v>
      </c>
      <c r="C12" s="8" t="n">
        <f aca="false">Inputs!$B$13</f>
        <v>1.01</v>
      </c>
      <c r="D12" s="3" t="s">
        <v>59</v>
      </c>
    </row>
    <row r="13" customFormat="false" ht="15" hidden="false" customHeight="false" outlineLevel="0" collapsed="false">
      <c r="A13" s="3" t="s">
        <v>60</v>
      </c>
      <c r="B13" s="8" t="n">
        <f aca="false">ARR_Bridge!B32</f>
        <v>0.55309076020467</v>
      </c>
      <c r="C13" s="8" t="n">
        <f aca="false">Inputs!$B$17</f>
        <v>0.4</v>
      </c>
      <c r="D13" s="3" t="s">
        <v>61</v>
      </c>
    </row>
    <row r="14" customFormat="false" ht="15" hidden="false" customHeight="false" outlineLevel="0" collapsed="false">
      <c r="A14" s="3" t="s">
        <v>62</v>
      </c>
      <c r="B14" s="8" t="n">
        <f aca="false">Concentration!B8</f>
        <v>0.0374135667363627</v>
      </c>
      <c r="D14" s="3" t="s">
        <v>27</v>
      </c>
    </row>
    <row r="15" customFormat="false" ht="15" hidden="false" customHeight="false" outlineLevel="0" collapsed="false">
      <c r="A15" s="3" t="s">
        <v>63</v>
      </c>
      <c r="B15" s="10" t="n">
        <f aca="false">Concentration!B13</f>
        <v>9.74585715141071</v>
      </c>
      <c r="D15" s="3" t="s">
        <v>64</v>
      </c>
    </row>
    <row r="16" customFormat="false" ht="15" hidden="false" customHeight="false" outlineLevel="0" collapsed="false">
      <c r="A16" s="3" t="s">
        <v>65</v>
      </c>
      <c r="B16" s="8" t="n">
        <f aca="false">Revenue_to_Cash!S19</f>
        <v>0.971523197587725</v>
      </c>
      <c r="D16" s="3" t="s">
        <v>66</v>
      </c>
    </row>
    <row r="17" customFormat="false" ht="15" hidden="false" customHeight="false" outlineLevel="0" collapsed="false">
      <c r="A17" s="3" t="s">
        <v>67</v>
      </c>
      <c r="B17" s="11" t="n">
        <f aca="false">Revenue_to_Cash!S21</f>
        <v>31.8857152816014</v>
      </c>
      <c r="D17" s="3" t="s">
        <v>68</v>
      </c>
    </row>
    <row r="18" customFormat="false" ht="15" hidden="false" customHeight="false" outlineLevel="0" collapsed="false">
      <c r="A18" s="3" t="s">
        <v>69</v>
      </c>
      <c r="B18" s="8" t="n">
        <f aca="false">Revenue_to_Cash!S20</f>
        <v>0.0143538987969346</v>
      </c>
      <c r="D18" s="3" t="s">
        <v>70</v>
      </c>
    </row>
    <row r="19" customFormat="false" ht="15" hidden="false" customHeight="false" outlineLevel="0" collapsed="false">
      <c r="A19" s="3" t="s">
        <v>71</v>
      </c>
      <c r="B19" s="9" t="n">
        <f aca="false">Renewals!$E$16</f>
        <v>91.81747</v>
      </c>
      <c r="D19" s="3" t="s">
        <v>72</v>
      </c>
    </row>
    <row r="20" customFormat="false" ht="15" hidden="false" customHeight="false" outlineLevel="0" collapsed="false">
      <c r="A20" s="3" t="s">
        <v>73</v>
      </c>
      <c r="B20" s="9" t="n">
        <f aca="false">Renewals!$E$22</f>
        <v>6.3914930115</v>
      </c>
      <c r="D20" s="3" t="s">
        <v>74</v>
      </c>
    </row>
    <row r="21" customFormat="false" ht="15" hidden="false" customHeight="false" outlineLevel="0" collapsed="false">
      <c r="A21" s="3" t="s">
        <v>75</v>
      </c>
      <c r="B21" s="8" t="n">
        <f aca="false">Renewals!$E$23</f>
        <v>0.0461142223552817</v>
      </c>
      <c r="D21" s="3" t="s">
        <v>76</v>
      </c>
    </row>
    <row r="22" customFormat="false" ht="15" hidden="false" customHeight="false" outlineLevel="0" collapsed="false">
      <c r="A22" s="3" t="s">
        <v>77</v>
      </c>
      <c r="B22" s="9" t="n">
        <f aca="false">Sensitivity!B13</f>
        <v>1.090272</v>
      </c>
      <c r="D22" s="3" t="s">
        <v>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2"/>
    <col collapsed="false" customWidth="true" hidden="false" outlineLevel="0" max="3" min="3" style="0" width="95"/>
  </cols>
  <sheetData>
    <row r="1" customFormat="false" ht="16.15" hidden="false" customHeight="false" outlineLevel="0" collapsed="false">
      <c r="A1" s="1" t="s">
        <v>79</v>
      </c>
    </row>
    <row r="2" customFormat="false" ht="15" hidden="false" customHeight="false" outlineLevel="0" collapsed="false">
      <c r="A2" s="2" t="s">
        <v>80</v>
      </c>
    </row>
    <row r="4" customFormat="false" ht="15" hidden="false" customHeight="false" outlineLevel="0" collapsed="false">
      <c r="A4" s="6" t="s">
        <v>81</v>
      </c>
      <c r="B4" s="7" t="s">
        <v>42</v>
      </c>
      <c r="C4" s="7" t="s">
        <v>82</v>
      </c>
    </row>
    <row r="5" customFormat="false" ht="15" hidden="false" customHeight="false" outlineLevel="0" collapsed="false">
      <c r="A5" s="3" t="s">
        <v>83</v>
      </c>
      <c r="B5" s="12" t="n">
        <v>0.75</v>
      </c>
      <c r="C5" s="3" t="s">
        <v>84</v>
      </c>
    </row>
    <row r="6" customFormat="false" ht="15" hidden="false" customHeight="false" outlineLevel="0" collapsed="false">
      <c r="A6" s="3" t="s">
        <v>85</v>
      </c>
      <c r="B6" s="13" t="n">
        <v>91.25</v>
      </c>
      <c r="C6" s="3" t="s">
        <v>86</v>
      </c>
    </row>
    <row r="7" customFormat="false" ht="15" hidden="false" customHeight="false" outlineLevel="0" collapsed="false">
      <c r="A7" s="3" t="s">
        <v>87</v>
      </c>
      <c r="B7" s="14" t="n">
        <v>1</v>
      </c>
      <c r="C7" s="3" t="s">
        <v>88</v>
      </c>
    </row>
    <row r="10" customFormat="false" ht="15" hidden="false" customHeight="false" outlineLevel="0" collapsed="false">
      <c r="A10" s="5" t="s">
        <v>89</v>
      </c>
    </row>
    <row r="11" customFormat="false" ht="15" hidden="false" customHeight="false" outlineLevel="0" collapsed="false">
      <c r="A11" s="6" t="s">
        <v>90</v>
      </c>
      <c r="B11" s="7" t="s">
        <v>42</v>
      </c>
      <c r="C11" s="7" t="s">
        <v>91</v>
      </c>
    </row>
    <row r="12" customFormat="false" ht="15" hidden="false" customHeight="false" outlineLevel="0" collapsed="false">
      <c r="A12" s="3" t="s">
        <v>92</v>
      </c>
      <c r="B12" s="15" t="n">
        <v>0.91</v>
      </c>
      <c r="C12" s="3" t="s">
        <v>93</v>
      </c>
    </row>
    <row r="13" customFormat="false" ht="15" hidden="false" customHeight="false" outlineLevel="0" collapsed="false">
      <c r="A13" s="3" t="s">
        <v>94</v>
      </c>
      <c r="B13" s="15" t="n">
        <v>1.01</v>
      </c>
      <c r="C13" s="3" t="s">
        <v>93</v>
      </c>
    </row>
    <row r="14" customFormat="false" ht="15" hidden="false" customHeight="false" outlineLevel="0" collapsed="false">
      <c r="A14" s="3" t="s">
        <v>95</v>
      </c>
      <c r="B14" s="15" t="n">
        <v>0.84</v>
      </c>
      <c r="C14" s="3" t="s">
        <v>96</v>
      </c>
    </row>
    <row r="15" customFormat="false" ht="15" hidden="false" customHeight="false" outlineLevel="0" collapsed="false">
      <c r="A15" s="3" t="s">
        <v>97</v>
      </c>
      <c r="B15" s="15" t="n">
        <v>1.08</v>
      </c>
      <c r="C15" s="3" t="s">
        <v>98</v>
      </c>
    </row>
    <row r="16" customFormat="false" ht="15" hidden="false" customHeight="false" outlineLevel="0" collapsed="false">
      <c r="A16" s="3" t="s">
        <v>99</v>
      </c>
      <c r="B16" s="15" t="n">
        <v>0.98</v>
      </c>
      <c r="C16" s="3" t="s">
        <v>98</v>
      </c>
    </row>
    <row r="17" customFormat="false" ht="15" hidden="false" customHeight="false" outlineLevel="0" collapsed="false">
      <c r="A17" s="3" t="s">
        <v>100</v>
      </c>
      <c r="B17" s="15" t="n">
        <v>0.4</v>
      </c>
      <c r="C17" s="3" t="s">
        <v>101</v>
      </c>
    </row>
    <row r="18" customFormat="false" ht="15" hidden="false" customHeight="false" outlineLevel="0" collapsed="false">
      <c r="A18" s="3" t="s">
        <v>102</v>
      </c>
      <c r="B18" s="15" t="n">
        <v>0.25</v>
      </c>
      <c r="C18" s="3" t="s">
        <v>103</v>
      </c>
    </row>
    <row r="19" customFormat="false" ht="15" hidden="false" customHeight="false" outlineLevel="0" collapsed="false">
      <c r="A19" s="3" t="s">
        <v>104</v>
      </c>
      <c r="B19" s="15" t="n">
        <v>0.92</v>
      </c>
      <c r="C19" s="3" t="s">
        <v>93</v>
      </c>
    </row>
    <row r="20" customFormat="false" ht="15" hidden="false" customHeight="false" outlineLevel="0" collapsed="false">
      <c r="A20" s="3" t="s">
        <v>105</v>
      </c>
      <c r="B20" s="15" t="n">
        <v>1.04</v>
      </c>
      <c r="C20" s="3" t="s">
        <v>93</v>
      </c>
    </row>
    <row r="21" customFormat="false" ht="15" hidden="false" customHeight="false" outlineLevel="0" collapsed="false">
      <c r="A21" s="3" t="s">
        <v>106</v>
      </c>
      <c r="B21" s="15" t="n">
        <v>0.9</v>
      </c>
      <c r="C21" s="3" t="s">
        <v>93</v>
      </c>
    </row>
    <row r="22" customFormat="false" ht="15" hidden="false" customHeight="false" outlineLevel="0" collapsed="false">
      <c r="A22" s="3" t="s">
        <v>107</v>
      </c>
      <c r="B22" s="15" t="n">
        <v>1.01</v>
      </c>
      <c r="C22" s="3" t="s">
        <v>93</v>
      </c>
    </row>
    <row r="23" customFormat="false" ht="15" hidden="false" customHeight="false" outlineLevel="0" collapsed="false">
      <c r="A23" s="3" t="s">
        <v>108</v>
      </c>
      <c r="B23" s="15" t="n">
        <v>0.91</v>
      </c>
      <c r="C23" s="3" t="s">
        <v>109</v>
      </c>
    </row>
    <row r="24" customFormat="false" ht="15" hidden="false" customHeight="false" outlineLevel="0" collapsed="false">
      <c r="A24" s="3" t="s">
        <v>110</v>
      </c>
      <c r="B24" s="15" t="n">
        <v>1.03</v>
      </c>
      <c r="C24" s="3" t="s">
        <v>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3" min="2" style="0" width="10"/>
    <col collapsed="false" customWidth="true" hidden="false" outlineLevel="0" max="4" min="4" style="0" width="13"/>
    <col collapsed="false" customWidth="true" hidden="false" outlineLevel="0" max="6" min="5" style="0" width="10"/>
    <col collapsed="false" customWidth="true" hidden="false" outlineLevel="0" max="7" min="7" style="0" width="13"/>
    <col collapsed="false" customWidth="true" hidden="false" outlineLevel="0" max="8" min="8" style="0" width="10"/>
    <col collapsed="false" customWidth="true" hidden="false" outlineLevel="0" max="9" min="9" style="0" width="40"/>
  </cols>
  <sheetData>
    <row r="1" customFormat="false" ht="16.15" hidden="false" customHeight="false" outlineLevel="0" collapsed="false">
      <c r="A1" s="1" t="s">
        <v>111</v>
      </c>
    </row>
    <row r="2" customFormat="false" ht="15" hidden="false" customHeight="false" outlineLevel="0" collapsed="false">
      <c r="A2" s="2" t="s">
        <v>112</v>
      </c>
    </row>
    <row r="4" customFormat="false" ht="23.85" hidden="false" customHeight="false" outlineLevel="0" collapsed="false">
      <c r="A4" s="6" t="s">
        <v>113</v>
      </c>
      <c r="B4" s="7" t="s">
        <v>114</v>
      </c>
      <c r="C4" s="7" t="s">
        <v>115</v>
      </c>
      <c r="D4" s="7" t="s">
        <v>116</v>
      </c>
      <c r="E4" s="7" t="s">
        <v>117</v>
      </c>
      <c r="F4" s="7" t="s">
        <v>118</v>
      </c>
      <c r="G4" s="7" t="s">
        <v>119</v>
      </c>
      <c r="H4" s="7" t="s">
        <v>120</v>
      </c>
      <c r="I4" s="7" t="s">
        <v>121</v>
      </c>
    </row>
    <row r="5" customFormat="false" ht="15" hidden="false" customHeight="false" outlineLevel="0" collapsed="false">
      <c r="A5" s="3" t="s">
        <v>122</v>
      </c>
      <c r="B5" s="16" t="n">
        <v>2462</v>
      </c>
      <c r="C5" s="15" t="n">
        <v>0.9093</v>
      </c>
      <c r="D5" s="15" t="n">
        <v>0.91</v>
      </c>
      <c r="E5" s="17" t="n">
        <f aca="false">C5-D5</f>
        <v>-0.000700000000000034</v>
      </c>
      <c r="F5" s="15" t="n">
        <v>1.02701</v>
      </c>
      <c r="G5" s="15" t="n">
        <v>1.01</v>
      </c>
      <c r="H5" s="17" t="n">
        <f aca="false">F5-G5</f>
        <v>0.01701</v>
      </c>
      <c r="I5" s="3" t="s">
        <v>123</v>
      </c>
    </row>
    <row r="6" customFormat="false" ht="15" hidden="false" customHeight="false" outlineLevel="0" collapsed="false">
      <c r="A6" s="3" t="s">
        <v>124</v>
      </c>
      <c r="B6" s="16" t="n">
        <v>2462</v>
      </c>
      <c r="C6" s="15" t="n">
        <v>0.9093</v>
      </c>
      <c r="D6" s="15" t="n">
        <v>0.92</v>
      </c>
      <c r="E6" s="17" t="n">
        <f aca="false">C6-D6</f>
        <v>-0.0107</v>
      </c>
      <c r="F6" s="15" t="n">
        <v>1.02701</v>
      </c>
      <c r="G6" s="15" t="n">
        <v>1.04</v>
      </c>
      <c r="H6" s="17" t="n">
        <f aca="false">F6-G6</f>
        <v>-0.0129900000000001</v>
      </c>
      <c r="I6" s="3" t="s">
        <v>123</v>
      </c>
    </row>
    <row r="7" customFormat="false" ht="15" hidden="false" customHeight="false" outlineLevel="0" collapsed="false">
      <c r="A7" s="3" t="s">
        <v>125</v>
      </c>
      <c r="B7" s="16" t="n">
        <v>2462</v>
      </c>
      <c r="C7" s="15" t="n">
        <v>0.9093</v>
      </c>
      <c r="D7" s="15" t="n">
        <v>0.9</v>
      </c>
      <c r="E7" s="17" t="n">
        <f aca="false">C7-D7</f>
        <v>0.00929999999999998</v>
      </c>
      <c r="F7" s="15" t="n">
        <v>1.02701</v>
      </c>
      <c r="G7" s="15" t="n">
        <v>1.01</v>
      </c>
      <c r="H7" s="17" t="n">
        <f aca="false">F7-G7</f>
        <v>0.01701</v>
      </c>
      <c r="I7" s="3" t="s">
        <v>123</v>
      </c>
    </row>
    <row r="8" customFormat="false" ht="15" hidden="false" customHeight="false" outlineLevel="0" collapsed="false">
      <c r="A8" s="3" t="s">
        <v>126</v>
      </c>
      <c r="B8" s="16" t="n">
        <v>1059</v>
      </c>
      <c r="C8" s="15" t="n">
        <v>0.89175</v>
      </c>
      <c r="D8" s="15" t="n">
        <v>0.9</v>
      </c>
      <c r="E8" s="17" t="n">
        <f aca="false">C8-D8</f>
        <v>-0.00824999999999998</v>
      </c>
      <c r="F8" s="15" t="n">
        <v>1.00937</v>
      </c>
      <c r="G8" s="15" t="n">
        <v>0.98</v>
      </c>
      <c r="H8" s="17" t="n">
        <f aca="false">F8-G8</f>
        <v>0.0293700000000001</v>
      </c>
      <c r="I8" s="3"/>
    </row>
    <row r="9" customFormat="false" ht="15" hidden="false" customHeight="false" outlineLevel="0" collapsed="false">
      <c r="A9" s="3" t="s">
        <v>127</v>
      </c>
      <c r="B9" s="16" t="n">
        <v>520</v>
      </c>
      <c r="C9" s="15" t="n">
        <v>0.89621</v>
      </c>
      <c r="D9" s="15" t="n">
        <v>0.91</v>
      </c>
      <c r="E9" s="17" t="n">
        <f aca="false">C9-D9</f>
        <v>-0.0137900000000001</v>
      </c>
      <c r="F9" s="15" t="n">
        <v>1.01491</v>
      </c>
      <c r="G9" s="15" t="n">
        <v>1.03</v>
      </c>
      <c r="H9" s="17" t="n">
        <f aca="false">F9-G9</f>
        <v>-0.01509</v>
      </c>
      <c r="I9" s="3"/>
    </row>
    <row r="10" customFormat="false" ht="15" hidden="false" customHeight="false" outlineLevel="0" collapsed="false">
      <c r="A10" s="3" t="s">
        <v>128</v>
      </c>
      <c r="B10" s="16" t="n">
        <v>426</v>
      </c>
      <c r="C10" s="15" t="n">
        <v>0.9118</v>
      </c>
      <c r="D10" s="15" t="n">
        <v>0.91</v>
      </c>
      <c r="E10" s="17" t="n">
        <f aca="false">C10-D10</f>
        <v>0.00180000000000002</v>
      </c>
      <c r="F10" s="15" t="n">
        <v>1.0223</v>
      </c>
      <c r="G10" s="15" t="n">
        <v>1.02</v>
      </c>
      <c r="H10" s="17" t="n">
        <f aca="false">F10-G10</f>
        <v>0.00229999999999997</v>
      </c>
      <c r="I10" s="3"/>
    </row>
    <row r="11" customFormat="false" ht="15" hidden="false" customHeight="false" outlineLevel="0" collapsed="false">
      <c r="A11" s="3" t="s">
        <v>129</v>
      </c>
      <c r="B11" s="16" t="n">
        <v>225</v>
      </c>
      <c r="C11" s="15" t="n">
        <v>0.89704</v>
      </c>
      <c r="D11" s="15" t="n">
        <v>0.9</v>
      </c>
      <c r="E11" s="17" t="n">
        <f aca="false">C11-D11</f>
        <v>-0.00296000000000007</v>
      </c>
      <c r="F11" s="15" t="n">
        <v>1.01051</v>
      </c>
      <c r="G11" s="15" t="n">
        <v>1.04</v>
      </c>
      <c r="H11" s="17" t="n">
        <f aca="false">F11-G11</f>
        <v>-0.02949</v>
      </c>
      <c r="I11" s="3"/>
    </row>
    <row r="12" customFormat="false" ht="15" hidden="false" customHeight="false" outlineLevel="0" collapsed="false">
      <c r="A12" s="3" t="s">
        <v>130</v>
      </c>
      <c r="B12" s="16" t="n">
        <v>207</v>
      </c>
      <c r="C12" s="15" t="n">
        <v>0.92882</v>
      </c>
      <c r="D12" s="15" t="n">
        <v>0.91</v>
      </c>
      <c r="E12" s="17" t="n">
        <f aca="false">C12-D12</f>
        <v>0.0188199999999999</v>
      </c>
      <c r="F12" s="15" t="n">
        <v>1.05051</v>
      </c>
      <c r="G12" s="15" t="n">
        <v>1.02</v>
      </c>
      <c r="H12" s="17" t="n">
        <f aca="false">F12-G12</f>
        <v>0.03051</v>
      </c>
      <c r="I12" s="3"/>
    </row>
    <row r="13" customFormat="false" ht="15" hidden="false" customHeight="false" outlineLevel="0" collapsed="false">
      <c r="A13" s="3" t="s">
        <v>131</v>
      </c>
      <c r="B13" s="16" t="n">
        <v>25</v>
      </c>
      <c r="C13" s="15" t="n">
        <v>0.87573</v>
      </c>
      <c r="D13" s="15" t="n">
        <v>0.95</v>
      </c>
      <c r="E13" s="17" t="n">
        <f aca="false">C13-D13</f>
        <v>-0.07427</v>
      </c>
      <c r="F13" s="15" t="n">
        <v>0.99824</v>
      </c>
      <c r="G13" s="15" t="n">
        <v>1.06</v>
      </c>
      <c r="H13" s="17" t="n">
        <f aca="false">F13-G13</f>
        <v>-0.06176</v>
      </c>
      <c r="I13" s="3" t="s">
        <v>132</v>
      </c>
    </row>
    <row r="14" customFormat="false" ht="15" hidden="false" customHeight="false" outlineLevel="0" collapsed="false">
      <c r="A14" s="3" t="s">
        <v>133</v>
      </c>
      <c r="B14" s="16" t="n">
        <v>1223</v>
      </c>
      <c r="C14" s="15" t="n">
        <v>0.90406</v>
      </c>
      <c r="D14" s="15" t="n">
        <v>0.9</v>
      </c>
      <c r="E14" s="17" t="n">
        <f aca="false">C14-D14</f>
        <v>0.00405999999999995</v>
      </c>
      <c r="F14" s="15" t="n">
        <v>1.04164</v>
      </c>
      <c r="G14" s="15" t="n">
        <v>1.01</v>
      </c>
      <c r="H14" s="17" t="n">
        <f aca="false">F14-G14</f>
        <v>0.0316399999999999</v>
      </c>
      <c r="I14" s="3"/>
    </row>
    <row r="15" customFormat="false" ht="15" hidden="false" customHeight="false" outlineLevel="0" collapsed="false">
      <c r="A15" s="3" t="s">
        <v>134</v>
      </c>
      <c r="B15" s="16" t="n">
        <v>783</v>
      </c>
      <c r="C15" s="15" t="n">
        <v>0.90343</v>
      </c>
      <c r="D15" s="15" t="n">
        <v>0.89</v>
      </c>
      <c r="E15" s="17" t="n">
        <f aca="false">C15-D15</f>
        <v>0.0134299999999999</v>
      </c>
      <c r="F15" s="15" t="n">
        <v>1.0272</v>
      </c>
      <c r="G15" s="15" t="n">
        <v>1</v>
      </c>
      <c r="H15" s="17" t="n">
        <f aca="false">F15-G15</f>
        <v>0.0271999999999999</v>
      </c>
      <c r="I15" s="3"/>
    </row>
    <row r="16" customFormat="false" ht="15" hidden="false" customHeight="false" outlineLevel="0" collapsed="false">
      <c r="A16" s="3" t="s">
        <v>135</v>
      </c>
      <c r="B16" s="16" t="n">
        <v>456</v>
      </c>
      <c r="C16" s="15" t="n">
        <v>0.91616</v>
      </c>
      <c r="D16" s="15" t="n">
        <v>0.94</v>
      </c>
      <c r="E16" s="17" t="n">
        <f aca="false">C16-D16</f>
        <v>-0.02384</v>
      </c>
      <c r="F16" s="15" t="n">
        <v>1.01095</v>
      </c>
      <c r="G16" s="15" t="n">
        <v>1.03</v>
      </c>
      <c r="H16" s="17" t="n">
        <f aca="false">F16-G16</f>
        <v>-0.01905</v>
      </c>
      <c r="I16"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7" min="2" style="0" width="13"/>
  </cols>
  <sheetData>
    <row r="1" customFormat="false" ht="16.15" hidden="false" customHeight="false" outlineLevel="0" collapsed="false">
      <c r="A1" s="1" t="s">
        <v>136</v>
      </c>
    </row>
    <row r="2" customFormat="false" ht="15" hidden="false" customHeight="false" outlineLevel="0" collapsed="false">
      <c r="A2" s="2" t="s">
        <v>137</v>
      </c>
    </row>
    <row r="4" customFormat="false" ht="23.85" hidden="false" customHeight="false" outlineLevel="0" collapsed="false">
      <c r="A4" s="6" t="s">
        <v>138</v>
      </c>
      <c r="B4" s="7" t="s">
        <v>139</v>
      </c>
      <c r="C4" s="7" t="s">
        <v>140</v>
      </c>
      <c r="D4" s="7" t="s">
        <v>141</v>
      </c>
      <c r="E4" s="7" t="s">
        <v>142</v>
      </c>
      <c r="F4" s="7" t="s">
        <v>143</v>
      </c>
      <c r="G4" s="7" t="s">
        <v>144</v>
      </c>
    </row>
    <row r="5" customFormat="false" ht="15" hidden="false" customHeight="false" outlineLevel="0" collapsed="false">
      <c r="A5" s="3" t="s">
        <v>145</v>
      </c>
      <c r="B5" s="18" t="n">
        <v>114.4667</v>
      </c>
      <c r="C5" s="18" t="n">
        <v>113.7983</v>
      </c>
      <c r="D5" s="18" t="n">
        <v>115.1315</v>
      </c>
      <c r="E5" s="18" t="n">
        <v>114.5889</v>
      </c>
      <c r="F5" s="17" t="n">
        <f aca="false">IF(E5=0,0,B5/E5-1)</f>
        <v>-0.00106642091860554</v>
      </c>
      <c r="G5" s="19" t="n">
        <f aca="false">IF(AND(E5&gt;=C5,E5&lt;=D5),1,0)</f>
        <v>1</v>
      </c>
    </row>
    <row r="6" customFormat="false" ht="15" hidden="false" customHeight="false" outlineLevel="0" collapsed="false">
      <c r="A6" s="3" t="s">
        <v>146</v>
      </c>
      <c r="B6" s="18" t="n">
        <v>116.1414</v>
      </c>
      <c r="C6" s="18" t="n">
        <v>115.1447</v>
      </c>
      <c r="D6" s="18" t="n">
        <v>117.39</v>
      </c>
      <c r="E6" s="18" t="n">
        <v>115.2292</v>
      </c>
      <c r="F6" s="17" t="n">
        <f aca="false">IF(E6=0,0,B6/E6-1)</f>
        <v>0.00791639619124318</v>
      </c>
      <c r="G6" s="19" t="n">
        <f aca="false">IF(AND(E6&gt;=C6,E6&lt;=D6),1,0)</f>
        <v>1</v>
      </c>
    </row>
    <row r="7" customFormat="false" ht="15" hidden="false" customHeight="false" outlineLevel="0" collapsed="false">
      <c r="A7" s="3" t="s">
        <v>147</v>
      </c>
      <c r="B7" s="18" t="n">
        <v>117.8196</v>
      </c>
      <c r="C7" s="18" t="n">
        <v>116.5645</v>
      </c>
      <c r="D7" s="18" t="n">
        <v>119.292</v>
      </c>
      <c r="E7" s="18" t="n">
        <v>116.5863</v>
      </c>
      <c r="F7" s="17" t="n">
        <f aca="false">IF(E7=0,0,B7/E7-1)</f>
        <v>0.0105784298841287</v>
      </c>
      <c r="G7" s="19" t="n">
        <f aca="false">IF(AND(E7&gt;=C7,E7&lt;=D7),1,0)</f>
        <v>1</v>
      </c>
    </row>
    <row r="8" customFormat="false" ht="15" hidden="false" customHeight="false" outlineLevel="0" collapsed="false">
      <c r="A8" s="3" t="s">
        <v>148</v>
      </c>
      <c r="B8" s="18" t="n">
        <v>119.5014</v>
      </c>
      <c r="C8" s="18" t="n">
        <v>118.061</v>
      </c>
      <c r="D8" s="18" t="n">
        <v>121.1988</v>
      </c>
      <c r="E8" s="18" t="n">
        <v>118.0619</v>
      </c>
      <c r="F8" s="17" t="n">
        <f aca="false">IF(E8=0,0,B8/E8-1)</f>
        <v>0.0121927565116267</v>
      </c>
      <c r="G8" s="19" t="n">
        <f aca="false">IF(AND(E8&gt;=C8,E8&lt;=D8),1,0)</f>
        <v>1</v>
      </c>
    </row>
    <row r="9" customFormat="false" ht="15" hidden="false" customHeight="false" outlineLevel="0" collapsed="false">
      <c r="A9" s="3" t="s">
        <v>149</v>
      </c>
      <c r="B9" s="18" t="n">
        <v>121.1868</v>
      </c>
      <c r="C9" s="18" t="n">
        <v>119.5365</v>
      </c>
      <c r="D9" s="18" t="n">
        <v>123.0339</v>
      </c>
      <c r="E9" s="18" t="n">
        <v>120.2793</v>
      </c>
      <c r="F9" s="17" t="n">
        <f aca="false">IF(E9=0,0,B9/E9-1)</f>
        <v>0.00754493915411869</v>
      </c>
      <c r="G9" s="19" t="n">
        <f aca="false">IF(AND(E9&gt;=C9,E9&lt;=D9),1,0)</f>
        <v>1</v>
      </c>
    </row>
    <row r="10" customFormat="false" ht="15" hidden="false" customHeight="false" outlineLevel="0" collapsed="false">
      <c r="A10" s="3" t="s">
        <v>150</v>
      </c>
      <c r="B10" s="18" t="n">
        <v>122.8758</v>
      </c>
      <c r="C10" s="18" t="n">
        <v>120.9741</v>
      </c>
      <c r="D10" s="18" t="n">
        <v>124.8937</v>
      </c>
      <c r="E10" s="18" t="n">
        <v>122.6625</v>
      </c>
      <c r="F10" s="17" t="n">
        <f aca="false">IF(E10=0,0,B10/E10-1)</f>
        <v>0.00173891776215229</v>
      </c>
      <c r="G10" s="19" t="n">
        <f aca="false">IF(AND(E10&gt;=C10,E10&lt;=D10),1,0)</f>
        <v>1</v>
      </c>
    </row>
    <row r="11" customFormat="false" ht="15" hidden="false" customHeight="false" outlineLevel="0" collapsed="false">
      <c r="A11" s="3" t="s">
        <v>151</v>
      </c>
      <c r="B11" s="18" t="n">
        <v>124.5684</v>
      </c>
      <c r="C11" s="18" t="n">
        <v>122.5916</v>
      </c>
      <c r="D11" s="18" t="n">
        <v>126.7481</v>
      </c>
      <c r="E11" s="18" t="n">
        <v>124.1838</v>
      </c>
      <c r="F11" s="17" t="n">
        <f aca="false">IF(E11=0,0,B11/E11-1)</f>
        <v>0.00309702231692044</v>
      </c>
      <c r="G11" s="19" t="n">
        <f aca="false">IF(AND(E11&gt;=C11,E11&lt;=D11),1,0)</f>
        <v>1</v>
      </c>
    </row>
    <row r="12" customFormat="false" ht="15" hidden="false" customHeight="false" outlineLevel="0" collapsed="false">
      <c r="A12" s="3" t="s">
        <v>152</v>
      </c>
      <c r="B12" s="18" t="n">
        <v>126.2646</v>
      </c>
      <c r="C12" s="18" t="n">
        <v>124.143</v>
      </c>
      <c r="D12" s="18" t="n">
        <v>128.5992</v>
      </c>
      <c r="E12" s="18" t="n">
        <v>126.1992</v>
      </c>
      <c r="F12" s="17" t="n">
        <f aca="false">IF(E12=0,0,B12/E12-1)</f>
        <v>0.000518228324743797</v>
      </c>
      <c r="G12" s="19" t="n">
        <f aca="false">IF(AND(E12&gt;=C12,E12&lt;=D12),1,0)</f>
        <v>1</v>
      </c>
    </row>
    <row r="13" customFormat="false" ht="15" hidden="false" customHeight="false" outlineLevel="0" collapsed="false">
      <c r="A13" s="3" t="s">
        <v>153</v>
      </c>
      <c r="B13" s="18" t="n">
        <v>127.9645</v>
      </c>
      <c r="C13" s="18" t="n">
        <v>125.6709</v>
      </c>
      <c r="D13" s="18" t="n">
        <v>130.5042</v>
      </c>
      <c r="E13" s="18" t="n">
        <v>128.1118</v>
      </c>
      <c r="F13" s="17" t="n">
        <f aca="false">IF(E13=0,0,B13/E13-1)</f>
        <v>-0.00114977699165875</v>
      </c>
      <c r="G13" s="19" t="n">
        <f aca="false">IF(AND(E13&gt;=C13,E13&lt;=D13),1,0)</f>
        <v>1</v>
      </c>
    </row>
    <row r="14" customFormat="false" ht="15" hidden="false" customHeight="false" outlineLevel="0" collapsed="false">
      <c r="A14" s="3" t="s">
        <v>154</v>
      </c>
      <c r="B14" s="18" t="n">
        <v>129.668</v>
      </c>
      <c r="C14" s="18" t="n">
        <v>127.2689</v>
      </c>
      <c r="D14" s="18" t="n">
        <v>132.3195</v>
      </c>
      <c r="E14" s="18" t="n">
        <v>130.7919</v>
      </c>
      <c r="F14" s="17" t="n">
        <f aca="false">IF(E14=0,0,B14/E14-1)</f>
        <v>-0.0085930397830446</v>
      </c>
      <c r="G14" s="19" t="n">
        <f aca="false">IF(AND(E14&gt;=C14,E14&lt;=D14),1,0)</f>
        <v>1</v>
      </c>
    </row>
    <row r="15" customFormat="false" ht="15" hidden="false" customHeight="false" outlineLevel="0" collapsed="false">
      <c r="A15" s="3" t="s">
        <v>155</v>
      </c>
      <c r="B15" s="18" t="n">
        <v>131.3751</v>
      </c>
      <c r="C15" s="18" t="n">
        <v>128.8476</v>
      </c>
      <c r="D15" s="18" t="n">
        <v>134.2161</v>
      </c>
      <c r="E15" s="18" t="n">
        <v>132.2219</v>
      </c>
      <c r="F15" s="17" t="n">
        <f aca="false">IF(E15=0,0,B15/E15-1)</f>
        <v>-0.00640438535522481</v>
      </c>
      <c r="G15" s="19" t="n">
        <f aca="false">IF(AND(E15&gt;=C15,E15&lt;=D15),1,0)</f>
        <v>1</v>
      </c>
    </row>
    <row r="16" customFormat="false" ht="15" hidden="false" customHeight="false" outlineLevel="0" collapsed="false">
      <c r="A16" s="3" t="s">
        <v>156</v>
      </c>
      <c r="B16" s="18" t="n">
        <v>133.0859</v>
      </c>
      <c r="C16" s="18" t="n">
        <v>130.4674</v>
      </c>
      <c r="D16" s="18" t="n">
        <v>136.0352</v>
      </c>
      <c r="E16" s="18" t="n">
        <v>135.2531</v>
      </c>
      <c r="F16" s="17" t="n">
        <f aca="false">IF(E16=0,0,B16/E16-1)</f>
        <v>-0.0160232926269341</v>
      </c>
      <c r="G16" s="19" t="n">
        <f aca="false">IF(AND(E16&gt;=C16,E16&lt;=D16),1,0)</f>
        <v>1</v>
      </c>
    </row>
    <row r="17" customFormat="false" ht="15" hidden="false" customHeight="false" outlineLevel="0" collapsed="false">
      <c r="A17" s="3" t="s">
        <v>157</v>
      </c>
      <c r="B17" s="18" t="n">
        <v>134.8004</v>
      </c>
      <c r="C17" s="18" t="n">
        <v>132.0663</v>
      </c>
      <c r="D17" s="18" t="n">
        <v>137.8945</v>
      </c>
      <c r="E17" s="18" t="n">
        <v>136.7988</v>
      </c>
      <c r="F17" s="17" t="n">
        <f aca="false">IF(E17=0,0,B17/E17-1)</f>
        <v>-0.0146083152776194</v>
      </c>
      <c r="G17" s="19" t="n">
        <f aca="false">IF(AND(E17&gt;=C17,E17&lt;=D17),1,0)</f>
        <v>1</v>
      </c>
    </row>
    <row r="18" customFormat="false" ht="15" hidden="false" customHeight="false" outlineLevel="0" collapsed="false">
      <c r="A18" s="3" t="s">
        <v>158</v>
      </c>
      <c r="B18" s="18" t="n">
        <v>136.5185</v>
      </c>
      <c r="C18" s="18" t="n">
        <v>133.6489</v>
      </c>
      <c r="D18" s="18" t="n">
        <v>139.7412</v>
      </c>
      <c r="E18" s="18" t="n">
        <v>138.8755</v>
      </c>
      <c r="F18" s="17" t="n">
        <f aca="false">IF(E18=0,0,B18/E18-1)</f>
        <v>-0.0169720361042804</v>
      </c>
      <c r="G18" s="19" t="n">
        <f aca="false">IF(AND(E18&gt;=C18,E18&lt;=D18),1,0)</f>
        <v>1</v>
      </c>
    </row>
    <row r="19" customFormat="false" ht="15" hidden="false" customHeight="false" outlineLevel="0" collapsed="false">
      <c r="A19" s="3" t="s">
        <v>159</v>
      </c>
      <c r="B19" s="18" t="n">
        <v>138.2403</v>
      </c>
      <c r="C19" s="18" t="n">
        <v>135.1898</v>
      </c>
      <c r="D19" s="18" t="n">
        <v>141.5737</v>
      </c>
      <c r="E19" s="18" t="n">
        <v>140.1706</v>
      </c>
      <c r="F19" s="17" t="n">
        <f aca="false">IF(E19=0,0,B19/E19-1)</f>
        <v>-0.0137710761029775</v>
      </c>
      <c r="G19" s="19" t="n">
        <f aca="false">IF(AND(E19&gt;=C19,E19&lt;=D19),1,0)</f>
        <v>1</v>
      </c>
    </row>
    <row r="20" customFormat="false" ht="15" hidden="false" customHeight="false" outlineLevel="0" collapsed="false">
      <c r="A20" s="3" t="s">
        <v>160</v>
      </c>
      <c r="B20" s="18" t="n">
        <v>139.9658</v>
      </c>
      <c r="C20" s="18" t="n">
        <v>136.8476</v>
      </c>
      <c r="D20" s="18" t="n">
        <v>143.3858</v>
      </c>
      <c r="E20" s="18" t="n">
        <v>141.63</v>
      </c>
      <c r="F20" s="17" t="n">
        <f aca="false">IF(E20=0,0,B20/E20-1)</f>
        <v>-0.0117503353809221</v>
      </c>
      <c r="G20" s="19" t="n">
        <f aca="false">IF(AND(E20&gt;=C20,E20&lt;=D20),1,0)</f>
        <v>1</v>
      </c>
    </row>
    <row r="21" customFormat="false" ht="15" hidden="false" customHeight="false" outlineLevel="0" collapsed="false">
      <c r="A21" s="3" t="s">
        <v>161</v>
      </c>
      <c r="B21" s="18" t="n">
        <v>141.6949</v>
      </c>
      <c r="C21" s="18" t="n">
        <v>138.4363</v>
      </c>
      <c r="D21" s="18" t="n">
        <v>145.2689</v>
      </c>
      <c r="E21" s="18" t="n">
        <v>142.8435</v>
      </c>
      <c r="F21" s="17" t="n">
        <f aca="false">IF(E21=0,0,B21/E21-1)</f>
        <v>-0.0080409679124358</v>
      </c>
      <c r="G21" s="19" t="n">
        <f aca="false">IF(AND(E21&gt;=C21,E21&lt;=D21),1,0)</f>
        <v>1</v>
      </c>
    </row>
    <row r="22" customFormat="false" ht="15" hidden="false" customHeight="false" outlineLevel="0" collapsed="false">
      <c r="A22" s="3" t="s">
        <v>162</v>
      </c>
      <c r="B22" s="18" t="n">
        <v>143.4278</v>
      </c>
      <c r="C22" s="18" t="n">
        <v>140.0521</v>
      </c>
      <c r="D22" s="18" t="n">
        <v>147.1783</v>
      </c>
      <c r="E22" s="18" t="n">
        <v>145.3696</v>
      </c>
      <c r="F22" s="17" t="n">
        <f aca="false">IF(E22=0,0,B22/E22-1)</f>
        <v>-0.0133576758827155</v>
      </c>
      <c r="G22" s="19" t="n">
        <f aca="false">IF(AND(E22&gt;=C22,E22&lt;=D22),1,0)</f>
        <v>1</v>
      </c>
    </row>
    <row r="23" customFormat="false" ht="15" hidden="false" customHeight="false" outlineLevel="0" collapsed="false">
      <c r="A23" s="3" t="s">
        <v>163</v>
      </c>
      <c r="B23" s="18" t="n">
        <v>145.1644</v>
      </c>
      <c r="C23" s="18" t="n">
        <v>141.6955</v>
      </c>
      <c r="D23" s="18" t="n">
        <v>149.0632</v>
      </c>
      <c r="E23" s="18" t="n">
        <v>146.586</v>
      </c>
      <c r="F23" s="17" t="n">
        <f aca="false">IF(E23=0,0,B23/E23-1)</f>
        <v>-0.00969806120639083</v>
      </c>
      <c r="G23" s="19" t="n">
        <f aca="false">IF(AND(E23&gt;=C23,E23&lt;=D23),1,0)</f>
        <v>1</v>
      </c>
    </row>
    <row r="25" customFormat="false" ht="15" hidden="false" customHeight="false" outlineLevel="0" collapsed="false">
      <c r="A25" s="3" t="s">
        <v>164</v>
      </c>
      <c r="B25" s="17" t="n">
        <f aca="false">AVERAGE(G5:G23)</f>
        <v>1</v>
      </c>
    </row>
    <row r="26" customFormat="false" ht="15" hidden="false" customHeight="false" outlineLevel="0" collapsed="false">
      <c r="A26" s="3" t="s">
        <v>165</v>
      </c>
      <c r="B26" s="17" t="n">
        <f aca="false">F23</f>
        <v>-0.00969806120639083</v>
      </c>
    </row>
    <row r="28" customFormat="false" ht="15" hidden="false" customHeight="false" outlineLevel="0" collapsed="false">
      <c r="A28" s="5" t="s">
        <v>166</v>
      </c>
    </row>
    <row r="29" customFormat="false" ht="15" hidden="false" customHeight="false" outlineLevel="0" collapsed="false">
      <c r="A29" s="6" t="s">
        <v>167</v>
      </c>
      <c r="B29" s="7" t="s">
        <v>168</v>
      </c>
      <c r="C29" s="7" t="s">
        <v>169</v>
      </c>
      <c r="D29" s="7" t="s">
        <v>170</v>
      </c>
      <c r="E29" s="7" t="s">
        <v>171</v>
      </c>
      <c r="F29" s="7" t="s">
        <v>172</v>
      </c>
      <c r="G29" s="7" t="s">
        <v>173</v>
      </c>
    </row>
    <row r="30" customFormat="false" ht="15" hidden="false" customHeight="false" outlineLevel="0" collapsed="false">
      <c r="A30" s="3" t="s">
        <v>156</v>
      </c>
      <c r="B30" s="15" t="n">
        <v>0.9093</v>
      </c>
      <c r="C30" s="15" t="n">
        <v>0.92543</v>
      </c>
      <c r="D30" s="17" t="n">
        <f aca="false">C30-B30</f>
        <v>0.01613</v>
      </c>
      <c r="E30" s="15" t="n">
        <v>1.02701</v>
      </c>
      <c r="F30" s="15" t="n">
        <v>1.0318</v>
      </c>
      <c r="G30" s="17" t="n">
        <f aca="false">F30-E30</f>
        <v>0.00479000000000007</v>
      </c>
    </row>
    <row r="31" customFormat="false" ht="15" hidden="false" customHeight="false" outlineLevel="0" collapsed="false">
      <c r="A31" s="3" t="s">
        <v>157</v>
      </c>
      <c r="B31" s="15" t="n">
        <v>0.9093</v>
      </c>
      <c r="C31" s="15" t="n">
        <v>0.92535</v>
      </c>
      <c r="D31" s="17" t="n">
        <f aca="false">C31-B31</f>
        <v>0.01605</v>
      </c>
      <c r="E31" s="15" t="n">
        <v>1.02701</v>
      </c>
      <c r="F31" s="15" t="n">
        <v>1.03226</v>
      </c>
      <c r="G31" s="17" t="n">
        <f aca="false">F31-E31</f>
        <v>0.00524999999999998</v>
      </c>
    </row>
    <row r="32" customFormat="false" ht="15" hidden="false" customHeight="false" outlineLevel="0" collapsed="false">
      <c r="A32" s="3" t="s">
        <v>158</v>
      </c>
      <c r="B32" s="15" t="n">
        <v>0.9093</v>
      </c>
      <c r="C32" s="15" t="n">
        <v>0.93091</v>
      </c>
      <c r="D32" s="17" t="n">
        <f aca="false">C32-B32</f>
        <v>0.02161</v>
      </c>
      <c r="E32" s="15" t="n">
        <v>1.02701</v>
      </c>
      <c r="F32" s="15" t="n">
        <v>1.04273</v>
      </c>
      <c r="G32" s="17" t="n">
        <f aca="false">F32-E32</f>
        <v>0.01572</v>
      </c>
    </row>
    <row r="33" customFormat="false" ht="15" hidden="false" customHeight="false" outlineLevel="0" collapsed="false">
      <c r="A33" s="3" t="s">
        <v>159</v>
      </c>
      <c r="B33" s="15" t="n">
        <v>0.9093</v>
      </c>
      <c r="C33" s="15" t="n">
        <v>0.92858</v>
      </c>
      <c r="D33" s="17" t="n">
        <f aca="false">C33-B33</f>
        <v>0.01928</v>
      </c>
      <c r="E33" s="15" t="n">
        <v>1.02701</v>
      </c>
      <c r="F33" s="15" t="n">
        <v>1.04175</v>
      </c>
      <c r="G33" s="17" t="n">
        <f aca="false">F33-E33</f>
        <v>0.01474</v>
      </c>
    </row>
    <row r="34" customFormat="false" ht="15" hidden="false" customHeight="false" outlineLevel="0" collapsed="false">
      <c r="A34" s="3" t="s">
        <v>160</v>
      </c>
      <c r="B34" s="15" t="n">
        <v>0.9093</v>
      </c>
      <c r="C34" s="15" t="n">
        <v>0.92875</v>
      </c>
      <c r="D34" s="17" t="n">
        <f aca="false">C34-B34</f>
        <v>0.01945</v>
      </c>
      <c r="E34" s="15" t="n">
        <v>1.02701</v>
      </c>
      <c r="F34" s="15" t="n">
        <v>1.0391</v>
      </c>
      <c r="G34" s="17" t="n">
        <f aca="false">F34-E34</f>
        <v>0.0120899999999999</v>
      </c>
    </row>
    <row r="35" customFormat="false" ht="15" hidden="false" customHeight="false" outlineLevel="0" collapsed="false">
      <c r="A35" s="3" t="s">
        <v>161</v>
      </c>
      <c r="B35" s="15" t="n">
        <v>0.9093</v>
      </c>
      <c r="C35" s="15" t="n">
        <v>0.92613</v>
      </c>
      <c r="D35" s="17" t="n">
        <f aca="false">C35-B35</f>
        <v>0.01683</v>
      </c>
      <c r="E35" s="15" t="n">
        <v>1.02701</v>
      </c>
      <c r="F35" s="15" t="n">
        <v>1.03793</v>
      </c>
      <c r="G35" s="17" t="n">
        <f aca="false">F35-E35</f>
        <v>0.01092</v>
      </c>
    </row>
    <row r="36" customFormat="false" ht="15" hidden="false" customHeight="false" outlineLevel="0" collapsed="false">
      <c r="A36" s="3" t="s">
        <v>162</v>
      </c>
      <c r="B36" s="15" t="n">
        <v>0.9093</v>
      </c>
      <c r="C36" s="15" t="n">
        <v>0.92572</v>
      </c>
      <c r="D36" s="17" t="n">
        <f aca="false">C36-B36</f>
        <v>0.01642</v>
      </c>
      <c r="E36" s="15" t="n">
        <v>1.02701</v>
      </c>
      <c r="F36" s="15" t="n">
        <v>1.0381</v>
      </c>
      <c r="G36" s="17" t="n">
        <f aca="false">F36-E36</f>
        <v>0.01109</v>
      </c>
    </row>
    <row r="37" customFormat="false" ht="15" hidden="false" customHeight="false" outlineLevel="0" collapsed="false">
      <c r="A37" s="3" t="s">
        <v>163</v>
      </c>
      <c r="B37" s="15" t="n">
        <v>0.9093</v>
      </c>
      <c r="C37" s="15" t="n">
        <v>0.92122</v>
      </c>
      <c r="D37" s="17" t="n">
        <f aca="false">C37-B37</f>
        <v>0.01192</v>
      </c>
      <c r="E37" s="15" t="n">
        <v>1.02701</v>
      </c>
      <c r="F37" s="15" t="n">
        <v>1.03067</v>
      </c>
      <c r="G37" s="17" t="n">
        <f aca="false">F37-E37</f>
        <v>0.00366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19" min="2" style="0" width="11"/>
  </cols>
  <sheetData>
    <row r="1" customFormat="false" ht="16.15" hidden="false" customHeight="false" outlineLevel="0" collapsed="false">
      <c r="A1" s="1" t="s">
        <v>174</v>
      </c>
    </row>
    <row r="2" customFormat="false" ht="15" hidden="false" customHeight="false" outlineLevel="0" collapsed="false">
      <c r="A2" s="2" t="s">
        <v>175</v>
      </c>
    </row>
    <row r="4" customFormat="false" ht="15" hidden="false" customHeight="false" outlineLevel="0" collapsed="false">
      <c r="A4" s="6" t="s">
        <v>176</v>
      </c>
      <c r="B4" s="7" t="s">
        <v>177</v>
      </c>
      <c r="C4" s="7" t="s">
        <v>178</v>
      </c>
      <c r="D4" s="7" t="s">
        <v>179</v>
      </c>
      <c r="E4" s="7" t="s">
        <v>180</v>
      </c>
      <c r="F4" s="7" t="s">
        <v>181</v>
      </c>
      <c r="G4" s="7" t="s">
        <v>182</v>
      </c>
      <c r="H4" s="7" t="s">
        <v>183</v>
      </c>
      <c r="I4" s="7" t="s">
        <v>184</v>
      </c>
      <c r="J4" s="7" t="s">
        <v>185</v>
      </c>
      <c r="K4" s="7" t="s">
        <v>186</v>
      </c>
      <c r="L4" s="7" t="s">
        <v>187</v>
      </c>
      <c r="M4" s="7" t="s">
        <v>188</v>
      </c>
      <c r="N4" s="7" t="s">
        <v>189</v>
      </c>
      <c r="O4" s="7" t="s">
        <v>190</v>
      </c>
      <c r="P4" s="7" t="s">
        <v>191</v>
      </c>
      <c r="Q4" s="7" t="s">
        <v>192</v>
      </c>
      <c r="R4" s="7" t="s">
        <v>193</v>
      </c>
    </row>
    <row r="5" customFormat="false" ht="15" hidden="false" customHeight="false" outlineLevel="0" collapsed="false">
      <c r="A5" s="3" t="s">
        <v>194</v>
      </c>
      <c r="B5" s="18" t="n">
        <v>60.3637</v>
      </c>
      <c r="C5" s="20" t="n">
        <f aca="false">B10</f>
        <v>63.6655</v>
      </c>
      <c r="D5" s="20" t="n">
        <f aca="false">C10</f>
        <v>68.0027</v>
      </c>
      <c r="E5" s="20" t="n">
        <f aca="false">D10</f>
        <v>73.2332</v>
      </c>
      <c r="F5" s="20" t="n">
        <f aca="false">E10</f>
        <v>76.9986</v>
      </c>
      <c r="G5" s="20" t="n">
        <f aca="false">F10</f>
        <v>80.7655</v>
      </c>
      <c r="H5" s="20" t="n">
        <f aca="false">G10</f>
        <v>86.6753</v>
      </c>
      <c r="I5" s="20" t="n">
        <f aca="false">H10</f>
        <v>93.0416</v>
      </c>
      <c r="J5" s="20" t="n">
        <f aca="false">I10</f>
        <v>97.5328</v>
      </c>
      <c r="K5" s="20" t="n">
        <f aca="false">J10</f>
        <v>103.1694</v>
      </c>
      <c r="L5" s="20" t="n">
        <f aca="false">K10</f>
        <v>107.6061</v>
      </c>
      <c r="M5" s="20" t="n">
        <f aca="false">L10</f>
        <v>112.7956</v>
      </c>
      <c r="N5" s="20" t="n">
        <f aca="false">M10</f>
        <v>116.5863</v>
      </c>
      <c r="O5" s="20" t="n">
        <f aca="false">N10</f>
        <v>122.6626</v>
      </c>
      <c r="P5" s="20" t="n">
        <f aca="false">O10</f>
        <v>128.1119</v>
      </c>
      <c r="Q5" s="20" t="n">
        <f aca="false">P10</f>
        <v>135.2532</v>
      </c>
      <c r="R5" s="20" t="n">
        <f aca="false">Q10</f>
        <v>140.1706</v>
      </c>
    </row>
    <row r="6" customFormat="false" ht="15" hidden="false" customHeight="false" outlineLevel="0" collapsed="false">
      <c r="A6" s="3" t="s">
        <v>195</v>
      </c>
      <c r="B6" s="18" t="n">
        <v>2.9111</v>
      </c>
      <c r="C6" s="18" t="n">
        <v>4.0477</v>
      </c>
      <c r="D6" s="18" t="n">
        <v>5.0081</v>
      </c>
      <c r="E6" s="18" t="n">
        <v>3.1292</v>
      </c>
      <c r="F6" s="18" t="n">
        <v>3.3941</v>
      </c>
      <c r="G6" s="18" t="n">
        <v>5.7866</v>
      </c>
      <c r="H6" s="18" t="n">
        <v>5.3844</v>
      </c>
      <c r="I6" s="18" t="n">
        <v>4.1764</v>
      </c>
      <c r="J6" s="18" t="n">
        <v>4.2339</v>
      </c>
      <c r="K6" s="18" t="n">
        <v>3.8504</v>
      </c>
      <c r="L6" s="18" t="n">
        <v>4.8966</v>
      </c>
      <c r="M6" s="18" t="n">
        <v>4.2988</v>
      </c>
      <c r="N6" s="18" t="n">
        <v>4.3902</v>
      </c>
      <c r="O6" s="18" t="n">
        <v>4.7617</v>
      </c>
      <c r="P6" s="18" t="n">
        <v>5.4746</v>
      </c>
      <c r="Q6" s="18" t="n">
        <v>4.4325</v>
      </c>
      <c r="R6" s="18" t="n">
        <v>3.5596</v>
      </c>
    </row>
    <row r="7" customFormat="false" ht="15" hidden="false" customHeight="false" outlineLevel="0" collapsed="false">
      <c r="A7" s="3" t="s">
        <v>196</v>
      </c>
      <c r="B7" s="18" t="n">
        <v>2.8133</v>
      </c>
      <c r="C7" s="18" t="n">
        <v>2.4724</v>
      </c>
      <c r="D7" s="18" t="n">
        <v>2.8985</v>
      </c>
      <c r="E7" s="18" t="n">
        <v>3.3979</v>
      </c>
      <c r="F7" s="18" t="n">
        <v>3.2561</v>
      </c>
      <c r="G7" s="18" t="n">
        <v>3.4393</v>
      </c>
      <c r="H7" s="18" t="n">
        <v>3.8155</v>
      </c>
      <c r="I7" s="18" t="n">
        <v>3.8609</v>
      </c>
      <c r="J7" s="18" t="n">
        <v>4.5356</v>
      </c>
      <c r="K7" s="18" t="n">
        <v>4.5407</v>
      </c>
      <c r="L7" s="18" t="n">
        <v>4.7012</v>
      </c>
      <c r="M7" s="18" t="n">
        <v>4.44</v>
      </c>
      <c r="N7" s="18" t="n">
        <v>5.0978</v>
      </c>
      <c r="O7" s="18" t="n">
        <v>4.9784</v>
      </c>
      <c r="P7" s="18" t="n">
        <v>5.911</v>
      </c>
      <c r="Q7" s="18" t="n">
        <v>5.8025</v>
      </c>
      <c r="R7" s="18" t="n">
        <v>5.8674</v>
      </c>
    </row>
    <row r="8" customFormat="false" ht="15" hidden="false" customHeight="false" outlineLevel="0" collapsed="false">
      <c r="A8" s="3" t="s">
        <v>197</v>
      </c>
      <c r="B8" s="18" t="n">
        <v>-1.0374</v>
      </c>
      <c r="C8" s="18" t="n">
        <v>-1.0953</v>
      </c>
      <c r="D8" s="18" t="n">
        <v>-1.1894</v>
      </c>
      <c r="E8" s="18" t="n">
        <v>-1.3545</v>
      </c>
      <c r="F8" s="18" t="n">
        <v>-1.2686</v>
      </c>
      <c r="G8" s="18" t="n">
        <v>-1.4894</v>
      </c>
      <c r="H8" s="18" t="n">
        <v>-1.4108</v>
      </c>
      <c r="I8" s="18" t="n">
        <v>-1.7975</v>
      </c>
      <c r="J8" s="18" t="n">
        <v>-1.9285</v>
      </c>
      <c r="K8" s="18" t="n">
        <v>-1.8055</v>
      </c>
      <c r="L8" s="18" t="n">
        <v>-1.9759</v>
      </c>
      <c r="M8" s="18" t="n">
        <v>-2.4845</v>
      </c>
      <c r="N8" s="18" t="n">
        <v>-2.0784</v>
      </c>
      <c r="O8" s="18" t="n">
        <v>-2.4662</v>
      </c>
      <c r="P8" s="18" t="n">
        <v>-2.6481</v>
      </c>
      <c r="Q8" s="18" t="n">
        <v>-2.5898</v>
      </c>
      <c r="R8" s="18" t="n">
        <v>-2.6335</v>
      </c>
    </row>
    <row r="9" customFormat="false" ht="15" hidden="false" customHeight="false" outlineLevel="0" collapsed="false">
      <c r="A9" s="3" t="s">
        <v>198</v>
      </c>
      <c r="B9" s="18" t="n">
        <v>-1.3852</v>
      </c>
      <c r="C9" s="18" t="n">
        <v>-1.0876</v>
      </c>
      <c r="D9" s="18" t="n">
        <v>-1.4867</v>
      </c>
      <c r="E9" s="18" t="n">
        <v>-1.4072</v>
      </c>
      <c r="F9" s="18" t="n">
        <v>-1.6147</v>
      </c>
      <c r="G9" s="18" t="n">
        <v>-1.8267</v>
      </c>
      <c r="H9" s="18" t="n">
        <v>-1.4228</v>
      </c>
      <c r="I9" s="18" t="n">
        <v>-1.7486</v>
      </c>
      <c r="J9" s="18" t="n">
        <v>-1.2044</v>
      </c>
      <c r="K9" s="18" t="n">
        <v>-2.1489</v>
      </c>
      <c r="L9" s="18" t="n">
        <v>-2.4324</v>
      </c>
      <c r="M9" s="18" t="n">
        <v>-2.4636</v>
      </c>
      <c r="N9" s="18" t="n">
        <v>-1.3333</v>
      </c>
      <c r="O9" s="18" t="n">
        <v>-1.8246</v>
      </c>
      <c r="P9" s="18" t="n">
        <v>-1.5962</v>
      </c>
      <c r="Q9" s="18" t="n">
        <v>-2.7278</v>
      </c>
      <c r="R9" s="18" t="n">
        <v>-1.5945</v>
      </c>
    </row>
    <row r="10" customFormat="false" ht="15" hidden="false" customHeight="false" outlineLevel="0" collapsed="false">
      <c r="A10" s="3" t="s">
        <v>199</v>
      </c>
      <c r="B10" s="20" t="n">
        <f aca="false">SUM(B5:B9)</f>
        <v>63.6655</v>
      </c>
      <c r="C10" s="20" t="n">
        <f aca="false">SUM(C5:C9)</f>
        <v>68.0027</v>
      </c>
      <c r="D10" s="20" t="n">
        <f aca="false">SUM(D5:D9)</f>
        <v>73.2332</v>
      </c>
      <c r="E10" s="20" t="n">
        <f aca="false">SUM(E5:E9)</f>
        <v>76.9986</v>
      </c>
      <c r="F10" s="20" t="n">
        <f aca="false">SUM(F5:F9)</f>
        <v>80.7655</v>
      </c>
      <c r="G10" s="20" t="n">
        <f aca="false">SUM(G5:G9)</f>
        <v>86.6753</v>
      </c>
      <c r="H10" s="20" t="n">
        <f aca="false">SUM(H5:H9)</f>
        <v>93.0416</v>
      </c>
      <c r="I10" s="20" t="n">
        <f aca="false">SUM(I5:I9)</f>
        <v>97.5328</v>
      </c>
      <c r="J10" s="20" t="n">
        <f aca="false">SUM(J5:J9)</f>
        <v>103.1694</v>
      </c>
      <c r="K10" s="20" t="n">
        <f aca="false">SUM(K5:K9)</f>
        <v>107.6061</v>
      </c>
      <c r="L10" s="20" t="n">
        <f aca="false">SUM(L5:L9)</f>
        <v>112.7956</v>
      </c>
      <c r="M10" s="20" t="n">
        <f aca="false">SUM(M5:M9)</f>
        <v>116.5863</v>
      </c>
      <c r="N10" s="20" t="n">
        <f aca="false">SUM(N5:N9)</f>
        <v>122.6626</v>
      </c>
      <c r="O10" s="20" t="n">
        <f aca="false">SUM(O5:O9)</f>
        <v>128.1119</v>
      </c>
      <c r="P10" s="20" t="n">
        <f aca="false">SUM(P5:P9)</f>
        <v>135.2532</v>
      </c>
      <c r="Q10" s="20" t="n">
        <f aca="false">SUM(Q5:Q9)</f>
        <v>140.1706</v>
      </c>
      <c r="R10" s="20" t="n">
        <f aca="false">SUM(R5:R9)</f>
        <v>145.3696</v>
      </c>
    </row>
    <row r="11" customFormat="false" ht="15" hidden="false" customHeight="false" outlineLevel="0" collapsed="false">
      <c r="A11" s="3" t="s">
        <v>200</v>
      </c>
      <c r="B11" s="18" t="n">
        <v>63.6655</v>
      </c>
      <c r="C11" s="18" t="n">
        <v>68.0026</v>
      </c>
      <c r="D11" s="18" t="n">
        <v>73.2332</v>
      </c>
      <c r="E11" s="18" t="n">
        <v>76.9987</v>
      </c>
      <c r="F11" s="18" t="n">
        <v>80.7656</v>
      </c>
      <c r="G11" s="18" t="n">
        <v>86.6754</v>
      </c>
      <c r="H11" s="18" t="n">
        <v>93.0416</v>
      </c>
      <c r="I11" s="18" t="n">
        <v>97.5328</v>
      </c>
      <c r="J11" s="18" t="n">
        <v>103.1694</v>
      </c>
      <c r="K11" s="18" t="n">
        <v>107.6061</v>
      </c>
      <c r="L11" s="18" t="n">
        <v>112.7957</v>
      </c>
      <c r="M11" s="18" t="n">
        <v>116.5863</v>
      </c>
      <c r="N11" s="18" t="n">
        <v>122.6625</v>
      </c>
      <c r="O11" s="18" t="n">
        <v>128.1118</v>
      </c>
      <c r="P11" s="18" t="n">
        <v>135.2531</v>
      </c>
      <c r="Q11" s="18" t="n">
        <v>140.1706</v>
      </c>
      <c r="R11" s="18" t="n">
        <v>145.3696</v>
      </c>
    </row>
    <row r="12" customFormat="false" ht="15" hidden="false" customHeight="false" outlineLevel="0" collapsed="false">
      <c r="A12" s="3" t="s">
        <v>201</v>
      </c>
      <c r="B12" s="20" t="n">
        <f aca="false">ROUND(B10-B11,3)</f>
        <v>0</v>
      </c>
      <c r="C12" s="20" t="n">
        <f aca="false">ROUND(C10-C11,3)</f>
        <v>0</v>
      </c>
      <c r="D12" s="20" t="n">
        <f aca="false">ROUND(D10-D11,3)</f>
        <v>0</v>
      </c>
      <c r="E12" s="20" t="n">
        <f aca="false">ROUND(E10-E11,3)</f>
        <v>-0</v>
      </c>
      <c r="F12" s="20" t="n">
        <f aca="false">ROUND(F10-F11,3)</f>
        <v>-0</v>
      </c>
      <c r="G12" s="20" t="n">
        <f aca="false">ROUND(G10-G11,3)</f>
        <v>-0</v>
      </c>
      <c r="H12" s="20" t="n">
        <f aca="false">ROUND(H10-H11,3)</f>
        <v>0</v>
      </c>
      <c r="I12" s="20" t="n">
        <f aca="false">ROUND(I10-I11,3)</f>
        <v>0</v>
      </c>
      <c r="J12" s="20" t="n">
        <f aca="false">ROUND(J10-J11,3)</f>
        <v>0</v>
      </c>
      <c r="K12" s="20" t="n">
        <f aca="false">ROUND(K10-K11,3)</f>
        <v>0</v>
      </c>
      <c r="L12" s="20" t="n">
        <f aca="false">ROUND(L10-L11,3)</f>
        <v>-0</v>
      </c>
      <c r="M12" s="20" t="n">
        <f aca="false">ROUND(M10-M11,3)</f>
        <v>0</v>
      </c>
      <c r="N12" s="20" t="n">
        <f aca="false">ROUND(N10-N11,3)</f>
        <v>0</v>
      </c>
      <c r="O12" s="20" t="n">
        <f aca="false">ROUND(O10-O11,3)</f>
        <v>0</v>
      </c>
      <c r="P12" s="20" t="n">
        <f aca="false">ROUND(P10-P11,3)</f>
        <v>0</v>
      </c>
      <c r="Q12" s="20" t="n">
        <f aca="false">ROUND(Q10-Q11,3)</f>
        <v>0</v>
      </c>
      <c r="R12" s="20" t="n">
        <f aca="false">ROUND(R10-R11,3)</f>
        <v>0</v>
      </c>
    </row>
    <row r="14" customFormat="false" ht="15" hidden="false" customHeight="false" outlineLevel="0" collapsed="false">
      <c r="A14" s="5" t="s">
        <v>202</v>
      </c>
    </row>
    <row r="15" customFormat="false" ht="15" hidden="false" customHeight="false" outlineLevel="0" collapsed="false">
      <c r="A15" s="3" t="s">
        <v>203</v>
      </c>
      <c r="B15" s="20" t="n">
        <f aca="false">B10-B5</f>
        <v>3.3018</v>
      </c>
      <c r="C15" s="20" t="n">
        <f aca="false">C10-C5</f>
        <v>4.3372</v>
      </c>
      <c r="D15" s="20" t="n">
        <f aca="false">D10-D5</f>
        <v>5.23050000000001</v>
      </c>
      <c r="E15" s="20" t="n">
        <f aca="false">E10-E5</f>
        <v>3.7654</v>
      </c>
      <c r="F15" s="20" t="n">
        <f aca="false">F10-F5</f>
        <v>3.76689999999999</v>
      </c>
      <c r="G15" s="20" t="n">
        <f aca="false">G10-G5</f>
        <v>5.9098</v>
      </c>
      <c r="H15" s="20" t="n">
        <f aca="false">H10-H5</f>
        <v>6.3663</v>
      </c>
      <c r="I15" s="20" t="n">
        <f aca="false">I10-I5</f>
        <v>4.49120000000001</v>
      </c>
      <c r="J15" s="20" t="n">
        <f aca="false">J10-J5</f>
        <v>5.6366</v>
      </c>
      <c r="K15" s="20" t="n">
        <f aca="false">K10-K5</f>
        <v>4.4367</v>
      </c>
      <c r="L15" s="20" t="n">
        <f aca="false">L10-L5</f>
        <v>5.1895</v>
      </c>
      <c r="M15" s="20" t="n">
        <f aca="false">M10-M5</f>
        <v>3.7907</v>
      </c>
      <c r="N15" s="20" t="n">
        <f aca="false">N10-N5</f>
        <v>6.0763</v>
      </c>
      <c r="O15" s="20" t="n">
        <f aca="false">O10-O5</f>
        <v>5.44930000000001</v>
      </c>
      <c r="P15" s="20" t="n">
        <f aca="false">P10-P5</f>
        <v>7.1413</v>
      </c>
      <c r="Q15" s="20" t="n">
        <f aca="false">Q10-Q5</f>
        <v>4.91740000000002</v>
      </c>
      <c r="R15" s="20" t="n">
        <f aca="false">R10-R5</f>
        <v>5.19900000000001</v>
      </c>
    </row>
    <row r="16" customFormat="false" ht="15" hidden="false" customHeight="false" outlineLevel="0" collapsed="false">
      <c r="A16" s="3" t="s">
        <v>204</v>
      </c>
      <c r="B16" s="20" t="n">
        <f aca="false">B6+B7</f>
        <v>5.7244</v>
      </c>
      <c r="C16" s="20" t="n">
        <f aca="false">C6+C7</f>
        <v>6.5201</v>
      </c>
      <c r="D16" s="20" t="n">
        <f aca="false">D6+D7</f>
        <v>7.9066</v>
      </c>
      <c r="E16" s="20" t="n">
        <f aca="false">E6+E7</f>
        <v>6.5271</v>
      </c>
      <c r="F16" s="20" t="n">
        <f aca="false">F6+F7</f>
        <v>6.6502</v>
      </c>
      <c r="G16" s="20" t="n">
        <f aca="false">G6+G7</f>
        <v>9.2259</v>
      </c>
      <c r="H16" s="20" t="n">
        <f aca="false">H6+H7</f>
        <v>9.1999</v>
      </c>
      <c r="I16" s="20" t="n">
        <f aca="false">I6+I7</f>
        <v>8.0373</v>
      </c>
      <c r="J16" s="20" t="n">
        <f aca="false">J6+J7</f>
        <v>8.7695</v>
      </c>
      <c r="K16" s="20" t="n">
        <f aca="false">K6+K7</f>
        <v>8.3911</v>
      </c>
      <c r="L16" s="20" t="n">
        <f aca="false">L6+L7</f>
        <v>9.5978</v>
      </c>
      <c r="M16" s="20" t="n">
        <f aca="false">M6+M7</f>
        <v>8.7388</v>
      </c>
      <c r="N16" s="20" t="n">
        <f aca="false">N6+N7</f>
        <v>9.488</v>
      </c>
      <c r="O16" s="20" t="n">
        <f aca="false">O6+O7</f>
        <v>9.7401</v>
      </c>
      <c r="P16" s="20" t="n">
        <f aca="false">P6+P7</f>
        <v>11.3856</v>
      </c>
      <c r="Q16" s="20" t="n">
        <f aca="false">Q6+Q7</f>
        <v>10.235</v>
      </c>
      <c r="R16" s="20" t="n">
        <f aca="false">R6+R7</f>
        <v>9.427</v>
      </c>
    </row>
    <row r="17" customFormat="false" ht="15" hidden="false" customHeight="false" outlineLevel="0" collapsed="false">
      <c r="A17" s="3" t="s">
        <v>205</v>
      </c>
      <c r="B17" s="17" t="n">
        <f aca="false">IF(B16=0,0,B7/B16)</f>
        <v>0.491457620012578</v>
      </c>
      <c r="C17" s="17" t="n">
        <f aca="false">IF(C16=0,0,C7/C16)</f>
        <v>0.379196638088373</v>
      </c>
      <c r="D17" s="17" t="n">
        <f aca="false">IF(D16=0,0,D7/D16)</f>
        <v>0.366592467052842</v>
      </c>
      <c r="E17" s="17" t="n">
        <f aca="false">IF(E16=0,0,E7/E16)</f>
        <v>0.520583413767217</v>
      </c>
      <c r="F17" s="17" t="n">
        <f aca="false">IF(F16=0,0,F7/F16)</f>
        <v>0.489624372199332</v>
      </c>
      <c r="G17" s="17" t="n">
        <f aca="false">IF(G16=0,0,G7/G16)</f>
        <v>0.372787478728363</v>
      </c>
      <c r="H17" s="17" t="n">
        <f aca="false">IF(H16=0,0,H7/H16)</f>
        <v>0.414732768834444</v>
      </c>
      <c r="I17" s="17" t="n">
        <f aca="false">IF(I16=0,0,I7/I16)</f>
        <v>0.480372761997188</v>
      </c>
      <c r="J17" s="17" t="n">
        <f aca="false">IF(J16=0,0,J7/J16)</f>
        <v>0.517201664861167</v>
      </c>
      <c r="K17" s="17" t="n">
        <f aca="false">IF(K16=0,0,K7/K16)</f>
        <v>0.541132866966191</v>
      </c>
      <c r="L17" s="17" t="n">
        <f aca="false">IF(L16=0,0,L7/L16)</f>
        <v>0.489820583883807</v>
      </c>
      <c r="M17" s="17" t="n">
        <f aca="false">IF(M16=0,0,M7/M16)</f>
        <v>0.50807891243649</v>
      </c>
      <c r="N17" s="17" t="n">
        <f aca="false">IF(N16=0,0,N7/N16)</f>
        <v>0.537289207419899</v>
      </c>
      <c r="O17" s="17" t="n">
        <f aca="false">IF(O16=0,0,O7/O16)</f>
        <v>0.511124115768832</v>
      </c>
      <c r="P17" s="17" t="n">
        <f aca="false">IF(P16=0,0,P7/P16)</f>
        <v>0.519164558740866</v>
      </c>
      <c r="Q17" s="17" t="n">
        <f aca="false">IF(Q16=0,0,Q7/Q16)</f>
        <v>0.566927210552027</v>
      </c>
      <c r="R17" s="17" t="n">
        <f aca="false">IF(R16=0,0,R7/R16)</f>
        <v>0.622403733955659</v>
      </c>
    </row>
    <row r="18" customFormat="false" ht="15" hidden="false" customHeight="false" outlineLevel="0" collapsed="false">
      <c r="A18" s="3" t="s">
        <v>206</v>
      </c>
      <c r="B18" s="17" t="n">
        <f aca="false">IF(B5=0,0,1+(B8+B9)/B5)</f>
        <v>0.959866608574359</v>
      </c>
      <c r="C18" s="17" t="n">
        <f aca="false">IF(C5=0,0,1+(C8+C9)/C5)</f>
        <v>0.965712984269345</v>
      </c>
      <c r="D18" s="17" t="n">
        <f aca="false">IF(D5=0,0,1+(D8+D9)/D5)</f>
        <v>0.960647150774896</v>
      </c>
      <c r="E18" s="17" t="n">
        <f aca="false">IF(E5=0,0,1+(E8+E9)/E5)</f>
        <v>0.962288961836981</v>
      </c>
      <c r="F18" s="17" t="n">
        <f aca="false">IF(F5=0,0,1+(F8+F9)/F5)</f>
        <v>0.96255386461572</v>
      </c>
      <c r="G18" s="17" t="n">
        <f aca="false">IF(G5=0,0,1+(G8+G9)/G5)</f>
        <v>0.958941627303737</v>
      </c>
      <c r="H18" s="17" t="n">
        <f aca="false">IF(H5=0,0,1+(H8+H9)/H5)</f>
        <v>0.967307872023518</v>
      </c>
      <c r="I18" s="17" t="n">
        <f aca="false">IF(I5=0,0,1+(I8+I9)/I5)</f>
        <v>0.961886940895256</v>
      </c>
      <c r="J18" s="17" t="n">
        <f aca="false">IF(J5=0,0,1+(J8+J9)/J5)</f>
        <v>0.967878498310312</v>
      </c>
      <c r="K18" s="17" t="n">
        <f aca="false">IF(K5=0,0,1+(K8+K9)/K5)</f>
        <v>0.961670805490775</v>
      </c>
      <c r="L18" s="17" t="n">
        <f aca="false">IF(L5=0,0,1+(L8+L9)/L5)</f>
        <v>0.959032991624081</v>
      </c>
      <c r="M18" s="17" t="n">
        <f aca="false">IF(M5=0,0,1+(M8+M9)/M5)</f>
        <v>0.956132154091117</v>
      </c>
      <c r="N18" s="17" t="n">
        <f aca="false">IF(N5=0,0,1+(N8+N9)/N5)</f>
        <v>0.970736698908877</v>
      </c>
      <c r="O18" s="17" t="n">
        <f aca="false">IF(O5=0,0,1+(O8+O9)/O5)</f>
        <v>0.965019492494045</v>
      </c>
      <c r="P18" s="17" t="n">
        <f aca="false">IF(P5=0,0,1+(P8+P9)/P5)</f>
        <v>0.96687036879478</v>
      </c>
      <c r="Q18" s="17" t="n">
        <f aca="false">IF(Q5=0,0,1+(Q8+Q9)/Q5)</f>
        <v>0.960684109507206</v>
      </c>
      <c r="R18" s="17" t="n">
        <f aca="false">IF(R5=0,0,1+(R8+R9)/R5)</f>
        <v>0.96983675606725</v>
      </c>
    </row>
    <row r="19" customFormat="false" ht="15" hidden="false" customHeight="false" outlineLevel="0" collapsed="false">
      <c r="A19" s="3" t="s">
        <v>207</v>
      </c>
      <c r="B19" s="17" t="n">
        <f aca="false">IF(B5=0,0,1+(B7+B8+B9)/B5)</f>
        <v>1.00647243293569</v>
      </c>
      <c r="C19" s="17" t="n">
        <f aca="false">IF(C5=0,0,1+(C7+C8+C9)/C5)</f>
        <v>1.00454720374457</v>
      </c>
      <c r="D19" s="17" t="n">
        <f aca="false">IF(D5=0,0,1+(D7+D8+D9)/D5)</f>
        <v>1.00327045837886</v>
      </c>
      <c r="E19" s="17" t="n">
        <f aca="false">IF(E5=0,0,1+(E7+E8+E9)/E5)</f>
        <v>1.00868731668151</v>
      </c>
      <c r="F19" s="17" t="n">
        <f aca="false">IF(F5=0,0,1+(F7+F8+F9)/F5)</f>
        <v>1.00484164647149</v>
      </c>
      <c r="G19" s="17" t="n">
        <f aca="false">IF(G5=0,0,1+(G7+G8+G9)/G5)</f>
        <v>1.00152540379246</v>
      </c>
      <c r="H19" s="17" t="n">
        <f aca="false">IF(H5=0,0,1+(H7+H8+H9)/H5)</f>
        <v>1.01132848689304</v>
      </c>
      <c r="I19" s="17" t="n">
        <f aca="false">IF(I5=0,0,1+(I7+I8+I9)/I5)</f>
        <v>1.00338343278705</v>
      </c>
      <c r="J19" s="17" t="n">
        <f aca="false">IF(J5=0,0,1+(J7+J8+J9)/J5)</f>
        <v>1.01438182847206</v>
      </c>
      <c r="K19" s="17" t="n">
        <f aca="false">IF(K5=0,0,1+(K7+K8+K9)/K5)</f>
        <v>1.00568288659234</v>
      </c>
      <c r="L19" s="17" t="n">
        <f aca="false">IF(L5=0,0,1+(L7+L8+L9)/L5)</f>
        <v>1.00272196464699</v>
      </c>
      <c r="M19" s="17" t="n">
        <f aca="false">IF(M5=0,0,1+(M7+M8+M9)/M5)</f>
        <v>0.995495391664214</v>
      </c>
      <c r="N19" s="17" t="n">
        <f aca="false">IF(N5=0,0,1+(N7+N8+N9)/N5)</f>
        <v>1.01446224813722</v>
      </c>
      <c r="O19" s="17" t="n">
        <f aca="false">IF(O5=0,0,1+(O7+O8+O9)/O5)</f>
        <v>1.00560562062112</v>
      </c>
      <c r="P19" s="17" t="n">
        <f aca="false">IF(P5=0,0,1+(P7+P8+P9)/P5)</f>
        <v>1.01300972040849</v>
      </c>
      <c r="Q19" s="17" t="n">
        <f aca="false">IF(Q5=0,0,1+(Q7+Q8+Q9)/Q5)</f>
        <v>1.00358512774559</v>
      </c>
      <c r="R19" s="17" t="n">
        <f aca="false">IF(R5=0,0,1+(R7+R8+R9)/R5)</f>
        <v>1.01169574789578</v>
      </c>
    </row>
    <row r="20" customFormat="false" ht="15" hidden="false" customHeight="false" outlineLevel="0" collapsed="false">
      <c r="A20" s="3" t="s">
        <v>208</v>
      </c>
      <c r="B20" s="21" t="n">
        <f aca="false">IF((B8+B9)=0,0,B16/-(B8+B9))</f>
        <v>2.36291587550565</v>
      </c>
      <c r="C20" s="21" t="n">
        <f aca="false">IF((C8+C9)=0,0,C16/-(C8+C9))</f>
        <v>2.98689816299418</v>
      </c>
      <c r="D20" s="21" t="n">
        <f aca="false">IF((D8+D9)=0,0,D16/-(D8+D9))</f>
        <v>2.95452337356601</v>
      </c>
      <c r="E20" s="21" t="n">
        <f aca="false">IF((E8+E9)=0,0,E16/-(E8+E9))</f>
        <v>2.36343556505051</v>
      </c>
      <c r="F20" s="21" t="n">
        <f aca="false">IF((F8+F9)=0,0,F16/-(F8+F9))</f>
        <v>2.30645440987757</v>
      </c>
      <c r="G20" s="21" t="n">
        <f aca="false">IF((G8+G9)=0,0,G16/-(G8+G9))</f>
        <v>2.78215373480896</v>
      </c>
      <c r="H20" s="21" t="n">
        <f aca="false">IF((H8+H9)=0,0,H16/-(H8+H9))</f>
        <v>3.24671795595709</v>
      </c>
      <c r="I20" s="21" t="n">
        <f aca="false">IF((I8+I9)=0,0,I16/-(I8+I9))</f>
        <v>2.26651814669637</v>
      </c>
      <c r="J20" s="21" t="n">
        <f aca="false">IF((J8+J9)=0,0,J16/-(J8+J9))</f>
        <v>2.79916371413068</v>
      </c>
      <c r="K20" s="21" t="n">
        <f aca="false">IF((K8+K9)=0,0,K16/-(K8+K9))</f>
        <v>2.12196540562412</v>
      </c>
      <c r="L20" s="21" t="n">
        <f aca="false">IF((L8+L9)=0,0,L16/-(L8+L9))</f>
        <v>2.17721116983871</v>
      </c>
      <c r="M20" s="21" t="n">
        <f aca="false">IF((M8+M9)=0,0,M16/-(M8+M9))</f>
        <v>1.76609203532669</v>
      </c>
      <c r="N20" s="21" t="n">
        <f aca="false">IF((N8+N9)=0,0,N16/-(N8+N9))</f>
        <v>2.78101826069115</v>
      </c>
      <c r="O20" s="21" t="n">
        <f aca="false">IF((O8+O9)=0,0,O16/-(O8+O9))</f>
        <v>2.26999627109164</v>
      </c>
      <c r="P20" s="21" t="n">
        <f aca="false">IF((P8+P9)=0,0,P16/-(P8+P9))</f>
        <v>2.68256249558231</v>
      </c>
      <c r="Q20" s="21" t="n">
        <f aca="false">IF((Q8+Q9)=0,0,Q16/-(Q8+Q9))</f>
        <v>1.92474048442907</v>
      </c>
      <c r="R20" s="21" t="n">
        <f aca="false">IF((R8+R9)=0,0,R16/-(R8+R9))</f>
        <v>2.22965941343425</v>
      </c>
    </row>
    <row r="21" customFormat="false" ht="15" hidden="false" customHeight="false" outlineLevel="0" collapsed="false">
      <c r="A21" s="3" t="s">
        <v>209</v>
      </c>
      <c r="B21" s="17" t="n">
        <f aca="false">IF(B5=0,0,B10/B5-1)</f>
        <v>0.0546984363118894</v>
      </c>
      <c r="C21" s="17" t="n">
        <f aca="false">IF(C5=0,0,C10/C5-1)</f>
        <v>0.0681248085697905</v>
      </c>
      <c r="D21" s="17" t="n">
        <f aca="false">IF(D5=0,0,D10/D5-1)</f>
        <v>0.0769160636268855</v>
      </c>
      <c r="E21" s="17" t="n">
        <f aca="false">IF(E5=0,0,E10/E5-1)</f>
        <v>0.0514165706264371</v>
      </c>
      <c r="F21" s="17" t="n">
        <f aca="false">IF(F5=0,0,F10/F5-1)</f>
        <v>0.0489216687056646</v>
      </c>
      <c r="G21" s="17" t="n">
        <f aca="false">IF(G5=0,0,G10/G5-1)</f>
        <v>0.0731723322458229</v>
      </c>
      <c r="H21" s="17" t="n">
        <f aca="false">IF(H5=0,0,H10/H5-1)</f>
        <v>0.0734499909432098</v>
      </c>
      <c r="I21" s="17" t="n">
        <f aca="false">IF(I5=0,0,I10/I5-1)</f>
        <v>0.0482708809822703</v>
      </c>
      <c r="J21" s="17" t="n">
        <f aca="false">IF(J5=0,0,J10/J5-1)</f>
        <v>0.0577918402834738</v>
      </c>
      <c r="K21" s="17" t="n">
        <f aca="false">IF(K5=0,0,K10/K5-1)</f>
        <v>0.0430040302647878</v>
      </c>
      <c r="L21" s="17" t="n">
        <f aca="false">IF(L5=0,0,L10/L5-1)</f>
        <v>0.0482268198550082</v>
      </c>
      <c r="M21" s="17" t="n">
        <f aca="false">IF(M5=0,0,M10/M5-1)</f>
        <v>0.0336068073577338</v>
      </c>
      <c r="N21" s="17" t="n">
        <f aca="false">IF(N5=0,0,N10/N5-1)</f>
        <v>0.0521184736113935</v>
      </c>
      <c r="O21" s="17" t="n">
        <f aca="false">IF(O5=0,0,O10/O5-1)</f>
        <v>0.0444251140934564</v>
      </c>
      <c r="P21" s="17" t="n">
        <f aca="false">IF(P5=0,0,P10/P5-1)</f>
        <v>0.0557426749583763</v>
      </c>
      <c r="Q21" s="17" t="n">
        <f aca="false">IF(Q5=0,0,Q10/Q5-1)</f>
        <v>0.0363569956200667</v>
      </c>
      <c r="R21" s="17" t="n">
        <f aca="false">IF(R5=0,0,R10/R5-1)</f>
        <v>0.0370905168416202</v>
      </c>
    </row>
    <row r="22" customFormat="false" ht="15" hidden="false" customHeight="false" outlineLevel="0" collapsed="false">
      <c r="A22" s="3" t="s">
        <v>210</v>
      </c>
      <c r="F22" s="17" t="n">
        <f aca="false">IF(B10=0,0,F10/B10-1)</f>
        <v>0.26859130926483</v>
      </c>
      <c r="G22" s="17" t="n">
        <f aca="false">IF(C10=0,0,G10/C10-1)</f>
        <v>0.274586156137918</v>
      </c>
      <c r="H22" s="17" t="n">
        <f aca="false">IF(D10=0,0,H10/D10-1)</f>
        <v>0.270483878896457</v>
      </c>
      <c r="I22" s="17" t="n">
        <f aca="false">IF(E10=0,0,I10/E10-1)</f>
        <v>0.266682770855574</v>
      </c>
      <c r="J22" s="17" t="n">
        <f aca="false">IF(F10=0,0,J10/F10-1)</f>
        <v>0.277394432028527</v>
      </c>
      <c r="K22" s="17" t="n">
        <f aca="false">IF(G10=0,0,K10/G10-1)</f>
        <v>0.241485175130631</v>
      </c>
      <c r="L22" s="17" t="n">
        <f aca="false">IF(H10=0,0,L10/H10-1)</f>
        <v>0.212313631751819</v>
      </c>
      <c r="M22" s="17" t="n">
        <f aca="false">IF(I10=0,0,M10/I10-1)</f>
        <v>0.195354793464352</v>
      </c>
      <c r="N22" s="17" t="n">
        <f aca="false">IF(J10=0,0,N10/J10-1)</f>
        <v>0.188943620879835</v>
      </c>
      <c r="O22" s="17" t="n">
        <f aca="false">IF(K10=0,0,O10/K10-1)</f>
        <v>0.190563546118668</v>
      </c>
      <c r="P22" s="17" t="n">
        <f aca="false">IF(L10=0,0,P10/L10-1)</f>
        <v>0.199099964892248</v>
      </c>
      <c r="Q22" s="17" t="n">
        <f aca="false">IF(M10=0,0,Q10/M10-1)</f>
        <v>0.202290492107563</v>
      </c>
      <c r="R22" s="17" t="n">
        <f aca="false">IF(N10=0,0,R10/N10-1)</f>
        <v>0.185117550092694</v>
      </c>
    </row>
    <row r="24" customFormat="false" ht="15" hidden="false" customHeight="false" outlineLevel="0" collapsed="false">
      <c r="A24" s="5" t="s">
        <v>211</v>
      </c>
    </row>
    <row r="25" customFormat="false" ht="15" hidden="false" customHeight="false" outlineLevel="0" collapsed="false">
      <c r="A25" s="6" t="s">
        <v>212</v>
      </c>
      <c r="B25" s="7" t="s">
        <v>213</v>
      </c>
      <c r="C25" s="7" t="s">
        <v>90</v>
      </c>
      <c r="D25" s="7" t="s">
        <v>214</v>
      </c>
    </row>
    <row r="26" customFormat="false" ht="15" hidden="false" customHeight="false" outlineLevel="0" collapsed="false">
      <c r="A26" s="3" t="s">
        <v>215</v>
      </c>
      <c r="B26" s="20" t="n">
        <f aca="false">O5</f>
        <v>122.6626</v>
      </c>
    </row>
    <row r="27" customFormat="false" ht="15" hidden="false" customHeight="false" outlineLevel="0" collapsed="false">
      <c r="A27" s="3" t="s">
        <v>195</v>
      </c>
      <c r="B27" s="20" t="n">
        <f aca="false">SUM(O6:R6)</f>
        <v>18.2284</v>
      </c>
    </row>
    <row r="28" customFormat="false" ht="15" hidden="false" customHeight="false" outlineLevel="0" collapsed="false">
      <c r="A28" s="3" t="s">
        <v>196</v>
      </c>
      <c r="B28" s="20" t="n">
        <f aca="false">SUM(O7:R7)</f>
        <v>22.5593</v>
      </c>
    </row>
    <row r="29" customFormat="false" ht="15" hidden="false" customHeight="false" outlineLevel="0" collapsed="false">
      <c r="A29" s="3" t="s">
        <v>216</v>
      </c>
      <c r="B29" s="20" t="n">
        <f aca="false">SUM(O8:R9)</f>
        <v>-18.0807</v>
      </c>
    </row>
    <row r="30" customFormat="false" ht="15" hidden="false" customHeight="false" outlineLevel="0" collapsed="false">
      <c r="A30" s="3" t="s">
        <v>217</v>
      </c>
      <c r="B30" s="20" t="n">
        <f aca="false">R10</f>
        <v>145.3696</v>
      </c>
    </row>
    <row r="31" customFormat="false" ht="15" hidden="false" customHeight="false" outlineLevel="0" collapsed="false">
      <c r="A31" s="3" t="s">
        <v>54</v>
      </c>
      <c r="B31" s="17" t="n">
        <f aca="false">IF(B26=0,0,B30/B26-1)</f>
        <v>0.185117550092694</v>
      </c>
      <c r="C31" s="8" t="n">
        <f aca="false">Inputs!$B$18</f>
        <v>0.25</v>
      </c>
      <c r="D31" s="17" t="n">
        <f aca="false">B31-C31</f>
        <v>-0.0648824499073064</v>
      </c>
    </row>
    <row r="32" customFormat="false" ht="15" hidden="false" customHeight="false" outlineLevel="0" collapsed="false">
      <c r="A32" s="3" t="s">
        <v>60</v>
      </c>
      <c r="B32" s="17" t="n">
        <f aca="false">IF((B27+B28)=0,0,B28/(B27+B28))</f>
        <v>0.55309076020467</v>
      </c>
      <c r="C32" s="8" t="n">
        <f aca="false">Inputs!$B$17</f>
        <v>0.4</v>
      </c>
      <c r="D32" s="17" t="n">
        <f aca="false">B32-C32</f>
        <v>0.15309076020467</v>
      </c>
    </row>
    <row r="33" customFormat="false" ht="15" hidden="false" customHeight="false" outlineLevel="0" collapsed="false">
      <c r="A33" s="3" t="s">
        <v>218</v>
      </c>
      <c r="B33" s="17" t="n">
        <f aca="false">IF(B26=0,0,-B29/B26)</f>
        <v>0.147401897562908</v>
      </c>
    </row>
    <row r="35" customFormat="false" ht="15" hidden="false" customHeight="false" outlineLevel="0" collapsed="false">
      <c r="A35" s="2" t="s">
        <v>219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0"/>
    <col collapsed="false" customWidth="true" hidden="false" outlineLevel="0" max="3" min="3" style="0" width="13"/>
    <col collapsed="false" customWidth="true" hidden="false" outlineLevel="0" max="6" min="4" style="0" width="10"/>
    <col collapsed="false" customWidth="true" hidden="false" outlineLevel="0" max="7" min="7" style="0" width="13"/>
    <col collapsed="false" customWidth="true" hidden="false" outlineLevel="0" max="8" min="8" style="0" width="14"/>
    <col collapsed="false" customWidth="true" hidden="false" outlineLevel="0" max="9" min="9" style="0" width="13"/>
  </cols>
  <sheetData>
    <row r="1" customFormat="false" ht="16.15" hidden="false" customHeight="false" outlineLevel="0" collapsed="false">
      <c r="A1" s="1" t="s">
        <v>220</v>
      </c>
    </row>
    <row r="2" customFormat="false" ht="15" hidden="false" customHeight="false" outlineLevel="0" collapsed="false">
      <c r="A2" s="2" t="s">
        <v>221</v>
      </c>
    </row>
    <row r="4" customFormat="false" ht="23.85" hidden="false" customHeight="false" outlineLevel="0" collapsed="false">
      <c r="A4" s="6" t="s">
        <v>222</v>
      </c>
      <c r="B4" s="7" t="s">
        <v>114</v>
      </c>
      <c r="C4" s="7" t="s">
        <v>223</v>
      </c>
      <c r="D4" s="7" t="s">
        <v>224</v>
      </c>
      <c r="E4" s="7" t="s">
        <v>225</v>
      </c>
      <c r="F4" s="7" t="s">
        <v>226</v>
      </c>
      <c r="G4" s="7" t="s">
        <v>227</v>
      </c>
      <c r="H4" s="7" t="s">
        <v>228</v>
      </c>
      <c r="I4" s="7" t="s">
        <v>229</v>
      </c>
    </row>
    <row r="5" customFormat="false" ht="15" hidden="false" customHeight="false" outlineLevel="0" collapsed="false">
      <c r="A5" s="3" t="s">
        <v>230</v>
      </c>
      <c r="B5" s="16" t="n">
        <v>3077</v>
      </c>
      <c r="C5" s="18" t="n">
        <v>124.1838</v>
      </c>
      <c r="D5" s="15" t="n">
        <v>0.92122</v>
      </c>
      <c r="E5" s="15" t="n">
        <v>1.03067</v>
      </c>
      <c r="F5" s="15" t="n">
        <v>0.08677</v>
      </c>
      <c r="G5" s="17" t="n">
        <f aca="false">D5-Inputs!$B$12</f>
        <v>0.01122</v>
      </c>
      <c r="H5" s="17" t="n">
        <f aca="false">D5-Inputs!$B$14</f>
        <v>0.0812200000000001</v>
      </c>
      <c r="I5" s="17" t="n">
        <f aca="false">E5-Inputs!$B$13</f>
        <v>0.02067</v>
      </c>
    </row>
    <row r="6" customFormat="false" ht="15" hidden="false" customHeight="false" outlineLevel="0" collapsed="false">
      <c r="A6" s="3" t="s">
        <v>231</v>
      </c>
      <c r="B6" s="16" t="n">
        <v>352</v>
      </c>
      <c r="C6" s="18" t="n">
        <v>63.4782</v>
      </c>
      <c r="D6" s="15" t="n">
        <v>0.93587</v>
      </c>
      <c r="E6" s="15" t="n">
        <v>1.04209</v>
      </c>
      <c r="F6" s="15" t="n">
        <v>0.04545</v>
      </c>
      <c r="G6" s="17" t="n">
        <f aca="false">D6-Inputs!$B$12</f>
        <v>0.02587</v>
      </c>
      <c r="H6" s="17" t="n">
        <f aca="false">D6-Inputs!$B$14</f>
        <v>0.09587</v>
      </c>
      <c r="I6" s="17" t="n">
        <f aca="false">E6-Inputs!$B$13</f>
        <v>0.03209</v>
      </c>
    </row>
    <row r="7" customFormat="false" ht="15" hidden="false" customHeight="false" outlineLevel="0" collapsed="false">
      <c r="A7" s="3" t="s">
        <v>232</v>
      </c>
      <c r="B7" s="16" t="n">
        <v>939</v>
      </c>
      <c r="C7" s="18" t="n">
        <v>41.4573</v>
      </c>
      <c r="D7" s="15" t="n">
        <v>0.91544</v>
      </c>
      <c r="E7" s="15" t="n">
        <v>1.02895</v>
      </c>
      <c r="F7" s="15" t="n">
        <v>0.07242</v>
      </c>
      <c r="G7" s="17" t="n">
        <f aca="false">D7-Inputs!$B$12</f>
        <v>0.00544</v>
      </c>
      <c r="H7" s="17" t="n">
        <f aca="false">D7-Inputs!$B$14</f>
        <v>0.0754400000000001</v>
      </c>
      <c r="I7" s="17" t="n">
        <f aca="false">E7-Inputs!$B$13</f>
        <v>0.01895</v>
      </c>
    </row>
    <row r="8" customFormat="false" ht="15" hidden="false" customHeight="false" outlineLevel="0" collapsed="false">
      <c r="A8" s="3" t="s">
        <v>233</v>
      </c>
      <c r="B8" s="16" t="n">
        <v>1786</v>
      </c>
      <c r="C8" s="18" t="n">
        <v>19.2482</v>
      </c>
      <c r="D8" s="15" t="n">
        <v>0.88534</v>
      </c>
      <c r="E8" s="15" t="n">
        <v>0.99672</v>
      </c>
      <c r="F8" s="15" t="n">
        <v>0.10246</v>
      </c>
      <c r="G8" s="17" t="n">
        <f aca="false">D8-Inputs!$B$12</f>
        <v>-0.02466</v>
      </c>
      <c r="H8" s="17" t="n">
        <f aca="false">D8-Inputs!$B$14</f>
        <v>0.0453400000000001</v>
      </c>
      <c r="I8" s="17" t="n">
        <f aca="false">E8-Inputs!$B$13</f>
        <v>-0.01328</v>
      </c>
    </row>
    <row r="9" customFormat="false" ht="15" hidden="false" customHeight="false" outlineLevel="0" collapsed="false">
      <c r="A9" s="3" t="s">
        <v>234</v>
      </c>
      <c r="B9" s="16" t="n">
        <v>794</v>
      </c>
      <c r="C9" s="18" t="n">
        <v>41.0521</v>
      </c>
      <c r="D9" s="15" t="n">
        <v>0.92894</v>
      </c>
      <c r="E9" s="15" t="n">
        <v>1.0363</v>
      </c>
      <c r="F9" s="15" t="n">
        <v>0.07557</v>
      </c>
      <c r="G9" s="17" t="n">
        <f aca="false">D9-Inputs!$B$12</f>
        <v>0.01894</v>
      </c>
      <c r="H9" s="17" t="n">
        <f aca="false">D9-Inputs!$B$14</f>
        <v>0.08894</v>
      </c>
      <c r="I9" s="17" t="n">
        <f aca="false">E9-Inputs!$B$13</f>
        <v>0.0263</v>
      </c>
    </row>
    <row r="10" customFormat="false" ht="15" hidden="false" customHeight="false" outlineLevel="0" collapsed="false">
      <c r="A10" s="3" t="s">
        <v>235</v>
      </c>
      <c r="B10" s="16" t="n">
        <v>1718</v>
      </c>
      <c r="C10" s="18" t="n">
        <v>51.4476</v>
      </c>
      <c r="D10" s="15" t="n">
        <v>0.92306</v>
      </c>
      <c r="E10" s="15" t="n">
        <v>1.01095</v>
      </c>
      <c r="F10" s="15" t="n">
        <v>0.09779</v>
      </c>
      <c r="G10" s="17" t="n">
        <f aca="false">D10-Inputs!$B$12</f>
        <v>0.01306</v>
      </c>
      <c r="H10" s="17" t="n">
        <f aca="false">D10-Inputs!$B$14</f>
        <v>0.08306</v>
      </c>
      <c r="I10" s="17" t="n">
        <f aca="false">E10-Inputs!$B$13</f>
        <v>0.000950000000000006</v>
      </c>
    </row>
    <row r="11" customFormat="false" ht="15" hidden="false" customHeight="false" outlineLevel="0" collapsed="false">
      <c r="A11" s="3" t="s">
        <v>236</v>
      </c>
      <c r="B11" s="16" t="n">
        <v>565</v>
      </c>
      <c r="C11" s="18" t="n">
        <v>31.6841</v>
      </c>
      <c r="D11" s="15" t="n">
        <v>0.90822</v>
      </c>
      <c r="E11" s="15" t="n">
        <v>1.0554</v>
      </c>
      <c r="F11" s="15" t="n">
        <v>0.06903</v>
      </c>
      <c r="G11" s="17" t="n">
        <f aca="false">D11-Inputs!$B$12</f>
        <v>-0.00178</v>
      </c>
      <c r="H11" s="17" t="n">
        <f aca="false">D11-Inputs!$B$14</f>
        <v>0.0682200000000001</v>
      </c>
      <c r="I11" s="17" t="n">
        <f aca="false">E11-Inputs!$B$13</f>
        <v>0.0453999999999999</v>
      </c>
    </row>
    <row r="12" customFormat="false" ht="15" hidden="false" customHeight="false" outlineLevel="0" collapsed="false">
      <c r="A12" s="3" t="s">
        <v>237</v>
      </c>
      <c r="B12" s="16" t="n">
        <v>1004</v>
      </c>
      <c r="C12" s="18" t="n">
        <v>10.9613</v>
      </c>
      <c r="D12" s="15" t="n">
        <v>0.89574</v>
      </c>
      <c r="E12" s="15" t="n">
        <v>1.00859</v>
      </c>
      <c r="F12" s="15" t="n">
        <v>0.09263</v>
      </c>
      <c r="G12" s="17" t="n">
        <f aca="false">D12-Inputs!$B$12</f>
        <v>-0.0142600000000001</v>
      </c>
      <c r="H12" s="17" t="n">
        <f aca="false">D12-Inputs!$B$14</f>
        <v>0.05574</v>
      </c>
      <c r="I12" s="17" t="n">
        <f aca="false">E12-Inputs!$B$13</f>
        <v>-0.00140999999999991</v>
      </c>
    </row>
    <row r="13" customFormat="false" ht="15" hidden="false" customHeight="false" outlineLevel="0" collapsed="false">
      <c r="A13" s="3" t="s">
        <v>238</v>
      </c>
      <c r="B13" s="16" t="n">
        <v>1504</v>
      </c>
      <c r="C13" s="18" t="n">
        <v>60.5273</v>
      </c>
      <c r="D13" s="15" t="n">
        <v>0.92096</v>
      </c>
      <c r="E13" s="15" t="n">
        <v>1.04701</v>
      </c>
      <c r="F13" s="15" t="n">
        <v>0.09774</v>
      </c>
      <c r="G13" s="17" t="n">
        <f aca="false">D13-Inputs!$B$12</f>
        <v>0.01096</v>
      </c>
      <c r="H13" s="17" t="n">
        <f aca="false">D13-Inputs!$B$14</f>
        <v>0.08096</v>
      </c>
      <c r="I13" s="17" t="n">
        <f aca="false">E13-Inputs!$B$13</f>
        <v>0.03701</v>
      </c>
    </row>
    <row r="14" customFormat="false" ht="15" hidden="false" customHeight="false" outlineLevel="0" collapsed="false">
      <c r="A14" s="3" t="s">
        <v>239</v>
      </c>
      <c r="B14" s="16" t="n">
        <v>469</v>
      </c>
      <c r="C14" s="18" t="n">
        <v>36.7818</v>
      </c>
      <c r="D14" s="15" t="n">
        <v>0.93562</v>
      </c>
      <c r="E14" s="15" t="n">
        <v>1.02925</v>
      </c>
      <c r="F14" s="15" t="n">
        <v>0.04478</v>
      </c>
      <c r="G14" s="17" t="n">
        <f aca="false">D14-Inputs!$B$12</f>
        <v>0.02562</v>
      </c>
      <c r="H14" s="17" t="n">
        <f aca="false">D14-Inputs!$B$14</f>
        <v>0.09562</v>
      </c>
      <c r="I14" s="17" t="n">
        <f aca="false">E14-Inputs!$B$13</f>
        <v>0.01925</v>
      </c>
    </row>
    <row r="15" customFormat="false" ht="15" hidden="false" customHeight="false" outlineLevel="0" collapsed="false">
      <c r="A15" s="3" t="s">
        <v>240</v>
      </c>
      <c r="B15" s="16" t="n">
        <v>100</v>
      </c>
      <c r="C15" s="18" t="n">
        <v>15.9134</v>
      </c>
      <c r="D15" s="15" t="n">
        <v>0.90645</v>
      </c>
      <c r="E15" s="15" t="n">
        <v>0.98703</v>
      </c>
      <c r="F15" s="15" t="n">
        <v>0.06</v>
      </c>
      <c r="G15" s="17" t="n">
        <f aca="false">D15-Inputs!$B$12</f>
        <v>-0.00355000000000005</v>
      </c>
      <c r="H15" s="17" t="n">
        <f aca="false">D15-Inputs!$B$14</f>
        <v>0.06645</v>
      </c>
      <c r="I15" s="17" t="n">
        <f aca="false">E15-Inputs!$B$13</f>
        <v>-0.02297</v>
      </c>
    </row>
    <row r="16" customFormat="false" ht="15" hidden="false" customHeight="false" outlineLevel="0" collapsed="false">
      <c r="A16" s="3" t="s">
        <v>241</v>
      </c>
      <c r="B16" s="16" t="n">
        <v>809</v>
      </c>
      <c r="C16" s="18" t="n">
        <v>30.0476</v>
      </c>
      <c r="D16" s="15" t="n">
        <v>0.91544</v>
      </c>
      <c r="E16" s="15" t="n">
        <v>1.03029</v>
      </c>
      <c r="F16" s="15" t="n">
        <v>0.09023</v>
      </c>
      <c r="G16" s="17" t="n">
        <f aca="false">D16-Inputs!$B$12</f>
        <v>0.00544</v>
      </c>
      <c r="H16" s="17" t="n">
        <f aca="false">D16-Inputs!$B$14</f>
        <v>0.0754400000000001</v>
      </c>
      <c r="I16" s="17" t="n">
        <f aca="false">E16-Inputs!$B$13</f>
        <v>0.0202899999999999</v>
      </c>
    </row>
    <row r="17" customFormat="false" ht="15" hidden="false" customHeight="false" outlineLevel="0" collapsed="false">
      <c r="A17" s="3" t="s">
        <v>242</v>
      </c>
      <c r="B17" s="16" t="n">
        <v>658</v>
      </c>
      <c r="C17" s="18" t="n">
        <v>50.0017</v>
      </c>
      <c r="D17" s="15" t="n">
        <v>0.94155</v>
      </c>
      <c r="E17" s="15" t="n">
        <v>1.0535</v>
      </c>
      <c r="F17" s="15" t="n">
        <v>0.06383</v>
      </c>
      <c r="G17" s="17" t="n">
        <f aca="false">D17-Inputs!$B$12</f>
        <v>0.03155</v>
      </c>
      <c r="H17" s="17" t="n">
        <f aca="false">D17-Inputs!$B$14</f>
        <v>0.10155</v>
      </c>
      <c r="I17" s="17" t="n">
        <f aca="false">E17-Inputs!$B$13</f>
        <v>0.0435000000000001</v>
      </c>
    </row>
    <row r="18" customFormat="false" ht="15" hidden="false" customHeight="false" outlineLevel="0" collapsed="false">
      <c r="A18" s="3" t="s">
        <v>243</v>
      </c>
      <c r="B18" s="16" t="n">
        <v>642</v>
      </c>
      <c r="C18" s="18" t="n">
        <v>15.8197</v>
      </c>
      <c r="D18" s="15" t="n">
        <v>0.9065</v>
      </c>
      <c r="E18" s="15" t="n">
        <v>1.01571</v>
      </c>
      <c r="F18" s="15" t="n">
        <v>0.10592</v>
      </c>
      <c r="G18" s="17" t="n">
        <f aca="false">D18-Inputs!$B$12</f>
        <v>-0.00350000000000006</v>
      </c>
      <c r="H18" s="17" t="n">
        <f aca="false">D18-Inputs!$B$14</f>
        <v>0.0665</v>
      </c>
      <c r="I18" s="17" t="n">
        <f aca="false">E18-Inputs!$B$13</f>
        <v>0.00570999999999988</v>
      </c>
    </row>
    <row r="19" customFormat="false" ht="15" hidden="false" customHeight="false" outlineLevel="0" collapsed="false">
      <c r="A19" s="3" t="s">
        <v>244</v>
      </c>
      <c r="B19" s="16" t="n">
        <v>352</v>
      </c>
      <c r="C19" s="18" t="n">
        <v>19.8113</v>
      </c>
      <c r="D19" s="15" t="n">
        <v>0.89255</v>
      </c>
      <c r="E19" s="15" t="n">
        <v>0.98641</v>
      </c>
      <c r="F19" s="15" t="n">
        <v>0.09375</v>
      </c>
      <c r="G19" s="17" t="n">
        <f aca="false">D19-Inputs!$B$12</f>
        <v>-0.0174500000000001</v>
      </c>
      <c r="H19" s="17" t="n">
        <f aca="false">D19-Inputs!$B$14</f>
        <v>0.05255</v>
      </c>
      <c r="I19" s="17" t="n">
        <f aca="false">E19-Inputs!$B$13</f>
        <v>-0.02359</v>
      </c>
    </row>
    <row r="20" customFormat="false" ht="15" hidden="false" customHeight="false" outlineLevel="0" collapsed="false">
      <c r="A20" s="3" t="s">
        <v>245</v>
      </c>
      <c r="B20" s="16" t="n">
        <v>616</v>
      </c>
      <c r="C20" s="18" t="n">
        <v>8.5036</v>
      </c>
      <c r="D20" s="15" t="n">
        <v>0.91624</v>
      </c>
      <c r="E20" s="15" t="n">
        <v>1.02871</v>
      </c>
      <c r="F20" s="15" t="n">
        <v>0.08279</v>
      </c>
      <c r="G20" s="17" t="n">
        <f aca="false">D20-Inputs!$B$12</f>
        <v>0.00624000000000002</v>
      </c>
      <c r="H20" s="17" t="n">
        <f aca="false">D20-Inputs!$B$14</f>
        <v>0.0762400000000001</v>
      </c>
      <c r="I20" s="17" t="n">
        <f aca="false">E20-Inputs!$B$13</f>
        <v>0.01871</v>
      </c>
    </row>
    <row r="21" customFormat="false" ht="15" hidden="false" customHeight="false" outlineLevel="0" collapsed="false">
      <c r="A21" s="3" t="s">
        <v>246</v>
      </c>
      <c r="B21" s="16" t="n">
        <v>411</v>
      </c>
      <c r="C21" s="18" t="n">
        <v>15.9618</v>
      </c>
      <c r="D21" s="15" t="n">
        <v>0.90644</v>
      </c>
      <c r="E21" s="15" t="n">
        <v>1.00923</v>
      </c>
      <c r="F21" s="15" t="n">
        <v>0.08759</v>
      </c>
      <c r="G21" s="17" t="n">
        <f aca="false">D21-Inputs!$B$12</f>
        <v>-0.00356000000000001</v>
      </c>
      <c r="H21" s="17" t="n">
        <f aca="false">D21-Inputs!$B$14</f>
        <v>0.0664400000000001</v>
      </c>
      <c r="I21" s="17" t="n">
        <f aca="false">E21-Inputs!$B$13</f>
        <v>-0.000769999999999937</v>
      </c>
    </row>
    <row r="22" customFormat="false" ht="15" hidden="false" customHeight="false" outlineLevel="0" collapsed="false">
      <c r="A22" s="3" t="s">
        <v>247</v>
      </c>
      <c r="B22" s="16" t="n">
        <v>359</v>
      </c>
      <c r="C22" s="18" t="n">
        <v>14.9377</v>
      </c>
      <c r="D22" s="15" t="n">
        <v>0.95904</v>
      </c>
      <c r="E22" s="15" t="n">
        <v>1.08858</v>
      </c>
      <c r="F22" s="15" t="n">
        <v>0.07242</v>
      </c>
      <c r="G22" s="17" t="n">
        <f aca="false">D22-Inputs!$B$12</f>
        <v>0.04904</v>
      </c>
      <c r="H22" s="17" t="n">
        <f aca="false">D22-Inputs!$B$14</f>
        <v>0.11904</v>
      </c>
      <c r="I22" s="17" t="n">
        <f aca="false">E22-Inputs!$B$13</f>
        <v>0.0785800000000001</v>
      </c>
    </row>
    <row r="23" customFormat="false" ht="15" hidden="false" customHeight="false" outlineLevel="0" collapsed="false">
      <c r="A23" s="3" t="s">
        <v>248</v>
      </c>
      <c r="B23" s="16" t="n">
        <v>514</v>
      </c>
      <c r="C23" s="18" t="n">
        <v>21.5851</v>
      </c>
      <c r="D23" s="15" t="n">
        <v>0.92235</v>
      </c>
      <c r="E23" s="15" t="n">
        <v>1.01227</v>
      </c>
      <c r="F23" s="15" t="n">
        <v>0.07977</v>
      </c>
      <c r="G23" s="17" t="n">
        <f aca="false">D23-Inputs!$B$12</f>
        <v>0.01235</v>
      </c>
      <c r="H23" s="17" t="n">
        <f aca="false">D23-Inputs!$B$14</f>
        <v>0.08235</v>
      </c>
      <c r="I23" s="17" t="n">
        <f aca="false">E23-Inputs!$B$13</f>
        <v>0.00226999999999999</v>
      </c>
    </row>
    <row r="24" customFormat="false" ht="15" hidden="false" customHeight="false" outlineLevel="0" collapsed="false">
      <c r="A24" s="3" t="s">
        <v>249</v>
      </c>
      <c r="B24" s="16" t="n">
        <v>485</v>
      </c>
      <c r="C24" s="18" t="n">
        <v>17.3342</v>
      </c>
      <c r="D24" s="15" t="n">
        <v>0.90693</v>
      </c>
      <c r="E24" s="15" t="n">
        <v>1.01694</v>
      </c>
      <c r="F24" s="15" t="n">
        <v>0.09278</v>
      </c>
      <c r="G24" s="17" t="n">
        <f aca="false">D24-Inputs!$B$12</f>
        <v>-0.00307000000000002</v>
      </c>
      <c r="H24" s="17" t="n">
        <f aca="false">D24-Inputs!$B$14</f>
        <v>0.0669300000000001</v>
      </c>
      <c r="I24" s="17" t="n">
        <f aca="false">E24-Inputs!$B$13</f>
        <v>0.00693999999999995</v>
      </c>
    </row>
    <row r="25" customFormat="false" ht="15" hidden="false" customHeight="false" outlineLevel="0" collapsed="false">
      <c r="A25" s="3" t="s">
        <v>250</v>
      </c>
      <c r="B25" s="16" t="n">
        <v>460</v>
      </c>
      <c r="C25" s="18" t="n">
        <v>17.8749</v>
      </c>
      <c r="D25" s="15" t="n">
        <v>0.8949</v>
      </c>
      <c r="E25" s="15" t="n">
        <v>1.00727</v>
      </c>
      <c r="F25" s="15" t="n">
        <v>0.0913</v>
      </c>
      <c r="G25" s="17" t="n">
        <f aca="false">D25-Inputs!$B$12</f>
        <v>-0.0151</v>
      </c>
      <c r="H25" s="17" t="n">
        <f aca="false">D25-Inputs!$B$14</f>
        <v>0.0549000000000001</v>
      </c>
      <c r="I25" s="17" t="n">
        <f aca="false">E25-Inputs!$B$13</f>
        <v>-0.0027299999999999</v>
      </c>
    </row>
    <row r="26" customFormat="false" ht="15" hidden="false" customHeight="false" outlineLevel="0" collapsed="false">
      <c r="A26" s="3" t="s">
        <v>251</v>
      </c>
      <c r="B26" s="16" t="n">
        <v>423</v>
      </c>
      <c r="C26" s="18" t="n">
        <v>17.0742</v>
      </c>
      <c r="D26" s="15" t="n">
        <v>0.94656</v>
      </c>
      <c r="E26" s="15" t="n">
        <v>1.04997</v>
      </c>
      <c r="F26" s="15" t="n">
        <v>0.08747</v>
      </c>
      <c r="G26" s="17" t="n">
        <f aca="false">D26-Inputs!$B$12</f>
        <v>0.0365599999999999</v>
      </c>
      <c r="H26" s="17" t="n">
        <f aca="false">D26-Inputs!$B$14</f>
        <v>0.10656</v>
      </c>
      <c r="I26" s="17" t="n">
        <f aca="false">E26-Inputs!$B$13</f>
        <v>0.0399700000000001</v>
      </c>
    </row>
    <row r="27" customFormat="false" ht="15" hidden="false" customHeight="false" outlineLevel="0" collapsed="false">
      <c r="A27" s="3" t="s">
        <v>252</v>
      </c>
      <c r="B27" s="16" t="n">
        <v>422</v>
      </c>
      <c r="C27" s="18" t="n">
        <v>18.9507</v>
      </c>
      <c r="D27" s="15" t="n">
        <v>0.91569</v>
      </c>
      <c r="E27" s="15" t="n">
        <v>1.03925</v>
      </c>
      <c r="F27" s="15" t="n">
        <v>0.09479</v>
      </c>
      <c r="G27" s="17" t="n">
        <f aca="false">D27-Inputs!$B$12</f>
        <v>0.00568999999999997</v>
      </c>
      <c r="H27" s="17" t="n">
        <f aca="false">D27-Inputs!$B$14</f>
        <v>0.07569</v>
      </c>
      <c r="I27" s="17" t="n">
        <f aca="false">E27-Inputs!$B$13</f>
        <v>0.02925</v>
      </c>
    </row>
    <row r="29" customFormat="false" ht="15" hidden="false" customHeight="false" outlineLevel="0" collapsed="false">
      <c r="A29" s="3" t="s">
        <v>253</v>
      </c>
      <c r="B29" s="17" t="n">
        <f aca="false">E11-E10</f>
        <v>0.0444499999999999</v>
      </c>
      <c r="C29" s="17" t="n">
        <f aca="false">Inputs!$B$15-Inputs!$B$16</f>
        <v>0.1</v>
      </c>
      <c r="D29" s="3" t="s">
        <v>254</v>
      </c>
    </row>
    <row r="31" customFormat="false" ht="15" hidden="false" customHeight="false" outlineLevel="0" collapsed="false">
      <c r="A31" s="5" t="s">
        <v>255</v>
      </c>
    </row>
    <row r="32" customFormat="false" ht="15" hidden="false" customHeight="false" outlineLevel="0" collapsed="false">
      <c r="A32" s="6" t="s">
        <v>256</v>
      </c>
      <c r="B32" s="7" t="s">
        <v>42</v>
      </c>
    </row>
    <row r="33" customFormat="false" ht="15" hidden="false" customHeight="false" outlineLevel="0" collapsed="false">
      <c r="A33" s="3" t="s">
        <v>257</v>
      </c>
      <c r="B33" s="22" t="n">
        <f aca="false">AVERAGE(Monthly_Bridge!I47:I58)</f>
        <v>0.988366244570941</v>
      </c>
    </row>
    <row r="34" customFormat="false" ht="15" hidden="false" customHeight="false" outlineLevel="0" collapsed="false">
      <c r="A34" s="3" t="s">
        <v>258</v>
      </c>
      <c r="B34" s="22" t="n">
        <f aca="false">AVERAGE(Monthly_Bridge!J47:J58)</f>
        <v>1.00224864090599</v>
      </c>
    </row>
    <row r="35" customFormat="false" ht="15" hidden="false" customHeight="false" outlineLevel="0" collapsed="false">
      <c r="A35" s="3" t="s">
        <v>259</v>
      </c>
      <c r="B35" s="17" t="n">
        <f aca="false">B33^12</f>
        <v>0.868990153639883</v>
      </c>
    </row>
    <row r="36" customFormat="false" ht="15" hidden="false" customHeight="false" outlineLevel="0" collapsed="false">
      <c r="A36" s="3" t="s">
        <v>260</v>
      </c>
      <c r="B36" s="17" t="n">
        <f aca="false">B34^12</f>
        <v>1.0273199264434</v>
      </c>
    </row>
    <row r="37" customFormat="false" ht="15" hidden="false" customHeight="false" outlineLevel="0" collapsed="false">
      <c r="A37" s="3" t="s">
        <v>261</v>
      </c>
      <c r="B37" s="17" t="n">
        <f aca="false">D5</f>
        <v>0.92122</v>
      </c>
    </row>
    <row r="38" customFormat="false" ht="15" hidden="false" customHeight="false" outlineLevel="0" collapsed="false">
      <c r="A38" s="3" t="s">
        <v>262</v>
      </c>
      <c r="B38" s="17" t="n">
        <f aca="false">E5</f>
        <v>1.03067</v>
      </c>
    </row>
    <row r="40" customFormat="false" ht="15" hidden="false" customHeight="false" outlineLevel="0" collapsed="false">
      <c r="A40" s="2" t="s">
        <v>263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4" min="2" style="0" width="16"/>
    <col collapsed="false" customWidth="true" hidden="false" outlineLevel="0" max="7" min="5" style="0" width="12"/>
    <col collapsed="false" customWidth="true" hidden="false" outlineLevel="0" max="8" min="8" style="0" width="10"/>
  </cols>
  <sheetData>
    <row r="1" customFormat="false" ht="16.15" hidden="false" customHeight="false" outlineLevel="0" collapsed="false">
      <c r="A1" s="1" t="s">
        <v>264</v>
      </c>
    </row>
    <row r="2" customFormat="false" ht="15" hidden="false" customHeight="false" outlineLevel="0" collapsed="false">
      <c r="A2" s="2" t="s">
        <v>265</v>
      </c>
    </row>
    <row r="4" customFormat="false" ht="15" hidden="false" customHeight="false" outlineLevel="0" collapsed="false">
      <c r="A4" s="6" t="s">
        <v>212</v>
      </c>
      <c r="B4" s="7" t="s">
        <v>42</v>
      </c>
    </row>
    <row r="5" customFormat="false" ht="15" hidden="false" customHeight="false" outlineLevel="0" collapsed="false">
      <c r="A5" s="3" t="s">
        <v>266</v>
      </c>
      <c r="B5" s="23" t="n">
        <f aca="false">COUNT(Customer_ARR!$I$5:$I$3509)</f>
        <v>3505</v>
      </c>
    </row>
    <row r="6" customFormat="false" ht="15" hidden="false" customHeight="false" outlineLevel="0" collapsed="false">
      <c r="A6" s="3" t="s">
        <v>267</v>
      </c>
      <c r="B6" s="24" t="n">
        <f aca="false">SUM(Customer_ARR!$I$5:$I$3509)</f>
        <v>138601361.28</v>
      </c>
    </row>
    <row r="7" customFormat="false" ht="15" hidden="false" customHeight="false" outlineLevel="0" collapsed="false">
      <c r="A7" s="3" t="s">
        <v>268</v>
      </c>
      <c r="B7" s="17" t="n">
        <f aca="false">LARGE(Customer_ARR!$I$5:$I$3509,1)/B6</f>
        <v>0.00601723180997606</v>
      </c>
    </row>
    <row r="8" customFormat="false" ht="15" hidden="false" customHeight="false" outlineLevel="0" collapsed="false">
      <c r="A8" s="3" t="s">
        <v>269</v>
      </c>
      <c r="B8" s="17" t="n">
        <f aca="false">SUMPRODUCT(LARGE(Customer_ARR!$I$5:$I$3509,ROW($1:$10)))/B6</f>
        <v>0.0374135667363627</v>
      </c>
    </row>
    <row r="9" customFormat="false" ht="15" hidden="false" customHeight="false" outlineLevel="0" collapsed="false">
      <c r="A9" s="3" t="s">
        <v>270</v>
      </c>
      <c r="B9" s="17" t="n">
        <f aca="false">SUMPRODUCT(LARGE(Customer_ARR!$I$5:$I$3509,ROW($1:$20)))/B6</f>
        <v>0.0638606022210636</v>
      </c>
    </row>
    <row r="10" customFormat="false" ht="15" hidden="false" customHeight="false" outlineLevel="0" collapsed="false">
      <c r="A10" s="3" t="s">
        <v>271</v>
      </c>
      <c r="B10" s="17" t="n">
        <f aca="false">SUMPRODUCT(LARGE(Customer_ARR!$I$5:$I$3509,ROW($1:$50)))/B6</f>
        <v>0.130608034097369</v>
      </c>
    </row>
    <row r="11" customFormat="false" ht="15" hidden="false" customHeight="false" outlineLevel="0" collapsed="false">
      <c r="A11" s="3" t="s">
        <v>272</v>
      </c>
      <c r="B11" s="23" t="n">
        <f aca="false">ROUNDUP(0.1*B5,0)</f>
        <v>351</v>
      </c>
    </row>
    <row r="12" customFormat="false" ht="15" hidden="false" customHeight="false" outlineLevel="0" collapsed="false">
      <c r="A12" s="3" t="s">
        <v>273</v>
      </c>
      <c r="B12" s="17" t="n">
        <f aca="false">SUM(Customer_ARR!$I$5:INDEX(Customer_ARR!$I:$I,4+B11))/B6</f>
        <v>0.485562072540129</v>
      </c>
    </row>
    <row r="13" customFormat="false" ht="15" hidden="false" customHeight="false" outlineLevel="0" collapsed="false">
      <c r="A13" s="3" t="s">
        <v>63</v>
      </c>
      <c r="B13" s="25" t="n">
        <f aca="false">SUMPRODUCT((Customer_ARR!$I$5:$I$3509/B6)^2)*10000</f>
        <v>9.74585715141071</v>
      </c>
    </row>
    <row r="14" customFormat="false" ht="15" hidden="false" customHeight="false" outlineLevel="0" collapsed="false">
      <c r="A14" s="3" t="s">
        <v>274</v>
      </c>
      <c r="B14" s="23" t="n">
        <f aca="false">IF(B13=0,0,10000/B13)</f>
        <v>1026.0770135085</v>
      </c>
    </row>
    <row r="16" customFormat="false" ht="15" hidden="false" customHeight="false" outlineLevel="0" collapsed="false">
      <c r="A16" s="2" t="s">
        <v>275</v>
      </c>
    </row>
    <row r="17" customFormat="false" ht="15" hidden="false" customHeight="false" outlineLevel="0" collapsed="false">
      <c r="A17" s="5" t="s">
        <v>276</v>
      </c>
    </row>
    <row r="18" customFormat="false" ht="15" hidden="false" customHeight="false" outlineLevel="0" collapsed="false">
      <c r="A18" s="6" t="s">
        <v>277</v>
      </c>
      <c r="B18" s="7" t="s">
        <v>278</v>
      </c>
      <c r="C18" s="7" t="s">
        <v>279</v>
      </c>
      <c r="D18" s="7" t="s">
        <v>280</v>
      </c>
    </row>
    <row r="19" customFormat="false" ht="15" hidden="false" customHeight="false" outlineLevel="0" collapsed="false">
      <c r="A19" s="3" t="s">
        <v>281</v>
      </c>
      <c r="B19" s="23" t="n">
        <f aca="false">COUNTIFS(Customer_ARR!$B$5:$B$3509,A19)</f>
        <v>391</v>
      </c>
      <c r="C19" s="24" t="n">
        <f aca="false">SUMIFS(Customer_ARR!$I$5:$I$3509,Customer_ARR!$B$5:$B$3509,A19)</f>
        <v>69102028.44</v>
      </c>
      <c r="D19" s="17" t="n">
        <f aca="false">C19/$B$6</f>
        <v>0.498566737020723</v>
      </c>
    </row>
    <row r="20" customFormat="false" ht="15" hidden="false" customHeight="false" outlineLevel="0" collapsed="false">
      <c r="A20" s="3" t="s">
        <v>282</v>
      </c>
      <c r="B20" s="23" t="n">
        <f aca="false">COUNTIFS(Customer_ARR!$B$5:$B$3509,A20)</f>
        <v>1095</v>
      </c>
      <c r="C20" s="24" t="n">
        <f aca="false">SUMIFS(Customer_ARR!$I$5:$I$3509,Customer_ARR!$B$5:$B$3509,A20)</f>
        <v>47736124.32</v>
      </c>
      <c r="D20" s="17" t="n">
        <f aca="false">C20/$B$6</f>
        <v>0.344413098682085</v>
      </c>
    </row>
    <row r="21" customFormat="false" ht="15" hidden="false" customHeight="false" outlineLevel="0" collapsed="false">
      <c r="A21" s="3" t="s">
        <v>283</v>
      </c>
      <c r="B21" s="23" t="n">
        <f aca="false">COUNTIFS(Customer_ARR!$B$5:$B$3509,A21)</f>
        <v>2019</v>
      </c>
      <c r="C21" s="24" t="n">
        <f aca="false">SUMIFS(Customer_ARR!$I$5:$I$3509,Customer_ARR!$B$5:$B$3509,A21)</f>
        <v>21763208.52</v>
      </c>
      <c r="D21" s="17" t="n">
        <f aca="false">C21/$B$6</f>
        <v>0.157020164297192</v>
      </c>
    </row>
    <row r="23" customFormat="false" ht="15" hidden="false" customHeight="false" outlineLevel="0" collapsed="false">
      <c r="A23" s="5" t="s">
        <v>284</v>
      </c>
    </row>
    <row r="24" customFormat="false" ht="23.85" hidden="false" customHeight="false" outlineLevel="0" collapsed="false">
      <c r="A24" s="6" t="s">
        <v>285</v>
      </c>
      <c r="B24" s="7" t="s">
        <v>277</v>
      </c>
      <c r="C24" s="7" t="s">
        <v>286</v>
      </c>
      <c r="D24" s="7" t="s">
        <v>279</v>
      </c>
      <c r="E24" s="7" t="s">
        <v>280</v>
      </c>
      <c r="F24" s="7" t="s">
        <v>287</v>
      </c>
      <c r="G24" s="7" t="s">
        <v>288</v>
      </c>
      <c r="H24" s="7" t="s">
        <v>289</v>
      </c>
    </row>
    <row r="25" customFormat="false" ht="15" hidden="false" customHeight="false" outlineLevel="0" collapsed="false">
      <c r="A25" s="26" t="str">
        <f aca="false">Customer_ARR!A5</f>
        <v>C00873</v>
      </c>
      <c r="B25" s="26" t="str">
        <f aca="false">Customer_ARR!B5</f>
        <v>Enterprise</v>
      </c>
      <c r="C25" s="26" t="str">
        <f aca="false">Customer_ARR!C5</f>
        <v>Education</v>
      </c>
      <c r="D25" s="27" t="n">
        <f aca="false">Customer_ARR!I5</f>
        <v>833996.52</v>
      </c>
      <c r="E25" s="17" t="n">
        <f aca="false">D25/$B$6</f>
        <v>0.00601723180997606</v>
      </c>
      <c r="F25" s="17" t="n">
        <f aca="false">E25</f>
        <v>0.00601723180997606</v>
      </c>
      <c r="G25" s="28" t="n">
        <f aca="false">Customer_ARR!H5</f>
        <v>14</v>
      </c>
      <c r="H25" s="8" t="n">
        <f aca="false">Customer_ARR!G5</f>
        <v>0</v>
      </c>
    </row>
    <row r="26" customFormat="false" ht="15" hidden="false" customHeight="false" outlineLevel="0" collapsed="false">
      <c r="A26" s="26" t="str">
        <f aca="false">Customer_ARR!A6</f>
        <v>C00435</v>
      </c>
      <c r="B26" s="26" t="str">
        <f aca="false">Customer_ARR!B6</f>
        <v>Enterprise</v>
      </c>
      <c r="C26" s="26" t="str">
        <f aca="false">Customer_ARR!C6</f>
        <v>Retail</v>
      </c>
      <c r="D26" s="27" t="n">
        <f aca="false">Customer_ARR!I6</f>
        <v>541124.64</v>
      </c>
      <c r="E26" s="17" t="n">
        <f aca="false">D26/$B$6</f>
        <v>0.00390417983634973</v>
      </c>
      <c r="F26" s="17" t="n">
        <f aca="false">F25+E26</f>
        <v>0.00992141164632579</v>
      </c>
      <c r="G26" s="28" t="n">
        <f aca="false">Customer_ARR!H6</f>
        <v>8</v>
      </c>
      <c r="H26" s="8" t="n">
        <f aca="false">Customer_ARR!G6</f>
        <v>0</v>
      </c>
    </row>
    <row r="27" customFormat="false" ht="15" hidden="false" customHeight="false" outlineLevel="0" collapsed="false">
      <c r="A27" s="26" t="str">
        <f aca="false">Customer_ARR!A7</f>
        <v>C00720</v>
      </c>
      <c r="B27" s="26" t="str">
        <f aca="false">Customer_ARR!B7</f>
        <v>Enterprise</v>
      </c>
      <c r="C27" s="26" t="str">
        <f aca="false">Customer_ARR!C7</f>
        <v>Manufacturing</v>
      </c>
      <c r="D27" s="27" t="n">
        <f aca="false">Customer_ARR!I7</f>
        <v>521289.24</v>
      </c>
      <c r="E27" s="17" t="n">
        <f aca="false">D27/$B$6</f>
        <v>0.00376106868782407</v>
      </c>
      <c r="F27" s="17" t="n">
        <f aca="false">F26+E27</f>
        <v>0.0136824803341499</v>
      </c>
      <c r="G27" s="28" t="n">
        <f aca="false">Customer_ARR!H7</f>
        <v>20</v>
      </c>
      <c r="H27" s="8" t="n">
        <f aca="false">Customer_ARR!G7</f>
        <v>0.25</v>
      </c>
    </row>
    <row r="28" customFormat="false" ht="15" hidden="false" customHeight="false" outlineLevel="0" collapsed="false">
      <c r="A28" s="26" t="str">
        <f aca="false">Customer_ARR!A8</f>
        <v>C00127</v>
      </c>
      <c r="B28" s="26" t="str">
        <f aca="false">Customer_ARR!B8</f>
        <v>Enterprise</v>
      </c>
      <c r="C28" s="26" t="str">
        <f aca="false">Customer_ARR!C8</f>
        <v>Education</v>
      </c>
      <c r="D28" s="27" t="n">
        <f aca="false">Customer_ARR!I8</f>
        <v>510670.56</v>
      </c>
      <c r="E28" s="17" t="n">
        <f aca="false">D28/$B$6</f>
        <v>0.0036844555874769</v>
      </c>
      <c r="F28" s="17" t="n">
        <f aca="false">F27+E28</f>
        <v>0.0173669359216268</v>
      </c>
      <c r="G28" s="28" t="n">
        <f aca="false">Customer_ARR!H8</f>
        <v>12</v>
      </c>
      <c r="H28" s="8" t="n">
        <f aca="false">Customer_ARR!G8</f>
        <v>0.05</v>
      </c>
    </row>
    <row r="29" customFormat="false" ht="15" hidden="false" customHeight="false" outlineLevel="0" collapsed="false">
      <c r="A29" s="26" t="str">
        <f aca="false">Customer_ARR!A9</f>
        <v>C01662</v>
      </c>
      <c r="B29" s="26" t="str">
        <f aca="false">Customer_ARR!B9</f>
        <v>Enterprise</v>
      </c>
      <c r="C29" s="26" t="str">
        <f aca="false">Customer_ARR!C9</f>
        <v>Unknown</v>
      </c>
      <c r="D29" s="27" t="n">
        <f aca="false">Customer_ARR!I9</f>
        <v>503840.88</v>
      </c>
      <c r="E29" s="17" t="n">
        <f aca="false">D29/$B$6</f>
        <v>0.0036351798809692</v>
      </c>
      <c r="F29" s="17" t="n">
        <f aca="false">F28+E29</f>
        <v>0.021002115802596</v>
      </c>
      <c r="G29" s="28" t="n">
        <f aca="false">Customer_ARR!H9</f>
        <v>18</v>
      </c>
      <c r="H29" s="8" t="n">
        <f aca="false">Customer_ARR!G9</f>
        <v>0</v>
      </c>
    </row>
    <row r="30" customFormat="false" ht="15" hidden="false" customHeight="false" outlineLevel="0" collapsed="false">
      <c r="A30" s="26" t="str">
        <f aca="false">Customer_ARR!A10</f>
        <v>C02577</v>
      </c>
      <c r="B30" s="26" t="str">
        <f aca="false">Customer_ARR!B10</f>
        <v>Enterprise</v>
      </c>
      <c r="C30" s="26" t="str">
        <f aca="false">Customer_ARR!C10</f>
        <v>Education</v>
      </c>
      <c r="D30" s="27" t="n">
        <f aca="false">Customer_ARR!I10</f>
        <v>499972.92</v>
      </c>
      <c r="E30" s="17" t="n">
        <f aca="false">D30/$B$6</f>
        <v>0.00360727279575533</v>
      </c>
      <c r="F30" s="17" t="n">
        <f aca="false">F29+E30</f>
        <v>0.0246093885983513</v>
      </c>
      <c r="G30" s="28" t="n">
        <f aca="false">Customer_ARR!H10</f>
        <v>1</v>
      </c>
      <c r="H30" s="8" t="n">
        <f aca="false">Customer_ARR!G10</f>
        <v>0</v>
      </c>
    </row>
    <row r="31" customFormat="false" ht="15" hidden="false" customHeight="false" outlineLevel="0" collapsed="false">
      <c r="A31" s="26" t="str">
        <f aca="false">Customer_ARR!A11</f>
        <v>C00911</v>
      </c>
      <c r="B31" s="26" t="str">
        <f aca="false">Customer_ARR!B11</f>
        <v>Enterprise</v>
      </c>
      <c r="C31" s="26" t="str">
        <f aca="false">Customer_ARR!C11</f>
        <v>Retail</v>
      </c>
      <c r="D31" s="27" t="n">
        <f aca="false">Customer_ARR!I11</f>
        <v>491146.08</v>
      </c>
      <c r="E31" s="17" t="n">
        <f aca="false">D31/$B$6</f>
        <v>0.00354358770696195</v>
      </c>
      <c r="F31" s="17" t="n">
        <f aca="false">F30+E31</f>
        <v>0.0281529763053132</v>
      </c>
      <c r="G31" s="28" t="n">
        <f aca="false">Customer_ARR!H11</f>
        <v>19</v>
      </c>
      <c r="H31" s="8" t="n">
        <f aca="false">Customer_ARR!G11</f>
        <v>0</v>
      </c>
    </row>
    <row r="32" customFormat="false" ht="15" hidden="false" customHeight="false" outlineLevel="0" collapsed="false">
      <c r="A32" s="26" t="str">
        <f aca="false">Customer_ARR!A12</f>
        <v>C02271</v>
      </c>
      <c r="B32" s="26" t="str">
        <f aca="false">Customer_ARR!B12</f>
        <v>Enterprise</v>
      </c>
      <c r="C32" s="26" t="str">
        <f aca="false">Customer_ARR!C12</f>
        <v>Logistics</v>
      </c>
      <c r="D32" s="27" t="n">
        <f aca="false">Customer_ARR!I12</f>
        <v>436212</v>
      </c>
      <c r="E32" s="17" t="n">
        <f aca="false">D32/$B$6</f>
        <v>0.00314724181618081</v>
      </c>
      <c r="F32" s="17" t="n">
        <f aca="false">F31+E32</f>
        <v>0.0313002181214941</v>
      </c>
      <c r="G32" s="28" t="n">
        <f aca="false">Customer_ARR!H12</f>
        <v>6</v>
      </c>
      <c r="H32" s="8" t="n">
        <f aca="false">Customer_ARR!G12</f>
        <v>0</v>
      </c>
    </row>
    <row r="33" customFormat="false" ht="15" hidden="false" customHeight="false" outlineLevel="0" collapsed="false">
      <c r="A33" s="26" t="str">
        <f aca="false">Customer_ARR!A13</f>
        <v>C01211</v>
      </c>
      <c r="B33" s="26" t="str">
        <f aca="false">Customer_ARR!B13</f>
        <v>Enterprise</v>
      </c>
      <c r="C33" s="26" t="str">
        <f aca="false">Customer_ARR!C13</f>
        <v>Manufacturing</v>
      </c>
      <c r="D33" s="27" t="n">
        <f aca="false">Customer_ARR!I13</f>
        <v>428389.92</v>
      </c>
      <c r="E33" s="17" t="n">
        <f aca="false">D33/$B$6</f>
        <v>0.00309080600683693</v>
      </c>
      <c r="F33" s="17" t="n">
        <f aca="false">F32+E33</f>
        <v>0.034391024128331</v>
      </c>
      <c r="G33" s="28" t="n">
        <f aca="false">Customer_ARR!H13</f>
        <v>4</v>
      </c>
      <c r="H33" s="8" t="n">
        <f aca="false">Customer_ARR!G13</f>
        <v>0</v>
      </c>
    </row>
    <row r="34" customFormat="false" ht="15" hidden="false" customHeight="false" outlineLevel="0" collapsed="false">
      <c r="A34" s="26" t="str">
        <f aca="false">Customer_ARR!A14</f>
        <v>C02178</v>
      </c>
      <c r="B34" s="26" t="str">
        <f aca="false">Customer_ARR!B14</f>
        <v>Enterprise</v>
      </c>
      <c r="C34" s="26" t="str">
        <f aca="false">Customer_ARR!C14</f>
        <v>Retail</v>
      </c>
      <c r="D34" s="27" t="n">
        <f aca="false">Customer_ARR!I14</f>
        <v>418928.52</v>
      </c>
      <c r="E34" s="17" t="n">
        <f aca="false">D34/$B$6</f>
        <v>0.00302254260803174</v>
      </c>
      <c r="F34" s="17" t="n">
        <f aca="false">F33+E34</f>
        <v>0.0374135667363627</v>
      </c>
      <c r="G34" s="28" t="n">
        <f aca="false">Customer_ARR!H14</f>
        <v>4</v>
      </c>
      <c r="H34" s="8" t="n">
        <f aca="false">Customer_ARR!G14</f>
        <v>0</v>
      </c>
    </row>
    <row r="35" customFormat="false" ht="15" hidden="false" customHeight="false" outlineLevel="0" collapsed="false">
      <c r="A35" s="26" t="str">
        <f aca="false">Customer_ARR!A15</f>
        <v>C00416</v>
      </c>
      <c r="B35" s="26" t="str">
        <f aca="false">Customer_ARR!B15</f>
        <v>Enterprise</v>
      </c>
      <c r="C35" s="26" t="str">
        <f aca="false">Customer_ARR!C15</f>
        <v>Fintech</v>
      </c>
      <c r="D35" s="27" t="n">
        <f aca="false">Customer_ARR!I15</f>
        <v>409185.96</v>
      </c>
      <c r="E35" s="17" t="n">
        <f aca="false">D35/$B$6</f>
        <v>0.00295225065772168</v>
      </c>
      <c r="F35" s="17" t="n">
        <f aca="false">F34+E35</f>
        <v>0.0403658173940844</v>
      </c>
      <c r="G35" s="28" t="n">
        <f aca="false">Customer_ARR!H15</f>
        <v>21</v>
      </c>
      <c r="H35" s="8" t="n">
        <f aca="false">Customer_ARR!G15</f>
        <v>0</v>
      </c>
    </row>
    <row r="36" customFormat="false" ht="15" hidden="false" customHeight="false" outlineLevel="0" collapsed="false">
      <c r="A36" s="26" t="str">
        <f aca="false">Customer_ARR!A16</f>
        <v>C01234</v>
      </c>
      <c r="B36" s="26" t="str">
        <f aca="false">Customer_ARR!B16</f>
        <v>Enterprise</v>
      </c>
      <c r="C36" s="26" t="str">
        <f aca="false">Customer_ARR!C16</f>
        <v>Healthcare</v>
      </c>
      <c r="D36" s="27" t="n">
        <f aca="false">Customer_ARR!I16</f>
        <v>407590.8</v>
      </c>
      <c r="E36" s="17" t="n">
        <f aca="false">D36/$B$6</f>
        <v>0.00294074167984968</v>
      </c>
      <c r="F36" s="17" t="n">
        <f aca="false">F35+E36</f>
        <v>0.0433065590739341</v>
      </c>
      <c r="G36" s="28" t="n">
        <f aca="false">Customer_ARR!H16</f>
        <v>3</v>
      </c>
      <c r="H36" s="8" t="n">
        <f aca="false">Customer_ARR!G16</f>
        <v>0</v>
      </c>
    </row>
    <row r="37" customFormat="false" ht="15" hidden="false" customHeight="false" outlineLevel="0" collapsed="false">
      <c r="A37" s="26" t="str">
        <f aca="false">Customer_ARR!A17</f>
        <v>C01591</v>
      </c>
      <c r="B37" s="26" t="str">
        <f aca="false">Customer_ARR!B17</f>
        <v>Enterprise</v>
      </c>
      <c r="C37" s="26" t="str">
        <f aca="false">Customer_ARR!C17</f>
        <v>Cybersecurity</v>
      </c>
      <c r="D37" s="27" t="n">
        <f aca="false">Customer_ARR!I17</f>
        <v>382728.84</v>
      </c>
      <c r="E37" s="17" t="n">
        <f aca="false">D37/$B$6</f>
        <v>0.00276136422085219</v>
      </c>
      <c r="F37" s="17" t="n">
        <f aca="false">F36+E37</f>
        <v>0.0460679232947863</v>
      </c>
      <c r="G37" s="28" t="n">
        <f aca="false">Customer_ARR!H17</f>
        <v>8</v>
      </c>
      <c r="H37" s="8" t="n">
        <f aca="false">Customer_ARR!G17</f>
        <v>0</v>
      </c>
    </row>
    <row r="38" customFormat="false" ht="15" hidden="false" customHeight="false" outlineLevel="0" collapsed="false">
      <c r="A38" s="26" t="str">
        <f aca="false">Customer_ARR!A18</f>
        <v>C01224</v>
      </c>
      <c r="B38" s="26" t="str">
        <f aca="false">Customer_ARR!B18</f>
        <v>Enterprise</v>
      </c>
      <c r="C38" s="26" t="str">
        <f aca="false">Customer_ARR!C18</f>
        <v>Education</v>
      </c>
      <c r="D38" s="27" t="n">
        <f aca="false">Customer_ARR!I18</f>
        <v>362306.4</v>
      </c>
      <c r="E38" s="17" t="n">
        <f aca="false">D38/$B$6</f>
        <v>0.00261401761609018</v>
      </c>
      <c r="F38" s="17" t="n">
        <f aca="false">F37+E38</f>
        <v>0.0486819409108764</v>
      </c>
      <c r="G38" s="28" t="n">
        <f aca="false">Customer_ARR!H18</f>
        <v>3</v>
      </c>
      <c r="H38" s="8" t="n">
        <f aca="false">Customer_ARR!G18</f>
        <v>0.2</v>
      </c>
    </row>
    <row r="39" customFormat="false" ht="15" hidden="false" customHeight="false" outlineLevel="0" collapsed="false">
      <c r="A39" s="26" t="str">
        <f aca="false">Customer_ARR!A19</f>
        <v>C02954</v>
      </c>
      <c r="B39" s="26" t="str">
        <f aca="false">Customer_ARR!B19</f>
        <v>Enterprise</v>
      </c>
      <c r="C39" s="26" t="str">
        <f aca="false">Customer_ARR!C19</f>
        <v>Retail</v>
      </c>
      <c r="D39" s="27" t="n">
        <f aca="false">Customer_ARR!I19</f>
        <v>360412.68</v>
      </c>
      <c r="E39" s="17" t="n">
        <f aca="false">D39/$B$6</f>
        <v>0.0026003545468208</v>
      </c>
      <c r="F39" s="17" t="n">
        <f aca="false">F38+E39</f>
        <v>0.0512822954576972</v>
      </c>
      <c r="G39" s="28" t="n">
        <f aca="false">Customer_ARR!H19</f>
        <v>8</v>
      </c>
      <c r="H39" s="8" t="n">
        <f aca="false">Customer_ARR!G19</f>
        <v>0</v>
      </c>
    </row>
    <row r="40" customFormat="false" ht="15" hidden="false" customHeight="false" outlineLevel="0" collapsed="false">
      <c r="A40" s="26" t="str">
        <f aca="false">Customer_ARR!A20</f>
        <v>C01896</v>
      </c>
      <c r="B40" s="26" t="str">
        <f aca="false">Customer_ARR!B20</f>
        <v>Enterprise</v>
      </c>
      <c r="C40" s="26" t="str">
        <f aca="false">Customer_ARR!C20</f>
        <v>Logistics</v>
      </c>
      <c r="D40" s="27" t="n">
        <f aca="false">Customer_ARR!I20</f>
        <v>360282.36</v>
      </c>
      <c r="E40" s="17" t="n">
        <f aca="false">D40/$B$6</f>
        <v>0.00259941429631534</v>
      </c>
      <c r="F40" s="17" t="n">
        <f aca="false">F39+E40</f>
        <v>0.0538817097540126</v>
      </c>
      <c r="G40" s="28" t="n">
        <f aca="false">Customer_ARR!H20</f>
        <v>11</v>
      </c>
      <c r="H40" s="8" t="n">
        <f aca="false">Customer_ARR!G20</f>
        <v>0.25</v>
      </c>
    </row>
    <row r="41" customFormat="false" ht="15" hidden="false" customHeight="false" outlineLevel="0" collapsed="false">
      <c r="A41" s="26" t="str">
        <f aca="false">Customer_ARR!A21</f>
        <v>C00484</v>
      </c>
      <c r="B41" s="26" t="str">
        <f aca="false">Customer_ARR!B21</f>
        <v>Enterprise</v>
      </c>
      <c r="C41" s="26" t="str">
        <f aca="false">Customer_ARR!C21</f>
        <v>Fintech</v>
      </c>
      <c r="D41" s="27" t="n">
        <f aca="false">Customer_ARR!I21</f>
        <v>351132.36</v>
      </c>
      <c r="E41" s="17" t="n">
        <f aca="false">D41/$B$6</f>
        <v>0.0025333976286903</v>
      </c>
      <c r="F41" s="17" t="n">
        <f aca="false">F40+E41</f>
        <v>0.0564151073827029</v>
      </c>
      <c r="G41" s="28" t="n">
        <f aca="false">Customer_ARR!H21</f>
        <v>1</v>
      </c>
      <c r="H41" s="8" t="n">
        <f aca="false">Customer_ARR!G21</f>
        <v>0.1</v>
      </c>
    </row>
    <row r="42" customFormat="false" ht="15" hidden="false" customHeight="false" outlineLevel="0" collapsed="false">
      <c r="A42" s="26" t="str">
        <f aca="false">Customer_ARR!A22</f>
        <v>C00442</v>
      </c>
      <c r="B42" s="26" t="str">
        <f aca="false">Customer_ARR!B22</f>
        <v>Enterprise</v>
      </c>
      <c r="C42" s="26" t="str">
        <f aca="false">Customer_ARR!C22</f>
        <v>Healthcare</v>
      </c>
      <c r="D42" s="27" t="n">
        <f aca="false">Customer_ARR!I22</f>
        <v>346382.04</v>
      </c>
      <c r="E42" s="17" t="n">
        <f aca="false">D42/$B$6</f>
        <v>0.00249912437223647</v>
      </c>
      <c r="F42" s="17" t="n">
        <f aca="false">F41+E42</f>
        <v>0.0589142317549394</v>
      </c>
      <c r="G42" s="28" t="n">
        <f aca="false">Customer_ARR!H22</f>
        <v>11</v>
      </c>
      <c r="H42" s="8" t="n">
        <f aca="false">Customer_ARR!G22</f>
        <v>0</v>
      </c>
    </row>
    <row r="43" customFormat="false" ht="15" hidden="false" customHeight="false" outlineLevel="0" collapsed="false">
      <c r="A43" s="26" t="str">
        <f aca="false">Customer_ARR!A23</f>
        <v>C01354</v>
      </c>
      <c r="B43" s="26" t="str">
        <f aca="false">Customer_ARR!B23</f>
        <v>Enterprise</v>
      </c>
      <c r="C43" s="26" t="str">
        <f aca="false">Customer_ARR!C23</f>
        <v>Retail</v>
      </c>
      <c r="D43" s="27" t="n">
        <f aca="false">Customer_ARR!I23</f>
        <v>346142.64</v>
      </c>
      <c r="E43" s="17" t="n">
        <f aca="false">D43/$B$6</f>
        <v>0.00249739711647369</v>
      </c>
      <c r="F43" s="17" t="n">
        <f aca="false">F42+E43</f>
        <v>0.061411628871413</v>
      </c>
      <c r="G43" s="28" t="n">
        <f aca="false">Customer_ARR!H23</f>
        <v>3</v>
      </c>
      <c r="H43" s="8" t="n">
        <f aca="false">Customer_ARR!G23</f>
        <v>0.15</v>
      </c>
    </row>
    <row r="44" customFormat="false" ht="15" hidden="false" customHeight="false" outlineLevel="0" collapsed="false">
      <c r="A44" s="26" t="str">
        <f aca="false">Customer_ARR!A24</f>
        <v>C00480</v>
      </c>
      <c r="B44" s="26" t="str">
        <f aca="false">Customer_ARR!B24</f>
        <v>Enterprise</v>
      </c>
      <c r="C44" s="26" t="str">
        <f aca="false">Customer_ARR!C24</f>
        <v>Cybersecurity</v>
      </c>
      <c r="D44" s="27" t="n">
        <f aca="false">Customer_ARR!I24</f>
        <v>339431.04</v>
      </c>
      <c r="E44" s="17" t="n">
        <f aca="false">D44/$B$6</f>
        <v>0.0024489733496505</v>
      </c>
      <c r="F44" s="17" t="n">
        <f aca="false">F43+E44</f>
        <v>0.0638606022210635</v>
      </c>
      <c r="G44" s="28" t="n">
        <f aca="false">Customer_ARR!H24</f>
        <v>24</v>
      </c>
      <c r="H44" s="8" t="n">
        <f aca="false">Customer_ARR!G24</f>
        <v>0</v>
      </c>
    </row>
    <row r="47" customFormat="false" ht="15" hidden="false" customHeight="false" outlineLevel="0" collapsed="false">
      <c r="A47" s="5" t="s">
        <v>290</v>
      </c>
    </row>
    <row r="48" customFormat="false" ht="23.85" hidden="false" customHeight="false" outlineLevel="0" collapsed="false">
      <c r="A48" s="6" t="s">
        <v>138</v>
      </c>
      <c r="B48" s="7" t="s">
        <v>278</v>
      </c>
      <c r="C48" s="7" t="s">
        <v>269</v>
      </c>
      <c r="D48" s="7" t="s">
        <v>291</v>
      </c>
      <c r="E48" s="7" t="s">
        <v>63</v>
      </c>
    </row>
    <row r="49" customFormat="false" ht="15" hidden="false" customHeight="false" outlineLevel="0" collapsed="false">
      <c r="A49" s="3" t="s">
        <v>292</v>
      </c>
      <c r="B49" s="16" t="n">
        <v>1771</v>
      </c>
      <c r="C49" s="15" t="n">
        <v>0.04551</v>
      </c>
      <c r="D49" s="15" t="n">
        <v>0.47768</v>
      </c>
      <c r="E49" s="29" t="n">
        <v>17.028</v>
      </c>
    </row>
    <row r="50" customFormat="false" ht="15" hidden="false" customHeight="false" outlineLevel="0" collapsed="false">
      <c r="A50" s="3" t="s">
        <v>293</v>
      </c>
      <c r="B50" s="16" t="n">
        <v>1842</v>
      </c>
      <c r="C50" s="15" t="n">
        <v>0.04621</v>
      </c>
      <c r="D50" s="15" t="n">
        <v>0.4796</v>
      </c>
      <c r="E50" s="29" t="n">
        <v>16.627</v>
      </c>
    </row>
    <row r="51" customFormat="false" ht="15" hidden="false" customHeight="false" outlineLevel="0" collapsed="false">
      <c r="A51" s="3" t="s">
        <v>294</v>
      </c>
      <c r="B51" s="16" t="n">
        <v>1951</v>
      </c>
      <c r="C51" s="15" t="n">
        <v>0.04619</v>
      </c>
      <c r="D51" s="15" t="n">
        <v>0.47978</v>
      </c>
      <c r="E51" s="29" t="n">
        <v>15.872</v>
      </c>
    </row>
    <row r="52" customFormat="false" ht="15" hidden="false" customHeight="false" outlineLevel="0" collapsed="false">
      <c r="A52" s="3" t="s">
        <v>295</v>
      </c>
      <c r="B52" s="16" t="n">
        <v>2092</v>
      </c>
      <c r="C52" s="15" t="n">
        <v>0.04323</v>
      </c>
      <c r="D52" s="15" t="n">
        <v>0.4792</v>
      </c>
      <c r="E52" s="29" t="n">
        <v>14.849</v>
      </c>
    </row>
    <row r="53" customFormat="false" ht="15" hidden="false" customHeight="false" outlineLevel="0" collapsed="false">
      <c r="A53" s="3" t="s">
        <v>296</v>
      </c>
      <c r="B53" s="16" t="n">
        <v>2173</v>
      </c>
      <c r="C53" s="15" t="n">
        <v>0.04352</v>
      </c>
      <c r="D53" s="15" t="n">
        <v>0.47776</v>
      </c>
      <c r="E53" s="29" t="n">
        <v>14.418</v>
      </c>
    </row>
    <row r="54" customFormat="false" ht="15" hidden="false" customHeight="false" outlineLevel="0" collapsed="false">
      <c r="A54" s="3" t="s">
        <v>297</v>
      </c>
      <c r="B54" s="16" t="n">
        <v>2243</v>
      </c>
      <c r="C54" s="15" t="n">
        <v>0.04018</v>
      </c>
      <c r="D54" s="15" t="n">
        <v>0.47799</v>
      </c>
      <c r="E54" s="29" t="n">
        <v>13.87</v>
      </c>
    </row>
    <row r="55" customFormat="false" ht="15" hidden="false" customHeight="false" outlineLevel="0" collapsed="false">
      <c r="A55" s="3" t="s">
        <v>298</v>
      </c>
      <c r="B55" s="16" t="n">
        <v>2335</v>
      </c>
      <c r="C55" s="15" t="n">
        <v>0.03907</v>
      </c>
      <c r="D55" s="15" t="n">
        <v>0.48027</v>
      </c>
      <c r="E55" s="29" t="n">
        <v>13.347</v>
      </c>
    </row>
    <row r="56" customFormat="false" ht="15" hidden="false" customHeight="false" outlineLevel="0" collapsed="false">
      <c r="A56" s="3" t="s">
        <v>299</v>
      </c>
      <c r="B56" s="16" t="n">
        <v>2462</v>
      </c>
      <c r="C56" s="15" t="n">
        <v>0.03775</v>
      </c>
      <c r="D56" s="15" t="n">
        <v>0.47991</v>
      </c>
      <c r="E56" s="29" t="n">
        <v>12.722</v>
      </c>
    </row>
    <row r="57" customFormat="false" ht="15" hidden="false" customHeight="false" outlineLevel="0" collapsed="false">
      <c r="A57" s="3" t="s">
        <v>300</v>
      </c>
      <c r="B57" s="16" t="n">
        <v>2562</v>
      </c>
      <c r="C57" s="15" t="n">
        <v>0.03764</v>
      </c>
      <c r="D57" s="15" t="n">
        <v>0.47769</v>
      </c>
      <c r="E57" s="29" t="n">
        <v>12.22</v>
      </c>
    </row>
    <row r="58" customFormat="false" ht="15" hidden="false" customHeight="false" outlineLevel="0" collapsed="false">
      <c r="A58" s="3" t="s">
        <v>301</v>
      </c>
      <c r="B58" s="16" t="n">
        <v>2655</v>
      </c>
      <c r="C58" s="15" t="n">
        <v>0.03661</v>
      </c>
      <c r="D58" s="15" t="n">
        <v>0.47631</v>
      </c>
      <c r="E58" s="29" t="n">
        <v>11.796</v>
      </c>
    </row>
    <row r="59" customFormat="false" ht="15" hidden="false" customHeight="false" outlineLevel="0" collapsed="false">
      <c r="A59" s="3" t="s">
        <v>302</v>
      </c>
      <c r="B59" s="16" t="n">
        <v>2745</v>
      </c>
      <c r="C59" s="15" t="n">
        <v>0.03654</v>
      </c>
      <c r="D59" s="15" t="n">
        <v>0.4807</v>
      </c>
      <c r="E59" s="29" t="n">
        <v>11.67</v>
      </c>
    </row>
    <row r="60" customFormat="false" ht="15" hidden="false" customHeight="false" outlineLevel="0" collapsed="false">
      <c r="A60" s="3" t="s">
        <v>303</v>
      </c>
      <c r="B60" s="16" t="n">
        <v>2875</v>
      </c>
      <c r="C60" s="15" t="n">
        <v>0.03704</v>
      </c>
      <c r="D60" s="15" t="n">
        <v>0.48199</v>
      </c>
      <c r="E60" s="29" t="n">
        <v>11.352</v>
      </c>
    </row>
    <row r="61" customFormat="false" ht="15" hidden="false" customHeight="false" outlineLevel="0" collapsed="false">
      <c r="A61" s="3" t="s">
        <v>304</v>
      </c>
      <c r="B61" s="16" t="n">
        <v>2970</v>
      </c>
      <c r="C61" s="15" t="n">
        <v>0.03688</v>
      </c>
      <c r="D61" s="15" t="n">
        <v>0.48072</v>
      </c>
      <c r="E61" s="29" t="n">
        <v>11.025</v>
      </c>
    </row>
    <row r="62" customFormat="false" ht="15" hidden="false" customHeight="false" outlineLevel="0" collapsed="false">
      <c r="A62" s="3" t="s">
        <v>305</v>
      </c>
      <c r="B62" s="16" t="n">
        <v>3049</v>
      </c>
      <c r="C62" s="15" t="n">
        <v>0.03643</v>
      </c>
      <c r="D62" s="15" t="n">
        <v>0.48307</v>
      </c>
      <c r="E62" s="29" t="n">
        <v>10.774</v>
      </c>
    </row>
    <row r="63" customFormat="false" ht="15" hidden="false" customHeight="false" outlineLevel="0" collapsed="false">
      <c r="A63" s="3" t="s">
        <v>306</v>
      </c>
      <c r="B63" s="16" t="n">
        <v>3183</v>
      </c>
      <c r="C63" s="15" t="n">
        <v>0.03718</v>
      </c>
      <c r="D63" s="15" t="n">
        <v>0.48468</v>
      </c>
      <c r="E63" s="29" t="n">
        <v>10.455</v>
      </c>
    </row>
    <row r="64" customFormat="false" ht="15" hidden="false" customHeight="false" outlineLevel="0" collapsed="false">
      <c r="A64" s="3" t="s">
        <v>307</v>
      </c>
      <c r="B64" s="16" t="n">
        <v>3314</v>
      </c>
      <c r="C64" s="15" t="n">
        <v>0.03609</v>
      </c>
      <c r="D64" s="15" t="n">
        <v>0.48373</v>
      </c>
      <c r="E64" s="29" t="n">
        <v>10.071</v>
      </c>
    </row>
    <row r="65" customFormat="false" ht="15" hidden="false" customHeight="false" outlineLevel="0" collapsed="false">
      <c r="A65" s="3" t="s">
        <v>308</v>
      </c>
      <c r="B65" s="16" t="n">
        <v>3414</v>
      </c>
      <c r="C65" s="15" t="n">
        <v>0.03835</v>
      </c>
      <c r="D65" s="15" t="n">
        <v>0.48453</v>
      </c>
      <c r="E65" s="29" t="n">
        <v>9.967</v>
      </c>
    </row>
    <row r="66" customFormat="false" ht="15" hidden="false" customHeight="false" outlineLevel="0" collapsed="false">
      <c r="A66" s="3" t="s">
        <v>309</v>
      </c>
      <c r="B66" s="16" t="n">
        <v>3488</v>
      </c>
      <c r="C66" s="15" t="n">
        <v>0.03804</v>
      </c>
      <c r="D66" s="15" t="n">
        <v>0.48699</v>
      </c>
      <c r="E66" s="29" t="n">
        <v>9.87</v>
      </c>
    </row>
    <row r="67" customFormat="false" ht="15" hidden="false" customHeight="false" outlineLevel="0" collapsed="false">
      <c r="A67" s="3" t="s">
        <v>310</v>
      </c>
      <c r="B67" s="16" t="n">
        <v>3505</v>
      </c>
      <c r="C67" s="15" t="n">
        <v>0.03741</v>
      </c>
      <c r="D67" s="15" t="n">
        <v>0.48556</v>
      </c>
      <c r="E67" s="29" t="n">
        <v>9.746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0" min="2" style="0" width="10"/>
  </cols>
  <sheetData>
    <row r="1" customFormat="false" ht="16.15" hidden="false" customHeight="false" outlineLevel="0" collapsed="false">
      <c r="A1" s="1" t="s">
        <v>311</v>
      </c>
    </row>
    <row r="2" customFormat="false" ht="15" hidden="false" customHeight="false" outlineLevel="0" collapsed="false">
      <c r="A2" s="2" t="s">
        <v>312</v>
      </c>
    </row>
    <row r="4" customFormat="false" ht="15" hidden="false" customHeight="false" outlineLevel="0" collapsed="false">
      <c r="A4" s="6" t="s">
        <v>176</v>
      </c>
      <c r="B4" s="7" t="s">
        <v>313</v>
      </c>
      <c r="C4" s="7" t="s">
        <v>177</v>
      </c>
      <c r="D4" s="7" t="s">
        <v>178</v>
      </c>
      <c r="E4" s="7" t="s">
        <v>179</v>
      </c>
      <c r="F4" s="7" t="s">
        <v>180</v>
      </c>
      <c r="G4" s="7" t="s">
        <v>181</v>
      </c>
      <c r="H4" s="7" t="s">
        <v>182</v>
      </c>
      <c r="I4" s="7" t="s">
        <v>183</v>
      </c>
      <c r="J4" s="7" t="s">
        <v>184</v>
      </c>
      <c r="K4" s="7" t="s">
        <v>185</v>
      </c>
      <c r="L4" s="7" t="s">
        <v>186</v>
      </c>
      <c r="M4" s="7" t="s">
        <v>187</v>
      </c>
      <c r="N4" s="7" t="s">
        <v>188</v>
      </c>
      <c r="O4" s="7" t="s">
        <v>189</v>
      </c>
      <c r="P4" s="7" t="s">
        <v>190</v>
      </c>
      <c r="Q4" s="7" t="s">
        <v>191</v>
      </c>
      <c r="R4" s="7" t="s">
        <v>192</v>
      </c>
      <c r="S4" s="7" t="s">
        <v>193</v>
      </c>
    </row>
    <row r="5" customFormat="false" ht="15" hidden="false" customHeight="false" outlineLevel="0" collapsed="false">
      <c r="A5" s="3" t="s">
        <v>314</v>
      </c>
      <c r="B5" s="18" t="n">
        <v>13.90075</v>
      </c>
      <c r="C5" s="18" t="n">
        <v>14.74024</v>
      </c>
      <c r="D5" s="18" t="n">
        <v>15.63973</v>
      </c>
      <c r="E5" s="18" t="n">
        <v>16.92502</v>
      </c>
      <c r="F5" s="18" t="n">
        <v>17.86145</v>
      </c>
      <c r="G5" s="18" t="n">
        <v>18.75602</v>
      </c>
      <c r="H5" s="18" t="n">
        <v>20.00424</v>
      </c>
      <c r="I5" s="18" t="n">
        <v>21.36279</v>
      </c>
      <c r="J5" s="18" t="n">
        <v>22.57843</v>
      </c>
      <c r="K5" s="18" t="n">
        <v>23.86437</v>
      </c>
      <c r="L5" s="18" t="n">
        <v>24.99978</v>
      </c>
      <c r="M5" s="18" t="n">
        <v>26.16732</v>
      </c>
      <c r="N5" s="18" t="n">
        <v>27.24909</v>
      </c>
      <c r="O5" s="18" t="n">
        <v>28.40488</v>
      </c>
      <c r="P5" s="18" t="n">
        <v>29.81261</v>
      </c>
      <c r="Q5" s="18" t="n">
        <v>31.35828</v>
      </c>
      <c r="R5" s="18" t="n">
        <v>32.76953</v>
      </c>
      <c r="S5" s="18" t="n">
        <v>33.85352</v>
      </c>
    </row>
    <row r="6" customFormat="false" ht="15" hidden="false" customHeight="false" outlineLevel="0" collapsed="false">
      <c r="A6" s="3" t="s">
        <v>315</v>
      </c>
      <c r="B6" s="18" t="n">
        <v>13.90075</v>
      </c>
      <c r="C6" s="18" t="n">
        <v>14.74024</v>
      </c>
      <c r="D6" s="18" t="n">
        <v>15.63973</v>
      </c>
      <c r="E6" s="18" t="n">
        <v>16.92502</v>
      </c>
      <c r="F6" s="18" t="n">
        <v>17.86145</v>
      </c>
      <c r="G6" s="18" t="n">
        <v>18.75602</v>
      </c>
      <c r="H6" s="18" t="n">
        <v>20.00424</v>
      </c>
      <c r="I6" s="18" t="n">
        <v>21.36279</v>
      </c>
      <c r="J6" s="18" t="n">
        <v>22.57843</v>
      </c>
      <c r="K6" s="18" t="n">
        <v>23.86437</v>
      </c>
      <c r="L6" s="18" t="n">
        <v>24.99978</v>
      </c>
      <c r="M6" s="18" t="n">
        <v>26.16732</v>
      </c>
      <c r="N6" s="18" t="n">
        <v>27.24909</v>
      </c>
      <c r="O6" s="18" t="n">
        <v>28.40488</v>
      </c>
      <c r="P6" s="18" t="n">
        <v>29.81261</v>
      </c>
      <c r="Q6" s="18" t="n">
        <v>31.35828</v>
      </c>
      <c r="R6" s="18" t="n">
        <v>32.76953</v>
      </c>
      <c r="S6" s="18" t="n">
        <v>33.85352</v>
      </c>
    </row>
    <row r="7" customFormat="false" ht="15" hidden="false" customHeight="false" outlineLevel="0" collapsed="false">
      <c r="A7" s="3" t="s">
        <v>316</v>
      </c>
      <c r="B7" s="20" t="n">
        <f aca="false">ROUND(B6-B5,4)</f>
        <v>0</v>
      </c>
      <c r="C7" s="20" t="n">
        <f aca="false">ROUND(C6-C5,4)</f>
        <v>0</v>
      </c>
      <c r="D7" s="20" t="n">
        <f aca="false">ROUND(D6-D5,4)</f>
        <v>0</v>
      </c>
      <c r="E7" s="20" t="n">
        <f aca="false">ROUND(E6-E5,4)</f>
        <v>0</v>
      </c>
      <c r="F7" s="20" t="n">
        <f aca="false">ROUND(F6-F5,4)</f>
        <v>0</v>
      </c>
      <c r="G7" s="20" t="n">
        <f aca="false">ROUND(G6-G5,4)</f>
        <v>0</v>
      </c>
      <c r="H7" s="20" t="n">
        <f aca="false">ROUND(H6-H5,4)</f>
        <v>0</v>
      </c>
      <c r="I7" s="20" t="n">
        <f aca="false">ROUND(I6-I5,4)</f>
        <v>0</v>
      </c>
      <c r="J7" s="20" t="n">
        <f aca="false">ROUND(J6-J5,4)</f>
        <v>0</v>
      </c>
      <c r="K7" s="20" t="n">
        <f aca="false">ROUND(K6-K5,4)</f>
        <v>0</v>
      </c>
      <c r="L7" s="20" t="n">
        <f aca="false">ROUND(L6-L5,4)</f>
        <v>0</v>
      </c>
      <c r="M7" s="20" t="n">
        <f aca="false">ROUND(M6-M5,4)</f>
        <v>0</v>
      </c>
      <c r="N7" s="20" t="n">
        <f aca="false">ROUND(N6-N5,4)</f>
        <v>0</v>
      </c>
      <c r="O7" s="20" t="n">
        <f aca="false">ROUND(O6-O5,4)</f>
        <v>0</v>
      </c>
      <c r="P7" s="20" t="n">
        <f aca="false">ROUND(P6-P5,4)</f>
        <v>0</v>
      </c>
      <c r="Q7" s="20" t="n">
        <f aca="false">ROUND(Q6-Q5,4)</f>
        <v>0</v>
      </c>
      <c r="R7" s="20" t="n">
        <f aca="false">ROUND(R6-R5,4)</f>
        <v>0</v>
      </c>
      <c r="S7" s="20" t="n">
        <f aca="false">ROUND(S6-S5,4)</f>
        <v>0</v>
      </c>
    </row>
    <row r="8" customFormat="false" ht="15" hidden="false" customHeight="false" outlineLevel="0" collapsed="false">
      <c r="A8" s="3" t="s">
        <v>317</v>
      </c>
      <c r="B8" s="18" t="n">
        <v>0.18947</v>
      </c>
      <c r="C8" s="18" t="n">
        <v>0.24323</v>
      </c>
      <c r="D8" s="18" t="n">
        <v>0.36636</v>
      </c>
      <c r="E8" s="18" t="n">
        <v>0.27225</v>
      </c>
      <c r="F8" s="18" t="n">
        <v>0.36806</v>
      </c>
      <c r="G8" s="18" t="n">
        <v>0.26369</v>
      </c>
      <c r="H8" s="18" t="n">
        <v>0.34105</v>
      </c>
      <c r="I8" s="18" t="n">
        <v>0.32423</v>
      </c>
      <c r="J8" s="18" t="n">
        <v>0.35606</v>
      </c>
      <c r="K8" s="18" t="n">
        <v>0.45351</v>
      </c>
      <c r="L8" s="18" t="n">
        <v>0.38429</v>
      </c>
      <c r="M8" s="18" t="n">
        <v>0.47252</v>
      </c>
      <c r="N8" s="18" t="n">
        <v>0.50173</v>
      </c>
      <c r="O8" s="18" t="n">
        <v>0.36897</v>
      </c>
      <c r="P8" s="18" t="n">
        <v>0.57284</v>
      </c>
      <c r="Q8" s="18" t="n">
        <v>0.54826</v>
      </c>
      <c r="R8" s="18" t="n">
        <v>0.48043</v>
      </c>
      <c r="S8" s="18" t="n">
        <v>0.48593</v>
      </c>
    </row>
    <row r="9" customFormat="false" ht="15" hidden="false" customHeight="false" outlineLevel="0" collapsed="false">
      <c r="A9" s="3" t="s">
        <v>318</v>
      </c>
      <c r="B9" s="20" t="n">
        <f aca="false">B6-B8</f>
        <v>13.71128</v>
      </c>
      <c r="C9" s="20" t="n">
        <f aca="false">C6-C8</f>
        <v>14.49701</v>
      </c>
      <c r="D9" s="20" t="n">
        <f aca="false">D6-D8</f>
        <v>15.27337</v>
      </c>
      <c r="E9" s="20" t="n">
        <f aca="false">E6-E8</f>
        <v>16.65277</v>
      </c>
      <c r="F9" s="20" t="n">
        <f aca="false">F6-F8</f>
        <v>17.49339</v>
      </c>
      <c r="G9" s="20" t="n">
        <f aca="false">G6-G8</f>
        <v>18.49233</v>
      </c>
      <c r="H9" s="20" t="n">
        <f aca="false">H6-H8</f>
        <v>19.66319</v>
      </c>
      <c r="I9" s="20" t="n">
        <f aca="false">I6-I8</f>
        <v>21.03856</v>
      </c>
      <c r="J9" s="20" t="n">
        <f aca="false">J6-J8</f>
        <v>22.22237</v>
      </c>
      <c r="K9" s="20" t="n">
        <f aca="false">K6-K8</f>
        <v>23.41086</v>
      </c>
      <c r="L9" s="20" t="n">
        <f aca="false">L6-L8</f>
        <v>24.61549</v>
      </c>
      <c r="M9" s="20" t="n">
        <f aca="false">M6-M8</f>
        <v>25.6948</v>
      </c>
      <c r="N9" s="20" t="n">
        <f aca="false">N6-N8</f>
        <v>26.74736</v>
      </c>
      <c r="O9" s="20" t="n">
        <f aca="false">O6-O8</f>
        <v>28.03591</v>
      </c>
      <c r="P9" s="20" t="n">
        <f aca="false">P6-P8</f>
        <v>29.23977</v>
      </c>
      <c r="Q9" s="20" t="n">
        <f aca="false">Q6-Q8</f>
        <v>30.81002</v>
      </c>
      <c r="R9" s="20" t="n">
        <f aca="false">R6-R8</f>
        <v>32.2891</v>
      </c>
      <c r="S9" s="20" t="n">
        <f aca="false">S6-S8</f>
        <v>33.36759</v>
      </c>
    </row>
    <row r="10" customFormat="false" ht="15" hidden="false" customHeight="false" outlineLevel="0" collapsed="false">
      <c r="A10" s="3" t="s">
        <v>319</v>
      </c>
      <c r="B10" s="18" t="n">
        <v>8.81008</v>
      </c>
      <c r="C10" s="18" t="n">
        <v>14.25494</v>
      </c>
      <c r="D10" s="18" t="n">
        <v>14.91504</v>
      </c>
      <c r="E10" s="18" t="n">
        <v>16.21092</v>
      </c>
      <c r="F10" s="18" t="n">
        <v>17.28637</v>
      </c>
      <c r="G10" s="18" t="n">
        <v>17.99606</v>
      </c>
      <c r="H10" s="18" t="n">
        <v>19.28339</v>
      </c>
      <c r="I10" s="18" t="n">
        <v>20.57197</v>
      </c>
      <c r="J10" s="18" t="n">
        <v>21.84902</v>
      </c>
      <c r="K10" s="18" t="n">
        <v>22.93335</v>
      </c>
      <c r="L10" s="18" t="n">
        <v>24.08676</v>
      </c>
      <c r="M10" s="18" t="n">
        <v>25.37846</v>
      </c>
      <c r="N10" s="18" t="n">
        <v>26.49436</v>
      </c>
      <c r="O10" s="18" t="n">
        <v>27.4003</v>
      </c>
      <c r="P10" s="18" t="n">
        <v>28.8642</v>
      </c>
      <c r="Q10" s="18" t="n">
        <v>30.32542</v>
      </c>
      <c r="R10" s="18" t="n">
        <v>31.8755</v>
      </c>
      <c r="S10" s="18" t="n">
        <v>32.88948</v>
      </c>
    </row>
    <row r="11" customFormat="false" ht="15" hidden="false" customHeight="false" outlineLevel="0" collapsed="false">
      <c r="A11" s="3" t="s">
        <v>320</v>
      </c>
      <c r="B11" s="18" t="n">
        <v>0</v>
      </c>
      <c r="C11" s="20" t="n">
        <f aca="false">B13</f>
        <v>4.90121</v>
      </c>
      <c r="D11" s="20" t="n">
        <f aca="false">C13</f>
        <v>5.14327</v>
      </c>
      <c r="E11" s="20" t="n">
        <f aca="false">D13</f>
        <v>5.5016</v>
      </c>
      <c r="F11" s="20" t="n">
        <f aca="false">E13</f>
        <v>5.94345</v>
      </c>
      <c r="G11" s="20" t="n">
        <f aca="false">F13</f>
        <v>6.15047</v>
      </c>
      <c r="H11" s="20" t="n">
        <f aca="false">G13</f>
        <v>6.64673</v>
      </c>
      <c r="I11" s="20" t="n">
        <f aca="false">H13</f>
        <v>7.02653</v>
      </c>
      <c r="J11" s="20" t="n">
        <f aca="false">I13</f>
        <v>7.49312</v>
      </c>
      <c r="K11" s="20" t="n">
        <f aca="false">J13</f>
        <v>7.86647</v>
      </c>
      <c r="L11" s="20" t="n">
        <f aca="false">K13</f>
        <v>8.34398</v>
      </c>
      <c r="M11" s="20" t="n">
        <f aca="false">L13</f>
        <v>8.87271</v>
      </c>
      <c r="N11" s="20" t="n">
        <f aca="false">M13</f>
        <v>9.18905</v>
      </c>
      <c r="O11" s="20" t="n">
        <f aca="false">N13</f>
        <v>9.44205</v>
      </c>
      <c r="P11" s="20" t="n">
        <f aca="false">O13</f>
        <v>10.07765</v>
      </c>
      <c r="Q11" s="20" t="n">
        <f aca="false">P13</f>
        <v>10.45322</v>
      </c>
      <c r="R11" s="20" t="n">
        <f aca="false">Q13</f>
        <v>10.93782</v>
      </c>
      <c r="S11" s="20" t="n">
        <f aca="false">R13</f>
        <v>11.35141</v>
      </c>
    </row>
    <row r="12" customFormat="false" ht="15" hidden="false" customHeight="false" outlineLevel="0" collapsed="false">
      <c r="A12" s="3" t="s">
        <v>321</v>
      </c>
      <c r="B12" s="20" t="n">
        <f aca="false">B11+B9-B10</f>
        <v>4.9012</v>
      </c>
      <c r="C12" s="20" t="n">
        <f aca="false">C11+C9-C10</f>
        <v>5.14328</v>
      </c>
      <c r="D12" s="20" t="n">
        <f aca="false">D11+D9-D10</f>
        <v>5.5016</v>
      </c>
      <c r="E12" s="20" t="n">
        <f aca="false">E11+E9-E10</f>
        <v>5.94345</v>
      </c>
      <c r="F12" s="20" t="n">
        <f aca="false">F11+F9-F10</f>
        <v>6.15047</v>
      </c>
      <c r="G12" s="20" t="n">
        <f aca="false">G11+G9-G10</f>
        <v>6.64674</v>
      </c>
      <c r="H12" s="20" t="n">
        <f aca="false">H11+H9-H10</f>
        <v>7.02653</v>
      </c>
      <c r="I12" s="20" t="n">
        <f aca="false">I11+I9-I10</f>
        <v>7.49312</v>
      </c>
      <c r="J12" s="20" t="n">
        <f aca="false">J11+J9-J10</f>
        <v>7.86647</v>
      </c>
      <c r="K12" s="20" t="n">
        <f aca="false">K11+K9-K10</f>
        <v>8.34398</v>
      </c>
      <c r="L12" s="20" t="n">
        <f aca="false">L11+L9-L10</f>
        <v>8.87271</v>
      </c>
      <c r="M12" s="20" t="n">
        <f aca="false">M11+M9-M10</f>
        <v>9.18905</v>
      </c>
      <c r="N12" s="20" t="n">
        <f aca="false">N11+N9-N10</f>
        <v>9.44205</v>
      </c>
      <c r="O12" s="20" t="n">
        <f aca="false">O11+O9-O10</f>
        <v>10.07766</v>
      </c>
      <c r="P12" s="20" t="n">
        <f aca="false">P11+P9-P10</f>
        <v>10.45322</v>
      </c>
      <c r="Q12" s="20" t="n">
        <f aca="false">Q11+Q9-Q10</f>
        <v>10.93782</v>
      </c>
      <c r="R12" s="20" t="n">
        <f aca="false">R11+R9-R10</f>
        <v>11.35142</v>
      </c>
      <c r="S12" s="20" t="n">
        <f aca="false">S11+S9-S10</f>
        <v>11.82952</v>
      </c>
    </row>
    <row r="13" customFormat="false" ht="15" hidden="false" customHeight="false" outlineLevel="0" collapsed="false">
      <c r="A13" s="3" t="s">
        <v>322</v>
      </c>
      <c r="B13" s="18" t="n">
        <v>4.90121</v>
      </c>
      <c r="C13" s="18" t="n">
        <v>5.14327</v>
      </c>
      <c r="D13" s="18" t="n">
        <v>5.5016</v>
      </c>
      <c r="E13" s="18" t="n">
        <v>5.94345</v>
      </c>
      <c r="F13" s="18" t="n">
        <v>6.15047</v>
      </c>
      <c r="G13" s="18" t="n">
        <v>6.64673</v>
      </c>
      <c r="H13" s="18" t="n">
        <v>7.02653</v>
      </c>
      <c r="I13" s="18" t="n">
        <v>7.49312</v>
      </c>
      <c r="J13" s="18" t="n">
        <v>7.86647</v>
      </c>
      <c r="K13" s="18" t="n">
        <v>8.34398</v>
      </c>
      <c r="L13" s="18" t="n">
        <v>8.87271</v>
      </c>
      <c r="M13" s="18" t="n">
        <v>9.18905</v>
      </c>
      <c r="N13" s="18" t="n">
        <v>9.44205</v>
      </c>
      <c r="O13" s="18" t="n">
        <v>10.07765</v>
      </c>
      <c r="P13" s="18" t="n">
        <v>10.45322</v>
      </c>
      <c r="Q13" s="18" t="n">
        <v>10.93782</v>
      </c>
      <c r="R13" s="18" t="n">
        <v>11.35141</v>
      </c>
      <c r="S13" s="18" t="n">
        <v>11.82952</v>
      </c>
    </row>
    <row r="15" customFormat="false" ht="15" hidden="false" customHeight="false" outlineLevel="0" collapsed="false">
      <c r="A15" s="3" t="s">
        <v>323</v>
      </c>
      <c r="B15" s="20" t="n">
        <f aca="false">ROUND(B12-B13,3)</f>
        <v>-0</v>
      </c>
      <c r="C15" s="20" t="n">
        <f aca="false">ROUND(C12-C13,3)</f>
        <v>0</v>
      </c>
      <c r="D15" s="20" t="n">
        <f aca="false">ROUND(D12-D13,3)</f>
        <v>0</v>
      </c>
      <c r="E15" s="20" t="n">
        <f aca="false">ROUND(E12-E13,3)</f>
        <v>0</v>
      </c>
      <c r="F15" s="20" t="n">
        <f aca="false">ROUND(F12-F13,3)</f>
        <v>0</v>
      </c>
      <c r="G15" s="20" t="n">
        <f aca="false">ROUND(G12-G13,3)</f>
        <v>0</v>
      </c>
      <c r="H15" s="20" t="n">
        <f aca="false">ROUND(H12-H13,3)</f>
        <v>0</v>
      </c>
      <c r="I15" s="20" t="n">
        <f aca="false">ROUND(I12-I13,3)</f>
        <v>0</v>
      </c>
      <c r="J15" s="20" t="n">
        <f aca="false">ROUND(J12-J13,3)</f>
        <v>0</v>
      </c>
      <c r="K15" s="20" t="n">
        <f aca="false">ROUND(K12-K13,3)</f>
        <v>0</v>
      </c>
      <c r="L15" s="20" t="n">
        <f aca="false">ROUND(L12-L13,3)</f>
        <v>0</v>
      </c>
      <c r="M15" s="20" t="n">
        <f aca="false">ROUND(M12-M13,3)</f>
        <v>0</v>
      </c>
      <c r="N15" s="20" t="n">
        <f aca="false">ROUND(N12-N13,3)</f>
        <v>0</v>
      </c>
      <c r="O15" s="20" t="n">
        <f aca="false">ROUND(O12-O13,3)</f>
        <v>0</v>
      </c>
      <c r="P15" s="20" t="n">
        <f aca="false">ROUND(P12-P13,3)</f>
        <v>0</v>
      </c>
      <c r="Q15" s="20" t="n">
        <f aca="false">ROUND(Q12-Q13,3)</f>
        <v>0</v>
      </c>
      <c r="R15" s="20" t="n">
        <f aca="false">ROUND(R12-R13,3)</f>
        <v>0</v>
      </c>
      <c r="S15" s="20" t="n">
        <f aca="false">ROUND(S12-S13,3)</f>
        <v>0</v>
      </c>
    </row>
    <row r="17" customFormat="false" ht="15" hidden="false" customHeight="false" outlineLevel="0" collapsed="false">
      <c r="A17" s="3" t="s">
        <v>324</v>
      </c>
      <c r="B17" s="18" t="n">
        <v>56.90452</v>
      </c>
      <c r="C17" s="18" t="n">
        <v>59.99367</v>
      </c>
      <c r="D17" s="18" t="n">
        <v>64.00104</v>
      </c>
      <c r="E17" s="18" t="n">
        <v>68.89965</v>
      </c>
      <c r="F17" s="18" t="n">
        <v>72.51914</v>
      </c>
      <c r="G17" s="18" t="n">
        <v>76.03604</v>
      </c>
      <c r="H17" s="18" t="n">
        <v>81.6163</v>
      </c>
      <c r="I17" s="18" t="n">
        <v>87.57277</v>
      </c>
      <c r="J17" s="18" t="n">
        <v>91.8261</v>
      </c>
      <c r="K17" s="18" t="n">
        <v>97.13267</v>
      </c>
      <c r="L17" s="18" t="n">
        <v>101.40535</v>
      </c>
      <c r="M17" s="18" t="n">
        <v>106.48112</v>
      </c>
      <c r="N17" s="18" t="n">
        <v>110.05812</v>
      </c>
      <c r="O17" s="18" t="n">
        <v>115.82286</v>
      </c>
      <c r="P17" s="18" t="n">
        <v>121.09757</v>
      </c>
      <c r="Q17" s="18" t="n">
        <v>127.86989</v>
      </c>
      <c r="R17" s="18" t="n">
        <v>132.51876</v>
      </c>
      <c r="S17" s="18" t="n">
        <v>137.41335</v>
      </c>
    </row>
    <row r="19" customFormat="false" ht="15" hidden="false" customHeight="false" outlineLevel="0" collapsed="false">
      <c r="A19" s="3" t="s">
        <v>325</v>
      </c>
      <c r="B19" s="17" t="n">
        <f aca="false">IF(B5=0,0,B10/B5)</f>
        <v>0.633784508030142</v>
      </c>
      <c r="C19" s="17" t="n">
        <f aca="false">IF(C5=0,0,C10/C5)</f>
        <v>0.967076519785295</v>
      </c>
      <c r="D19" s="17" t="n">
        <f aca="false">IF(D5=0,0,D10/D5)</f>
        <v>0.953663522324235</v>
      </c>
      <c r="E19" s="17" t="n">
        <f aca="false">IF(E5=0,0,E10/E5)</f>
        <v>0.957808026223898</v>
      </c>
      <c r="F19" s="17" t="n">
        <f aca="false">IF(F5=0,0,F10/F5)</f>
        <v>0.967803285847454</v>
      </c>
      <c r="G19" s="17" t="n">
        <f aca="false">IF(G5=0,0,G10/G5)</f>
        <v>0.959481809040511</v>
      </c>
      <c r="H19" s="17" t="n">
        <f aca="false">IF(H5=0,0,H10/H5)</f>
        <v>0.963965139390449</v>
      </c>
      <c r="I19" s="17" t="n">
        <f aca="false">IF(I5=0,0,I10/I5)</f>
        <v>0.962981427051429</v>
      </c>
      <c r="J19" s="17" t="n">
        <f aca="false">IF(J5=0,0,J10/J5)</f>
        <v>0.967694387962316</v>
      </c>
      <c r="K19" s="17" t="n">
        <f aca="false">IF(K5=0,0,K10/K5)</f>
        <v>0.960987027941655</v>
      </c>
      <c r="L19" s="17" t="n">
        <f aca="false">IF(L5=0,0,L10/L5)</f>
        <v>0.963478878614132</v>
      </c>
      <c r="M19" s="17" t="n">
        <f aca="false">IF(M5=0,0,M10/M5)</f>
        <v>0.969853236785426</v>
      </c>
      <c r="N19" s="17" t="n">
        <f aca="false">IF(N5=0,0,N10/N5)</f>
        <v>0.972302561296543</v>
      </c>
      <c r="O19" s="17" t="n">
        <f aca="false">IF(O5=0,0,O10/O5)</f>
        <v>0.964633541842106</v>
      </c>
      <c r="P19" s="17" t="n">
        <f aca="false">IF(P5=0,0,P10/P5)</f>
        <v>0.968187622620093</v>
      </c>
      <c r="Q19" s="17" t="n">
        <f aca="false">IF(Q5=0,0,Q10/Q5)</f>
        <v>0.967062606750115</v>
      </c>
      <c r="R19" s="17" t="n">
        <f aca="false">IF(R5=0,0,R10/R5)</f>
        <v>0.972717643493819</v>
      </c>
      <c r="S19" s="17" t="n">
        <f aca="false">IF(S5=0,0,S10/S5)</f>
        <v>0.971523197587725</v>
      </c>
    </row>
    <row r="20" customFormat="false" ht="15" hidden="false" customHeight="false" outlineLevel="0" collapsed="false">
      <c r="A20" s="3" t="s">
        <v>326</v>
      </c>
      <c r="B20" s="17" t="n">
        <f aca="false">IF(B5=0,0,B8/B5)</f>
        <v>0.0136301998093628</v>
      </c>
      <c r="C20" s="17" t="n">
        <f aca="false">IF(C5=0,0,C8/C5)</f>
        <v>0.0165010881776688</v>
      </c>
      <c r="D20" s="17" t="n">
        <f aca="false">IF(D5=0,0,D8/D5)</f>
        <v>0.0234249568247022</v>
      </c>
      <c r="E20" s="17" t="n">
        <f aca="false">IF(E5=0,0,E8/E5)</f>
        <v>0.0160856530745606</v>
      </c>
      <c r="F20" s="17" t="n">
        <f aca="false">IF(F5=0,0,F8/F5)</f>
        <v>0.020606389738795</v>
      </c>
      <c r="G20" s="17" t="n">
        <f aca="false">IF(G5=0,0,G8/G5)</f>
        <v>0.0140589528055526</v>
      </c>
      <c r="H20" s="17" t="n">
        <f aca="false">IF(H5=0,0,H8/H5)</f>
        <v>0.0170488856362451</v>
      </c>
      <c r="I20" s="17" t="n">
        <f aca="false">IF(I5=0,0,I8/I5)</f>
        <v>0.0151773246846503</v>
      </c>
      <c r="J20" s="17" t="n">
        <f aca="false">IF(J5=0,0,J8/J5)</f>
        <v>0.0157699184575721</v>
      </c>
      <c r="K20" s="17" t="n">
        <f aca="false">IF(K5=0,0,K8/K5)</f>
        <v>0.0190036443451053</v>
      </c>
      <c r="L20" s="17" t="n">
        <f aca="false">IF(L5=0,0,L8/L5)</f>
        <v>0.0153717352712704</v>
      </c>
      <c r="M20" s="17" t="n">
        <f aca="false">IF(M5=0,0,M8/M5)</f>
        <v>0.0180576383061009</v>
      </c>
      <c r="N20" s="17" t="n">
        <f aca="false">IF(N5=0,0,N8/N5)</f>
        <v>0.0184127249754029</v>
      </c>
      <c r="O20" s="17" t="n">
        <f aca="false">IF(O5=0,0,O8/O5)</f>
        <v>0.0129896693807543</v>
      </c>
      <c r="P20" s="17" t="n">
        <f aca="false">IF(P5=0,0,P8/P5)</f>
        <v>0.0192146880128912</v>
      </c>
      <c r="Q20" s="17" t="n">
        <f aca="false">IF(Q5=0,0,Q8/Q5)</f>
        <v>0.0174837395418371</v>
      </c>
      <c r="R20" s="17" t="n">
        <f aca="false">IF(R5=0,0,R8/R5)</f>
        <v>0.0146608755145405</v>
      </c>
      <c r="S20" s="17" t="n">
        <f aca="false">IF(S5=0,0,S8/S5)</f>
        <v>0.0143538987969346</v>
      </c>
    </row>
    <row r="21" customFormat="false" ht="15" hidden="false" customHeight="false" outlineLevel="0" collapsed="false">
      <c r="A21" s="3" t="s">
        <v>327</v>
      </c>
      <c r="B21" s="30" t="n">
        <f aca="false">IF(B5=0,0,B13/B5*Inputs!$B$6)</f>
        <v>32.1734735535852</v>
      </c>
      <c r="C21" s="30" t="n">
        <f aca="false">IF(C5=0,0,C13/C5*Inputs!$B$6)</f>
        <v>31.8396028490717</v>
      </c>
      <c r="D21" s="30" t="n">
        <f aca="false">IF(D5=0,0,D13/D5*Inputs!$B$6)</f>
        <v>32.0990835519539</v>
      </c>
      <c r="E21" s="30" t="n">
        <f aca="false">IF(E5=0,0,E13/E5*Inputs!$B$6)</f>
        <v>32.0436733605042</v>
      </c>
      <c r="F21" s="30" t="n">
        <f aca="false">IF(F5=0,0,F13/F5*Inputs!$B$6)</f>
        <v>31.4213228769221</v>
      </c>
      <c r="G21" s="30" t="n">
        <f aca="false">IF(G5=0,0,G13/G5*Inputs!$B$6)</f>
        <v>32.3370369886575</v>
      </c>
      <c r="H21" s="30" t="n">
        <f aca="false">IF(H5=0,0,H13/H5*Inputs!$B$6)</f>
        <v>32.0517481543913</v>
      </c>
      <c r="I21" s="30" t="n">
        <f aca="false">IF(I5=0,0,I13/I5*Inputs!$B$6)</f>
        <v>32.0064560855581</v>
      </c>
      <c r="J21" s="30" t="n">
        <f aca="false">IF(J5=0,0,J13/J5*Inputs!$B$6)</f>
        <v>31.7920859643474</v>
      </c>
      <c r="K21" s="30" t="n">
        <f aca="false">IF(K5=0,0,K13/K5*Inputs!$B$6)</f>
        <v>31.9048093454803</v>
      </c>
      <c r="L21" s="30" t="n">
        <f aca="false">IF(L5=0,0,L13/L5*Inputs!$B$6)</f>
        <v>32.3856764939531</v>
      </c>
      <c r="M21" s="30" t="n">
        <f aca="false">IF(M5=0,0,M13/M5*Inputs!$B$6)</f>
        <v>32.0438169632962</v>
      </c>
      <c r="N21" s="30" t="n">
        <f aca="false">IF(N5=0,0,N13/N5*Inputs!$B$6)</f>
        <v>31.6189297514156</v>
      </c>
      <c r="O21" s="30" t="n">
        <f aca="false">IF(O5=0,0,O13/O5*Inputs!$B$6)</f>
        <v>32.3742104349675</v>
      </c>
      <c r="P21" s="30" t="n">
        <f aca="false">IF(P5=0,0,P13/P5*Inputs!$B$6)</f>
        <v>31.9950626597269</v>
      </c>
      <c r="Q21" s="30" t="n">
        <f aca="false">IF(Q5=0,0,Q13/Q5*Inputs!$B$6)</f>
        <v>31.8281511294625</v>
      </c>
      <c r="R21" s="30" t="n">
        <f aca="false">IF(R5=0,0,R13/R5*Inputs!$B$6)</f>
        <v>31.6091247723113</v>
      </c>
      <c r="S21" s="30" t="n">
        <f aca="false">IF(S5=0,0,S13/S5*Inputs!$B$6)</f>
        <v>31.8857152816014</v>
      </c>
    </row>
    <row r="22" customFormat="false" ht="15" hidden="false" customHeight="false" outlineLevel="0" collapsed="false">
      <c r="A22" s="3" t="s">
        <v>328</v>
      </c>
      <c r="B22" s="17" t="n">
        <f aca="false">IF(B17=0,0,B5*4/B17)</f>
        <v>0.977128003188499</v>
      </c>
      <c r="C22" s="17" t="n">
        <f aca="false">IF(C17=0,0,C5*4/C17)</f>
        <v>0.982786350626658</v>
      </c>
      <c r="D22" s="17" t="n">
        <f aca="false">IF(D17=0,0,D5*4/D17)</f>
        <v>0.977467241157331</v>
      </c>
      <c r="E22" s="17" t="n">
        <f aca="false">IF(E17=0,0,E5*4/E17)</f>
        <v>0.982589606768685</v>
      </c>
      <c r="F22" s="17" t="n">
        <f aca="false">IF(F17=0,0,F5*4/F17)</f>
        <v>0.985199217751341</v>
      </c>
      <c r="G22" s="17" t="n">
        <f aca="false">IF(G17=0,0,G5*4/G17)</f>
        <v>0.986691048087197</v>
      </c>
      <c r="H22" s="17" t="n">
        <f aca="false">IF(H17=0,0,H5*4/H17)</f>
        <v>0.980404159463245</v>
      </c>
      <c r="I22" s="17" t="n">
        <f aca="false">IF(I17=0,0,I5*4/I17)</f>
        <v>0.97577317698184</v>
      </c>
      <c r="J22" s="17" t="n">
        <f aca="false">IF(J17=0,0,J5*4/J17)</f>
        <v>0.98352995499101</v>
      </c>
      <c r="K22" s="17" t="n">
        <f aca="false">IF(K17=0,0,K5*4/K17)</f>
        <v>0.982753588468226</v>
      </c>
      <c r="L22" s="17" t="n">
        <f aca="false">IF(L17=0,0,L5*4/L17)</f>
        <v>0.98613258570677</v>
      </c>
      <c r="M22" s="17" t="n">
        <f aca="false">IF(M17=0,0,M5*4/M17)</f>
        <v>0.982984401366177</v>
      </c>
      <c r="N22" s="17" t="n">
        <f aca="false">IF(N17=0,0,N5*4/N17)</f>
        <v>0.990352733628377</v>
      </c>
      <c r="O22" s="17" t="n">
        <f aca="false">IF(O17=0,0,O5*4/O17)</f>
        <v>0.980976639671996</v>
      </c>
      <c r="P22" s="17" t="n">
        <f aca="false">IF(P17=0,0,P5*4/P17)</f>
        <v>0.984746762466002</v>
      </c>
      <c r="Q22" s="17" t="n">
        <f aca="false">IF(Q17=0,0,Q5*4/Q17)</f>
        <v>0.980943363601861</v>
      </c>
      <c r="R22" s="17" t="n">
        <f aca="false">IF(R17=0,0,R5*4/R17)</f>
        <v>0.989128784483042</v>
      </c>
      <c r="S22" s="17" t="n">
        <f aca="false">IF(S17=0,0,S5*4/S17)</f>
        <v>0.985450685832199</v>
      </c>
    </row>
    <row r="24" customFormat="false" ht="15" hidden="false" customHeight="false" outlineLevel="0" collapsed="false">
      <c r="A24" s="2" t="s">
        <v>329</v>
      </c>
    </row>
    <row r="25" customFormat="false" ht="15" hidden="false" customHeight="false" outlineLevel="0" collapsed="false">
      <c r="A25" s="2" t="s">
        <v>330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6"/>
    <col collapsed="false" customWidth="true" hidden="false" outlineLevel="0" max="5" min="2" style="0" width="13"/>
  </cols>
  <sheetData>
    <row r="1" customFormat="false" ht="16.15" hidden="false" customHeight="false" outlineLevel="0" collapsed="false">
      <c r="A1" s="1" t="s">
        <v>331</v>
      </c>
    </row>
    <row r="2" customFormat="false" ht="15" hidden="false" customHeight="false" outlineLevel="0" collapsed="false">
      <c r="A2" s="2" t="s">
        <v>332</v>
      </c>
    </row>
    <row r="4" customFormat="false" ht="15" hidden="false" customHeight="false" outlineLevel="0" collapsed="false">
      <c r="A4" s="6" t="s">
        <v>333</v>
      </c>
      <c r="B4" s="7" t="s">
        <v>281</v>
      </c>
      <c r="C4" s="7" t="s">
        <v>282</v>
      </c>
      <c r="D4" s="7" t="s">
        <v>283</v>
      </c>
      <c r="E4" s="7" t="s">
        <v>334</v>
      </c>
    </row>
    <row r="5" customFormat="false" ht="15" hidden="false" customHeight="false" outlineLevel="0" collapsed="false">
      <c r="A5" s="3" t="s">
        <v>335</v>
      </c>
      <c r="B5" s="18" t="n">
        <v>6.19261</v>
      </c>
      <c r="C5" s="18" t="n">
        <v>6.33926</v>
      </c>
      <c r="D5" s="18" t="n">
        <v>1.75862</v>
      </c>
      <c r="E5" s="20" t="n">
        <f aca="false">SUM(B5:D5)</f>
        <v>14.29049</v>
      </c>
    </row>
    <row r="6" customFormat="false" ht="15" hidden="false" customHeight="false" outlineLevel="0" collapsed="false">
      <c r="A6" s="3" t="s">
        <v>336</v>
      </c>
      <c r="B6" s="18" t="n">
        <v>12.23456</v>
      </c>
      <c r="C6" s="18" t="n">
        <v>9.97765</v>
      </c>
      <c r="D6" s="18" t="n">
        <v>2.27164</v>
      </c>
      <c r="E6" s="20" t="n">
        <f aca="false">SUM(B6:D6)</f>
        <v>24.48385</v>
      </c>
    </row>
    <row r="7" customFormat="false" ht="15" hidden="false" customHeight="false" outlineLevel="0" collapsed="false">
      <c r="A7" s="3" t="s">
        <v>337</v>
      </c>
      <c r="B7" s="18" t="n">
        <v>10.30539</v>
      </c>
      <c r="C7" s="18" t="n">
        <v>10.46419</v>
      </c>
      <c r="D7" s="18" t="n">
        <v>2.26513</v>
      </c>
      <c r="E7" s="20" t="n">
        <f aca="false">SUM(B7:D7)</f>
        <v>23.03471</v>
      </c>
    </row>
    <row r="8" customFormat="false" ht="15" hidden="false" customHeight="false" outlineLevel="0" collapsed="false">
      <c r="A8" s="3" t="s">
        <v>338</v>
      </c>
      <c r="B8" s="18" t="n">
        <v>11.67504</v>
      </c>
      <c r="C8" s="18" t="n">
        <v>8.91362</v>
      </c>
      <c r="D8" s="18" t="n">
        <v>2.23064</v>
      </c>
      <c r="E8" s="20" t="n">
        <f aca="false">SUM(B8:D8)</f>
        <v>22.8193</v>
      </c>
    </row>
    <row r="9" customFormat="false" ht="15" hidden="false" customHeight="false" outlineLevel="0" collapsed="false">
      <c r="A9" s="3" t="s">
        <v>339</v>
      </c>
      <c r="B9" s="18" t="n">
        <v>3.80455</v>
      </c>
      <c r="C9" s="18" t="n">
        <v>2.67881</v>
      </c>
      <c r="D9" s="18" t="n">
        <v>0.70576</v>
      </c>
      <c r="E9" s="20" t="n">
        <f aca="false">SUM(B9:D9)</f>
        <v>7.18912</v>
      </c>
    </row>
    <row r="10" customFormat="false" ht="15" hidden="false" customHeight="false" outlineLevel="0" collapsed="false">
      <c r="A10" s="3" t="s">
        <v>340</v>
      </c>
      <c r="B10" s="18" t="n">
        <v>24.88987</v>
      </c>
      <c r="C10" s="18" t="n">
        <v>9.36258</v>
      </c>
      <c r="D10" s="18" t="n">
        <v>0</v>
      </c>
      <c r="E10" s="20" t="n">
        <f aca="false">SUM(B10:D10)</f>
        <v>34.25245</v>
      </c>
    </row>
    <row r="11" customFormat="false" ht="15" hidden="false" customHeight="false" outlineLevel="0" collapsed="false">
      <c r="A11" s="3" t="s">
        <v>341</v>
      </c>
      <c r="B11" s="18" t="n">
        <v>0</v>
      </c>
      <c r="C11" s="18" t="n">
        <v>0</v>
      </c>
      <c r="D11" s="18" t="n">
        <v>12.53142</v>
      </c>
      <c r="E11" s="20" t="n">
        <f aca="false">SUM(B11:D11)</f>
        <v>12.53142</v>
      </c>
    </row>
    <row r="12" customFormat="false" ht="15" hidden="false" customHeight="false" outlineLevel="0" collapsed="false">
      <c r="A12" s="3" t="s">
        <v>342</v>
      </c>
      <c r="B12" s="20" t="n">
        <f aca="false">SUM(B5:B11)</f>
        <v>69.10202</v>
      </c>
      <c r="C12" s="20" t="n">
        <f aca="false">SUM(C5:C11)</f>
        <v>47.73611</v>
      </c>
      <c r="D12" s="20" t="n">
        <f aca="false">SUM(D5:D11)</f>
        <v>21.76321</v>
      </c>
      <c r="E12" s="20" t="n">
        <f aca="false">SUM(E5:E11)</f>
        <v>138.60134</v>
      </c>
    </row>
    <row r="14" customFormat="false" ht="15" hidden="false" customHeight="false" outlineLevel="0" collapsed="false">
      <c r="A14" s="5" t="s">
        <v>343</v>
      </c>
    </row>
    <row r="15" customFormat="false" ht="15" hidden="false" customHeight="false" outlineLevel="0" collapsed="false">
      <c r="A15" s="6" t="s">
        <v>344</v>
      </c>
      <c r="B15" s="7" t="s">
        <v>281</v>
      </c>
      <c r="C15" s="7" t="s">
        <v>282</v>
      </c>
      <c r="D15" s="7" t="s">
        <v>283</v>
      </c>
      <c r="E15" s="7" t="s">
        <v>334</v>
      </c>
    </row>
    <row r="16" customFormat="false" ht="15" hidden="false" customHeight="false" outlineLevel="0" collapsed="false">
      <c r="A16" s="3" t="s">
        <v>345</v>
      </c>
      <c r="B16" s="20" t="n">
        <f aca="false">SUM(B5:B9)</f>
        <v>44.21215</v>
      </c>
      <c r="C16" s="20" t="n">
        <f aca="false">SUM(C5:C9)</f>
        <v>38.37353</v>
      </c>
      <c r="D16" s="20" t="n">
        <f aca="false">SUM(D5:D9)</f>
        <v>9.23179</v>
      </c>
      <c r="E16" s="20" t="n">
        <f aca="false">SUM(B16:D16)</f>
        <v>91.81747</v>
      </c>
    </row>
    <row r="17" customFormat="false" ht="15" hidden="false" customHeight="false" outlineLevel="0" collapsed="false">
      <c r="A17" s="3" t="s">
        <v>346</v>
      </c>
      <c r="B17" s="15" t="n">
        <v>0.03535</v>
      </c>
      <c r="C17" s="15" t="n">
        <v>0.06686</v>
      </c>
      <c r="D17" s="15" t="n">
        <v>0.1036</v>
      </c>
    </row>
    <row r="18" customFormat="false" ht="15" hidden="false" customHeight="false" outlineLevel="0" collapsed="false">
      <c r="A18" s="3" t="s">
        <v>347</v>
      </c>
      <c r="B18" s="20" t="n">
        <f aca="false">B16*B17</f>
        <v>1.5628995025</v>
      </c>
      <c r="C18" s="20" t="n">
        <f aca="false">C16*C17</f>
        <v>2.5656542158</v>
      </c>
      <c r="D18" s="20" t="n">
        <f aca="false">D16*D17</f>
        <v>0.956413444</v>
      </c>
      <c r="E18" s="20" t="n">
        <f aca="false">SUM(B18:D18)</f>
        <v>5.0849671623</v>
      </c>
    </row>
    <row r="19" customFormat="false" ht="15" hidden="false" customHeight="false" outlineLevel="0" collapsed="false">
      <c r="A19" s="3" t="s">
        <v>348</v>
      </c>
      <c r="B19" s="20" t="n">
        <f aca="false">B11</f>
        <v>0</v>
      </c>
      <c r="C19" s="20" t="n">
        <f aca="false">C11</f>
        <v>0</v>
      </c>
      <c r="D19" s="20" t="n">
        <f aca="false">D11</f>
        <v>12.53142</v>
      </c>
      <c r="E19" s="20" t="n">
        <f aca="false">SUM(B19:D19)</f>
        <v>12.53142</v>
      </c>
    </row>
    <row r="20" customFormat="false" ht="15" hidden="false" customHeight="false" outlineLevel="0" collapsed="false">
      <c r="A20" s="3" t="s">
        <v>349</v>
      </c>
      <c r="B20" s="17" t="n">
        <f aca="false">1-Retention!$D$12</f>
        <v>0.10426</v>
      </c>
      <c r="C20" s="17" t="n">
        <f aca="false">1-Retention!$D$12</f>
        <v>0.10426</v>
      </c>
      <c r="D20" s="17" t="n">
        <f aca="false">1-Retention!$D$12</f>
        <v>0.10426</v>
      </c>
    </row>
    <row r="21" customFormat="false" ht="15" hidden="false" customHeight="false" outlineLevel="0" collapsed="false">
      <c r="A21" s="3" t="s">
        <v>350</v>
      </c>
      <c r="B21" s="20" t="n">
        <f aca="false">B19*B20</f>
        <v>0</v>
      </c>
      <c r="C21" s="20" t="n">
        <f aca="false">C19*C20</f>
        <v>0</v>
      </c>
      <c r="D21" s="20" t="n">
        <f aca="false">D19*D20</f>
        <v>1.3065258492</v>
      </c>
      <c r="E21" s="20" t="n">
        <f aca="false">SUM(B21:D21)</f>
        <v>1.3065258492</v>
      </c>
    </row>
    <row r="22" customFormat="false" ht="15" hidden="false" customHeight="false" outlineLevel="0" collapsed="false">
      <c r="A22" s="3" t="s">
        <v>351</v>
      </c>
      <c r="B22" s="20" t="n">
        <f aca="false">B18+B21</f>
        <v>1.5628995025</v>
      </c>
      <c r="C22" s="20" t="n">
        <f aca="false">C18+C21</f>
        <v>2.5656542158</v>
      </c>
      <c r="D22" s="20" t="n">
        <f aca="false">D18+D21</f>
        <v>2.2629392932</v>
      </c>
      <c r="E22" s="20" t="n">
        <f aca="false">SUM(B22:D22)</f>
        <v>6.3914930115</v>
      </c>
    </row>
    <row r="23" customFormat="false" ht="15" hidden="false" customHeight="false" outlineLevel="0" collapsed="false">
      <c r="A23" s="3" t="s">
        <v>352</v>
      </c>
      <c r="B23" s="17" t="n">
        <f aca="false">IF(B12=0,0,B22/B12)</f>
        <v>0.0226172766367756</v>
      </c>
      <c r="C23" s="17" t="n">
        <f aca="false">IF(C12=0,0,C22/C12)</f>
        <v>0.0537466126963425</v>
      </c>
      <c r="D23" s="17" t="n">
        <f aca="false">IF(D12=0,0,D22/D12)</f>
        <v>0.103980032963887</v>
      </c>
      <c r="E23" s="17" t="n">
        <f aca="false">E22/E12</f>
        <v>0.0461142223552817</v>
      </c>
    </row>
    <row r="25" customFormat="false" ht="15" hidden="false" customHeight="false" outlineLevel="0" collapsed="false">
      <c r="A25" s="2" t="s">
        <v>353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6" min="2" style="0" width="12"/>
  </cols>
  <sheetData>
    <row r="1" customFormat="false" ht="16.15" hidden="false" customHeight="false" outlineLevel="0" collapsed="false">
      <c r="A1" s="1" t="s">
        <v>354</v>
      </c>
    </row>
    <row r="2" customFormat="false" ht="15" hidden="false" customHeight="false" outlineLevel="0" collapsed="false">
      <c r="A2" s="2" t="s">
        <v>355</v>
      </c>
    </row>
    <row r="4" customFormat="false" ht="15" hidden="false" customHeight="false" outlineLevel="0" collapsed="false">
      <c r="A4" s="6" t="s">
        <v>356</v>
      </c>
      <c r="B4" s="7" t="s">
        <v>42</v>
      </c>
      <c r="C4" s="7" t="s">
        <v>357</v>
      </c>
    </row>
    <row r="5" customFormat="false" ht="15" hidden="false" customHeight="false" outlineLevel="0" collapsed="false">
      <c r="A5" s="3" t="s">
        <v>358</v>
      </c>
      <c r="B5" s="9" t="n">
        <f aca="false">ARR_Bridge!R10</f>
        <v>145.3696</v>
      </c>
      <c r="C5" s="3" t="s">
        <v>23</v>
      </c>
    </row>
    <row r="6" customFormat="false" ht="15" hidden="false" customHeight="false" outlineLevel="0" collapsed="false">
      <c r="A6" s="3" t="s">
        <v>359</v>
      </c>
      <c r="B6" s="8" t="n">
        <f aca="false">Retention!D5</f>
        <v>0.92122</v>
      </c>
      <c r="C6" s="3" t="s">
        <v>25</v>
      </c>
    </row>
    <row r="7" customFormat="false" ht="15" hidden="false" customHeight="false" outlineLevel="0" collapsed="false">
      <c r="A7" s="3" t="s">
        <v>360</v>
      </c>
      <c r="B7" s="17" t="n">
        <f aca="false">Retention!E5-Retention!D5</f>
        <v>0.10945</v>
      </c>
      <c r="C7" s="3" t="s">
        <v>25</v>
      </c>
    </row>
    <row r="8" customFormat="false" ht="15" hidden="false" customHeight="false" outlineLevel="0" collapsed="false">
      <c r="A8" s="3" t="s">
        <v>361</v>
      </c>
      <c r="B8" s="9" t="n">
        <f aca="false">ARR_Bridge!B27</f>
        <v>18.2284</v>
      </c>
      <c r="C8" s="3" t="s">
        <v>23</v>
      </c>
    </row>
    <row r="9" customFormat="false" ht="15" hidden="false" customHeight="false" outlineLevel="0" collapsed="false">
      <c r="A9" s="3" t="s">
        <v>362</v>
      </c>
      <c r="B9" s="8" t="n">
        <f aca="false">Inputs!$B$5</f>
        <v>0.75</v>
      </c>
      <c r="C9" s="3" t="s">
        <v>17</v>
      </c>
    </row>
    <row r="10" customFormat="false" ht="15" hidden="false" customHeight="false" outlineLevel="0" collapsed="false">
      <c r="A10" s="3" t="s">
        <v>363</v>
      </c>
      <c r="B10" s="20" t="n">
        <f aca="false">B5*(B6+B7)+B8</f>
        <v>168.056485632</v>
      </c>
      <c r="C10" s="3" t="s">
        <v>364</v>
      </c>
    </row>
    <row r="11" customFormat="false" ht="15" hidden="false" customHeight="false" outlineLevel="0" collapsed="false">
      <c r="A11" s="3" t="s">
        <v>365</v>
      </c>
      <c r="B11" s="17" t="n">
        <f aca="false">B10/B5-1</f>
        <v>0.156063479792198</v>
      </c>
      <c r="C11" s="3" t="s">
        <v>364</v>
      </c>
    </row>
    <row r="12" customFormat="false" ht="15" hidden="false" customHeight="false" outlineLevel="0" collapsed="false">
      <c r="A12" s="3" t="s">
        <v>366</v>
      </c>
      <c r="B12" s="20" t="n">
        <f aca="false">B5*0.01</f>
        <v>1.453696</v>
      </c>
      <c r="C12" s="3" t="s">
        <v>364</v>
      </c>
    </row>
    <row r="13" customFormat="false" ht="15" hidden="false" customHeight="false" outlineLevel="0" collapsed="false">
      <c r="A13" s="3" t="s">
        <v>367</v>
      </c>
      <c r="B13" s="20" t="n">
        <f aca="false">B12*B9</f>
        <v>1.090272</v>
      </c>
      <c r="C13" s="3" t="s">
        <v>364</v>
      </c>
    </row>
    <row r="16" customFormat="false" ht="15" hidden="false" customHeight="false" outlineLevel="0" collapsed="false">
      <c r="A16" s="5" t="s">
        <v>368</v>
      </c>
    </row>
    <row r="17" customFormat="false" ht="15" hidden="false" customHeight="false" outlineLevel="0" collapsed="false">
      <c r="A17" s="31" t="s">
        <v>369</v>
      </c>
      <c r="B17" s="32" t="n">
        <f aca="false">$B$7+(-0.04)</f>
        <v>0.0694499999999999</v>
      </c>
      <c r="C17" s="32" t="n">
        <f aca="false">$B$7+(-0.02)</f>
        <v>0.0894499999999999</v>
      </c>
      <c r="D17" s="32" t="n">
        <f aca="false">$B$7+(0)</f>
        <v>0.10945</v>
      </c>
      <c r="E17" s="32" t="n">
        <f aca="false">$B$7+(0.02)</f>
        <v>0.12945</v>
      </c>
      <c r="F17" s="32" t="n">
        <f aca="false">$B$7+(0.04)</f>
        <v>0.14945</v>
      </c>
    </row>
    <row r="18" customFormat="false" ht="15" hidden="false" customHeight="false" outlineLevel="0" collapsed="false">
      <c r="A18" s="12" t="n">
        <v>0.84</v>
      </c>
      <c r="B18" s="20" t="n">
        <f aca="false">$B$5*($A18+B$17)+$B$8</f>
        <v>150.43478272</v>
      </c>
      <c r="C18" s="20" t="n">
        <f aca="false">$B$5*($A18+C$17)+$B$8</f>
        <v>153.34217472</v>
      </c>
      <c r="D18" s="20" t="n">
        <f aca="false">$B$5*($A18+D$17)+$B$8</f>
        <v>156.24956672</v>
      </c>
      <c r="E18" s="20" t="n">
        <f aca="false">$B$5*($A18+E$17)+$B$8</f>
        <v>159.15695872</v>
      </c>
      <c r="F18" s="20" t="n">
        <f aca="false">$B$5*($A18+F$17)+$B$8</f>
        <v>162.06435072</v>
      </c>
    </row>
    <row r="19" customFormat="false" ht="15" hidden="false" customHeight="false" outlineLevel="0" collapsed="false">
      <c r="A19" s="15" t="n">
        <v>0.86</v>
      </c>
      <c r="B19" s="20" t="n">
        <f aca="false">$B$5*($A19+B$17)+$B$8</f>
        <v>153.34217472</v>
      </c>
      <c r="C19" s="20" t="n">
        <f aca="false">$B$5*($A19+C$17)+$B$8</f>
        <v>156.24956672</v>
      </c>
      <c r="D19" s="20" t="n">
        <f aca="false">$B$5*($A19+D$17)+$B$8</f>
        <v>159.15695872</v>
      </c>
      <c r="E19" s="20" t="n">
        <f aca="false">$B$5*($A19+E$17)+$B$8</f>
        <v>162.06435072</v>
      </c>
      <c r="F19" s="20" t="n">
        <f aca="false">$B$5*($A19+F$17)+$B$8</f>
        <v>164.97174272</v>
      </c>
    </row>
    <row r="20" customFormat="false" ht="15" hidden="false" customHeight="false" outlineLevel="0" collapsed="false">
      <c r="A20" s="15" t="n">
        <v>0.88</v>
      </c>
      <c r="B20" s="20" t="n">
        <f aca="false">$B$5*($A20+B$17)+$B$8</f>
        <v>156.24956672</v>
      </c>
      <c r="C20" s="20" t="n">
        <f aca="false">$B$5*($A20+C$17)+$B$8</f>
        <v>159.15695872</v>
      </c>
      <c r="D20" s="20" t="n">
        <f aca="false">$B$5*($A20+D$17)+$B$8</f>
        <v>162.06435072</v>
      </c>
      <c r="E20" s="20" t="n">
        <f aca="false">$B$5*($A20+E$17)+$B$8</f>
        <v>164.97174272</v>
      </c>
      <c r="F20" s="20" t="n">
        <f aca="false">$B$5*($A20+F$17)+$B$8</f>
        <v>167.87913472</v>
      </c>
    </row>
    <row r="21" customFormat="false" ht="15" hidden="false" customHeight="false" outlineLevel="0" collapsed="false">
      <c r="A21" s="15" t="n">
        <v>0.9</v>
      </c>
      <c r="B21" s="20" t="n">
        <f aca="false">$B$5*($A21+B$17)+$B$8</f>
        <v>159.15695872</v>
      </c>
      <c r="C21" s="20" t="n">
        <f aca="false">$B$5*($A21+C$17)+$B$8</f>
        <v>162.06435072</v>
      </c>
      <c r="D21" s="20" t="n">
        <f aca="false">$B$5*($A21+D$17)+$B$8</f>
        <v>164.97174272</v>
      </c>
      <c r="E21" s="20" t="n">
        <f aca="false">$B$5*($A21+E$17)+$B$8</f>
        <v>167.87913472</v>
      </c>
      <c r="F21" s="20" t="n">
        <f aca="false">$B$5*($A21+F$17)+$B$8</f>
        <v>170.78652672</v>
      </c>
    </row>
    <row r="22" customFormat="false" ht="15" hidden="false" customHeight="false" outlineLevel="0" collapsed="false">
      <c r="A22" s="15" t="n">
        <v>0.92</v>
      </c>
      <c r="B22" s="20" t="n">
        <f aca="false">$B$5*($A22+B$17)+$B$8</f>
        <v>162.06435072</v>
      </c>
      <c r="C22" s="20" t="n">
        <f aca="false">$B$5*($A22+C$17)+$B$8</f>
        <v>164.97174272</v>
      </c>
      <c r="D22" s="20" t="n">
        <f aca="false">$B$5*($A22+D$17)+$B$8</f>
        <v>167.87913472</v>
      </c>
      <c r="E22" s="20" t="n">
        <f aca="false">$B$5*($A22+E$17)+$B$8</f>
        <v>170.78652672</v>
      </c>
      <c r="F22" s="20" t="n">
        <f aca="false">$B$5*($A22+F$17)+$B$8</f>
        <v>173.69391872</v>
      </c>
    </row>
    <row r="23" customFormat="false" ht="15" hidden="false" customHeight="false" outlineLevel="0" collapsed="false">
      <c r="A23" s="15" t="n">
        <v>0.94</v>
      </c>
      <c r="B23" s="20" t="n">
        <f aca="false">$B$5*($A23+B$17)+$B$8</f>
        <v>164.97174272</v>
      </c>
      <c r="C23" s="20" t="n">
        <f aca="false">$B$5*($A23+C$17)+$B$8</f>
        <v>167.87913472</v>
      </c>
      <c r="D23" s="20" t="n">
        <f aca="false">$B$5*($A23+D$17)+$B$8</f>
        <v>170.78652672</v>
      </c>
      <c r="E23" s="20" t="n">
        <f aca="false">$B$5*($A23+E$17)+$B$8</f>
        <v>173.69391872</v>
      </c>
      <c r="F23" s="20" t="n">
        <f aca="false">$B$5*($A23+F$17)+$B$8</f>
        <v>176.60131072</v>
      </c>
    </row>
    <row r="25" customFormat="false" ht="15" hidden="false" customHeight="false" outlineLevel="0" collapsed="false">
      <c r="A25" s="2" t="s">
        <v>370</v>
      </c>
    </row>
    <row r="27" customFormat="false" ht="15" hidden="false" customHeight="false" outlineLevel="0" collapsed="false">
      <c r="A27" s="5" t="s">
        <v>371</v>
      </c>
    </row>
    <row r="28" customFormat="false" ht="15" hidden="false" customHeight="false" outlineLevel="0" collapsed="false">
      <c r="A28" s="31" t="s">
        <v>369</v>
      </c>
      <c r="B28" s="32" t="n">
        <f aca="false">B17</f>
        <v>0.0694499999999999</v>
      </c>
      <c r="C28" s="32" t="n">
        <f aca="false">C17</f>
        <v>0.0894499999999999</v>
      </c>
      <c r="D28" s="32" t="n">
        <f aca="false">D17</f>
        <v>0.10945</v>
      </c>
      <c r="E28" s="32" t="n">
        <f aca="false">E17</f>
        <v>0.12945</v>
      </c>
      <c r="F28" s="32" t="n">
        <f aca="false">F17</f>
        <v>0.14945</v>
      </c>
    </row>
    <row r="29" customFormat="false" ht="15" hidden="false" customHeight="false" outlineLevel="0" collapsed="false">
      <c r="A29" s="17" t="n">
        <f aca="false">A18</f>
        <v>0.84</v>
      </c>
      <c r="B29" s="17" t="n">
        <f aca="false">B18/$B$5-1</f>
        <v>0.0348434797921984</v>
      </c>
      <c r="C29" s="17" t="n">
        <f aca="false">C18/$B$5-1</f>
        <v>0.0548434797921986</v>
      </c>
      <c r="D29" s="17" t="n">
        <f aca="false">D18/$B$5-1</f>
        <v>0.0748434797921984</v>
      </c>
      <c r="E29" s="17" t="n">
        <f aca="false">E18/$B$5-1</f>
        <v>0.0948434797921984</v>
      </c>
      <c r="F29" s="17" t="n">
        <f aca="false">F18/$B$5-1</f>
        <v>0.114843479792198</v>
      </c>
    </row>
    <row r="30" customFormat="false" ht="15" hidden="false" customHeight="false" outlineLevel="0" collapsed="false">
      <c r="A30" s="17" t="n">
        <f aca="false">A19</f>
        <v>0.86</v>
      </c>
      <c r="B30" s="17" t="n">
        <f aca="false">B19/$B$5-1</f>
        <v>0.0548434797921986</v>
      </c>
      <c r="C30" s="17" t="n">
        <f aca="false">C19/$B$5-1</f>
        <v>0.0748434797921984</v>
      </c>
      <c r="D30" s="17" t="n">
        <f aca="false">D19/$B$5-1</f>
        <v>0.0948434797921984</v>
      </c>
      <c r="E30" s="17" t="n">
        <f aca="false">E19/$B$5-1</f>
        <v>0.114843479792198</v>
      </c>
      <c r="F30" s="17" t="n">
        <f aca="false">F19/$B$5-1</f>
        <v>0.134843479792198</v>
      </c>
    </row>
    <row r="31" customFormat="false" ht="15" hidden="false" customHeight="false" outlineLevel="0" collapsed="false">
      <c r="A31" s="17" t="n">
        <f aca="false">A20</f>
        <v>0.88</v>
      </c>
      <c r="B31" s="17" t="n">
        <f aca="false">B20/$B$5-1</f>
        <v>0.0748434797921984</v>
      </c>
      <c r="C31" s="17" t="n">
        <f aca="false">C20/$B$5-1</f>
        <v>0.0948434797921984</v>
      </c>
      <c r="D31" s="17" t="n">
        <f aca="false">D20/$B$5-1</f>
        <v>0.114843479792198</v>
      </c>
      <c r="E31" s="17" t="n">
        <f aca="false">E20/$B$5-1</f>
        <v>0.134843479792198</v>
      </c>
      <c r="F31" s="17" t="n">
        <f aca="false">F20/$B$5-1</f>
        <v>0.154843479792199</v>
      </c>
    </row>
    <row r="32" customFormat="false" ht="15" hidden="false" customHeight="false" outlineLevel="0" collapsed="false">
      <c r="A32" s="17" t="n">
        <f aca="false">A21</f>
        <v>0.9</v>
      </c>
      <c r="B32" s="17" t="n">
        <f aca="false">B21/$B$5-1</f>
        <v>0.0948434797921984</v>
      </c>
      <c r="C32" s="17" t="n">
        <f aca="false">C21/$B$5-1</f>
        <v>0.114843479792198</v>
      </c>
      <c r="D32" s="17" t="n">
        <f aca="false">D21/$B$5-1</f>
        <v>0.134843479792198</v>
      </c>
      <c r="E32" s="17" t="n">
        <f aca="false">E21/$B$5-1</f>
        <v>0.154843479792199</v>
      </c>
      <c r="F32" s="17" t="n">
        <f aca="false">F21/$B$5-1</f>
        <v>0.174843479792199</v>
      </c>
    </row>
    <row r="33" customFormat="false" ht="15" hidden="false" customHeight="false" outlineLevel="0" collapsed="false">
      <c r="A33" s="17" t="n">
        <f aca="false">A22</f>
        <v>0.92</v>
      </c>
      <c r="B33" s="17" t="n">
        <f aca="false">B22/$B$5-1</f>
        <v>0.114843479792198</v>
      </c>
      <c r="C33" s="17" t="n">
        <f aca="false">C22/$B$5-1</f>
        <v>0.134843479792198</v>
      </c>
      <c r="D33" s="17" t="n">
        <f aca="false">D22/$B$5-1</f>
        <v>0.154843479792199</v>
      </c>
      <c r="E33" s="17" t="n">
        <f aca="false">E22/$B$5-1</f>
        <v>0.174843479792199</v>
      </c>
      <c r="F33" s="17" t="n">
        <f aca="false">F22/$B$5-1</f>
        <v>0.194843479792199</v>
      </c>
    </row>
    <row r="34" customFormat="false" ht="15" hidden="false" customHeight="false" outlineLevel="0" collapsed="false">
      <c r="A34" s="17" t="n">
        <f aca="false">A23</f>
        <v>0.94</v>
      </c>
      <c r="B34" s="17" t="n">
        <f aca="false">B23/$B$5-1</f>
        <v>0.134843479792198</v>
      </c>
      <c r="C34" s="17" t="n">
        <f aca="false">C23/$B$5-1</f>
        <v>0.154843479792199</v>
      </c>
      <c r="D34" s="17" t="n">
        <f aca="false">D23/$B$5-1</f>
        <v>0.174843479792198</v>
      </c>
      <c r="E34" s="17" t="n">
        <f aca="false">E23/$B$5-1</f>
        <v>0.194843479792199</v>
      </c>
      <c r="F34" s="17" t="n">
        <f aca="false">F23/$B$5-1</f>
        <v>0.214843479792198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50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2"/>
    <col collapsed="false" customWidth="true" hidden="false" outlineLevel="0" max="3" min="3" style="0" width="14"/>
    <col collapsed="false" customWidth="true" hidden="false" outlineLevel="0" max="4" min="4" style="0" width="11"/>
    <col collapsed="false" customWidth="true" hidden="false" outlineLevel="0" max="7" min="5" style="0" width="9"/>
    <col collapsed="false" customWidth="true" hidden="false" outlineLevel="0" max="8" min="8" style="0" width="10"/>
    <col collapsed="false" customWidth="true" hidden="false" outlineLevel="0" max="10" min="9" style="0" width="13"/>
  </cols>
  <sheetData>
    <row r="1" customFormat="false" ht="16.15" hidden="false" customHeight="false" outlineLevel="0" collapsed="false">
      <c r="A1" s="1" t="s">
        <v>372</v>
      </c>
    </row>
    <row r="2" customFormat="false" ht="15" hidden="false" customHeight="false" outlineLevel="0" collapsed="false">
      <c r="A2" s="2" t="s">
        <v>373</v>
      </c>
    </row>
    <row r="4" customFormat="false" ht="23.85" hidden="false" customHeight="false" outlineLevel="0" collapsed="false">
      <c r="A4" s="6" t="s">
        <v>285</v>
      </c>
      <c r="B4" s="7" t="s">
        <v>277</v>
      </c>
      <c r="C4" s="7" t="s">
        <v>286</v>
      </c>
      <c r="D4" s="7" t="s">
        <v>374</v>
      </c>
      <c r="E4" s="7" t="s">
        <v>375</v>
      </c>
      <c r="F4" s="7" t="s">
        <v>376</v>
      </c>
      <c r="G4" s="7" t="s">
        <v>289</v>
      </c>
      <c r="H4" s="7" t="s">
        <v>288</v>
      </c>
      <c r="I4" s="7" t="s">
        <v>377</v>
      </c>
      <c r="J4" s="7" t="s">
        <v>378</v>
      </c>
    </row>
    <row r="5" customFormat="false" ht="15" hidden="false" customHeight="false" outlineLevel="0" collapsed="false">
      <c r="A5" s="3" t="s">
        <v>379</v>
      </c>
      <c r="B5" s="3" t="s">
        <v>281</v>
      </c>
      <c r="C5" s="3" t="s">
        <v>380</v>
      </c>
      <c r="D5" s="3" t="s">
        <v>381</v>
      </c>
      <c r="E5" s="3" t="s">
        <v>382</v>
      </c>
      <c r="F5" s="16" t="n">
        <v>24</v>
      </c>
      <c r="G5" s="15" t="n">
        <v>0</v>
      </c>
      <c r="H5" s="16" t="n">
        <v>14</v>
      </c>
      <c r="I5" s="33" t="n">
        <v>833996.52</v>
      </c>
      <c r="J5" s="33" t="n">
        <v>833996.52</v>
      </c>
    </row>
    <row r="6" customFormat="false" ht="15" hidden="false" customHeight="false" outlineLevel="0" collapsed="false">
      <c r="A6" s="3" t="s">
        <v>383</v>
      </c>
      <c r="B6" s="3" t="s">
        <v>281</v>
      </c>
      <c r="C6" s="3" t="s">
        <v>384</v>
      </c>
      <c r="D6" s="3" t="s">
        <v>381</v>
      </c>
      <c r="E6" s="3" t="s">
        <v>385</v>
      </c>
      <c r="F6" s="16" t="n">
        <v>12</v>
      </c>
      <c r="G6" s="15" t="n">
        <v>0</v>
      </c>
      <c r="H6" s="16" t="n">
        <v>8</v>
      </c>
      <c r="I6" s="33" t="n">
        <v>541124.64</v>
      </c>
      <c r="J6" s="33" t="n">
        <v>541124.64</v>
      </c>
    </row>
    <row r="7" customFormat="false" ht="15" hidden="false" customHeight="false" outlineLevel="0" collapsed="false">
      <c r="A7" s="3" t="s">
        <v>386</v>
      </c>
      <c r="B7" s="3" t="s">
        <v>281</v>
      </c>
      <c r="C7" s="3" t="s">
        <v>387</v>
      </c>
      <c r="D7" s="3" t="s">
        <v>388</v>
      </c>
      <c r="E7" s="3" t="s">
        <v>382</v>
      </c>
      <c r="F7" s="16" t="n">
        <v>24</v>
      </c>
      <c r="G7" s="15" t="n">
        <v>0.25</v>
      </c>
      <c r="H7" s="16" t="n">
        <v>20</v>
      </c>
      <c r="I7" s="33" t="n">
        <v>521289.24</v>
      </c>
      <c r="J7" s="33" t="n">
        <v>695052.24</v>
      </c>
    </row>
    <row r="8" customFormat="false" ht="15" hidden="false" customHeight="false" outlineLevel="0" collapsed="false">
      <c r="A8" s="3" t="s">
        <v>389</v>
      </c>
      <c r="B8" s="3" t="s">
        <v>281</v>
      </c>
      <c r="C8" s="3" t="s">
        <v>380</v>
      </c>
      <c r="D8" s="3" t="s">
        <v>381</v>
      </c>
      <c r="E8" s="3" t="s">
        <v>385</v>
      </c>
      <c r="F8" s="16" t="n">
        <v>12</v>
      </c>
      <c r="G8" s="15" t="n">
        <v>0.05</v>
      </c>
      <c r="H8" s="16" t="n">
        <v>12</v>
      </c>
      <c r="I8" s="33" t="n">
        <v>510670.56</v>
      </c>
      <c r="J8" s="33" t="n">
        <v>537548.04</v>
      </c>
    </row>
    <row r="9" customFormat="false" ht="15" hidden="false" customHeight="false" outlineLevel="0" collapsed="false">
      <c r="A9" s="3" t="s">
        <v>390</v>
      </c>
      <c r="B9" s="3" t="s">
        <v>281</v>
      </c>
      <c r="C9" s="3" t="s">
        <v>391</v>
      </c>
      <c r="D9" s="3" t="s">
        <v>392</v>
      </c>
      <c r="E9" s="3" t="s">
        <v>382</v>
      </c>
      <c r="F9" s="16" t="n">
        <v>24</v>
      </c>
      <c r="G9" s="15" t="n">
        <v>0</v>
      </c>
      <c r="H9" s="16" t="n">
        <v>18</v>
      </c>
      <c r="I9" s="33" t="n">
        <v>503840.88</v>
      </c>
      <c r="J9" s="33" t="n">
        <v>503840.88</v>
      </c>
    </row>
    <row r="10" customFormat="false" ht="15" hidden="false" customHeight="false" outlineLevel="0" collapsed="false">
      <c r="A10" s="3" t="s">
        <v>393</v>
      </c>
      <c r="B10" s="3" t="s">
        <v>281</v>
      </c>
      <c r="C10" s="3" t="s">
        <v>380</v>
      </c>
      <c r="D10" s="3" t="s">
        <v>392</v>
      </c>
      <c r="E10" s="3" t="s">
        <v>385</v>
      </c>
      <c r="F10" s="16" t="n">
        <v>12</v>
      </c>
      <c r="G10" s="15" t="n">
        <v>0</v>
      </c>
      <c r="H10" s="16" t="n">
        <v>1</v>
      </c>
      <c r="I10" s="33" t="n">
        <v>499972.92</v>
      </c>
      <c r="J10" s="33" t="n">
        <v>499972.92</v>
      </c>
    </row>
    <row r="11" customFormat="false" ht="15" hidden="false" customHeight="false" outlineLevel="0" collapsed="false">
      <c r="A11" s="3" t="s">
        <v>394</v>
      </c>
      <c r="B11" s="3" t="s">
        <v>281</v>
      </c>
      <c r="C11" s="3" t="s">
        <v>384</v>
      </c>
      <c r="D11" s="3" t="s">
        <v>381</v>
      </c>
      <c r="E11" s="3" t="s">
        <v>385</v>
      </c>
      <c r="F11" s="16" t="n">
        <v>24</v>
      </c>
      <c r="G11" s="15" t="n">
        <v>0</v>
      </c>
      <c r="H11" s="16" t="n">
        <v>19</v>
      </c>
      <c r="I11" s="33" t="n">
        <v>491146.08</v>
      </c>
      <c r="J11" s="33" t="n">
        <v>491146.08</v>
      </c>
    </row>
    <row r="12" customFormat="false" ht="15" hidden="false" customHeight="false" outlineLevel="0" collapsed="false">
      <c r="A12" s="3" t="s">
        <v>395</v>
      </c>
      <c r="B12" s="3" t="s">
        <v>281</v>
      </c>
      <c r="C12" s="3" t="s">
        <v>396</v>
      </c>
      <c r="D12" s="3" t="s">
        <v>381</v>
      </c>
      <c r="E12" s="3" t="s">
        <v>382</v>
      </c>
      <c r="F12" s="16" t="n">
        <v>24</v>
      </c>
      <c r="G12" s="15" t="n">
        <v>0</v>
      </c>
      <c r="H12" s="16" t="n">
        <v>6</v>
      </c>
      <c r="I12" s="33" t="n">
        <v>436212</v>
      </c>
      <c r="J12" s="33" t="n">
        <v>436212</v>
      </c>
    </row>
    <row r="13" customFormat="false" ht="15" hidden="false" customHeight="false" outlineLevel="0" collapsed="false">
      <c r="A13" s="3" t="s">
        <v>397</v>
      </c>
      <c r="B13" s="3" t="s">
        <v>281</v>
      </c>
      <c r="C13" s="3" t="s">
        <v>387</v>
      </c>
      <c r="D13" s="3" t="s">
        <v>381</v>
      </c>
      <c r="E13" s="3" t="s">
        <v>398</v>
      </c>
      <c r="F13" s="16" t="n">
        <v>12</v>
      </c>
      <c r="G13" s="15" t="n">
        <v>0</v>
      </c>
      <c r="H13" s="16" t="n">
        <v>4</v>
      </c>
      <c r="I13" s="33" t="n">
        <v>428389.92</v>
      </c>
      <c r="J13" s="33" t="n">
        <v>428389.92</v>
      </c>
    </row>
    <row r="14" customFormat="false" ht="15" hidden="false" customHeight="false" outlineLevel="0" collapsed="false">
      <c r="A14" s="3" t="s">
        <v>399</v>
      </c>
      <c r="B14" s="3" t="s">
        <v>281</v>
      </c>
      <c r="C14" s="3" t="s">
        <v>384</v>
      </c>
      <c r="D14" s="3" t="s">
        <v>381</v>
      </c>
      <c r="E14" s="3" t="s">
        <v>385</v>
      </c>
      <c r="F14" s="16" t="n">
        <v>12</v>
      </c>
      <c r="G14" s="15" t="n">
        <v>0</v>
      </c>
      <c r="H14" s="16" t="n">
        <v>4</v>
      </c>
      <c r="I14" s="33" t="n">
        <v>418928.52</v>
      </c>
      <c r="J14" s="33" t="n">
        <v>418928.52</v>
      </c>
    </row>
    <row r="15" customFormat="false" ht="15" hidden="false" customHeight="false" outlineLevel="0" collapsed="false">
      <c r="A15" s="3" t="s">
        <v>400</v>
      </c>
      <c r="B15" s="3" t="s">
        <v>281</v>
      </c>
      <c r="C15" s="3" t="s">
        <v>401</v>
      </c>
      <c r="D15" s="3" t="s">
        <v>392</v>
      </c>
      <c r="E15" s="3" t="s">
        <v>398</v>
      </c>
      <c r="F15" s="16" t="n">
        <v>24</v>
      </c>
      <c r="G15" s="15" t="n">
        <v>0</v>
      </c>
      <c r="H15" s="16" t="n">
        <v>21</v>
      </c>
      <c r="I15" s="33" t="n">
        <v>409185.96</v>
      </c>
      <c r="J15" s="33" t="n">
        <v>409185.96</v>
      </c>
    </row>
    <row r="16" customFormat="false" ht="15" hidden="false" customHeight="false" outlineLevel="0" collapsed="false">
      <c r="A16" s="3" t="s">
        <v>402</v>
      </c>
      <c r="B16" s="3" t="s">
        <v>281</v>
      </c>
      <c r="C16" s="3" t="s">
        <v>403</v>
      </c>
      <c r="D16" s="3" t="s">
        <v>392</v>
      </c>
      <c r="E16" s="3" t="s">
        <v>382</v>
      </c>
      <c r="F16" s="16" t="n">
        <v>12</v>
      </c>
      <c r="G16" s="15" t="n">
        <v>0</v>
      </c>
      <c r="H16" s="16" t="n">
        <v>3</v>
      </c>
      <c r="I16" s="33" t="n">
        <v>407590.8</v>
      </c>
      <c r="J16" s="33" t="n">
        <v>407590.8</v>
      </c>
    </row>
    <row r="17" customFormat="false" ht="15" hidden="false" customHeight="false" outlineLevel="0" collapsed="false">
      <c r="A17" s="3" t="s">
        <v>404</v>
      </c>
      <c r="B17" s="3" t="s">
        <v>281</v>
      </c>
      <c r="C17" s="3" t="s">
        <v>405</v>
      </c>
      <c r="D17" s="3" t="s">
        <v>381</v>
      </c>
      <c r="E17" s="3" t="s">
        <v>398</v>
      </c>
      <c r="F17" s="16" t="n">
        <v>12</v>
      </c>
      <c r="G17" s="15" t="n">
        <v>0</v>
      </c>
      <c r="H17" s="16" t="n">
        <v>8</v>
      </c>
      <c r="I17" s="33" t="n">
        <v>382728.84</v>
      </c>
      <c r="J17" s="33" t="n">
        <v>382728.84</v>
      </c>
    </row>
    <row r="18" customFormat="false" ht="15" hidden="false" customHeight="false" outlineLevel="0" collapsed="false">
      <c r="A18" s="3" t="s">
        <v>406</v>
      </c>
      <c r="B18" s="3" t="s">
        <v>281</v>
      </c>
      <c r="C18" s="3" t="s">
        <v>380</v>
      </c>
      <c r="D18" s="3" t="s">
        <v>388</v>
      </c>
      <c r="E18" s="3" t="s">
        <v>382</v>
      </c>
      <c r="F18" s="16" t="n">
        <v>12</v>
      </c>
      <c r="G18" s="15" t="n">
        <v>0.2</v>
      </c>
      <c r="H18" s="16" t="n">
        <v>3</v>
      </c>
      <c r="I18" s="33" t="n">
        <v>362306.4</v>
      </c>
      <c r="J18" s="33" t="n">
        <v>452883</v>
      </c>
    </row>
    <row r="19" customFormat="false" ht="15" hidden="false" customHeight="false" outlineLevel="0" collapsed="false">
      <c r="A19" s="3" t="s">
        <v>407</v>
      </c>
      <c r="B19" s="3" t="s">
        <v>281</v>
      </c>
      <c r="C19" s="3" t="s">
        <v>384</v>
      </c>
      <c r="D19" s="3" t="s">
        <v>381</v>
      </c>
      <c r="E19" s="3" t="s">
        <v>382</v>
      </c>
      <c r="F19" s="16" t="n">
        <v>36</v>
      </c>
      <c r="G19" s="15" t="n">
        <v>0</v>
      </c>
      <c r="H19" s="16" t="n">
        <v>8</v>
      </c>
      <c r="I19" s="33" t="n">
        <v>360412.68</v>
      </c>
      <c r="J19" s="33" t="n">
        <v>360412.68</v>
      </c>
    </row>
    <row r="20" customFormat="false" ht="15" hidden="false" customHeight="false" outlineLevel="0" collapsed="false">
      <c r="A20" s="3" t="s">
        <v>408</v>
      </c>
      <c r="B20" s="3" t="s">
        <v>281</v>
      </c>
      <c r="C20" s="3" t="s">
        <v>396</v>
      </c>
      <c r="D20" s="3" t="s">
        <v>381</v>
      </c>
      <c r="E20" s="3" t="s">
        <v>385</v>
      </c>
      <c r="F20" s="16" t="n">
        <v>12</v>
      </c>
      <c r="G20" s="15" t="n">
        <v>0.25</v>
      </c>
      <c r="H20" s="16" t="n">
        <v>11</v>
      </c>
      <c r="I20" s="33" t="n">
        <v>360282.36</v>
      </c>
      <c r="J20" s="33" t="n">
        <v>480376.56</v>
      </c>
    </row>
    <row r="21" customFormat="false" ht="15" hidden="false" customHeight="false" outlineLevel="0" collapsed="false">
      <c r="A21" s="3" t="s">
        <v>409</v>
      </c>
      <c r="B21" s="3" t="s">
        <v>281</v>
      </c>
      <c r="C21" s="3" t="s">
        <v>401</v>
      </c>
      <c r="D21" s="3" t="s">
        <v>381</v>
      </c>
      <c r="E21" s="3" t="s">
        <v>382</v>
      </c>
      <c r="F21" s="16" t="n">
        <v>12</v>
      </c>
      <c r="G21" s="15" t="n">
        <v>0.1</v>
      </c>
      <c r="H21" s="16" t="n">
        <v>1</v>
      </c>
      <c r="I21" s="33" t="n">
        <v>351132.36</v>
      </c>
      <c r="J21" s="33" t="n">
        <v>390147.12</v>
      </c>
    </row>
    <row r="22" customFormat="false" ht="15" hidden="false" customHeight="false" outlineLevel="0" collapsed="false">
      <c r="A22" s="3" t="s">
        <v>410</v>
      </c>
      <c r="B22" s="3" t="s">
        <v>281</v>
      </c>
      <c r="C22" s="3" t="s">
        <v>403</v>
      </c>
      <c r="D22" s="3" t="s">
        <v>381</v>
      </c>
      <c r="E22" s="3" t="s">
        <v>382</v>
      </c>
      <c r="F22" s="16" t="n">
        <v>36</v>
      </c>
      <c r="G22" s="15" t="n">
        <v>0</v>
      </c>
      <c r="H22" s="16" t="n">
        <v>11</v>
      </c>
      <c r="I22" s="33" t="n">
        <v>346382.04</v>
      </c>
      <c r="J22" s="33" t="n">
        <v>346382.04</v>
      </c>
    </row>
    <row r="23" customFormat="false" ht="15" hidden="false" customHeight="false" outlineLevel="0" collapsed="false">
      <c r="A23" s="3" t="s">
        <v>411</v>
      </c>
      <c r="B23" s="3" t="s">
        <v>281</v>
      </c>
      <c r="C23" s="3" t="s">
        <v>384</v>
      </c>
      <c r="D23" s="3" t="s">
        <v>381</v>
      </c>
      <c r="E23" s="3" t="s">
        <v>398</v>
      </c>
      <c r="F23" s="16" t="n">
        <v>12</v>
      </c>
      <c r="G23" s="15" t="n">
        <v>0.15</v>
      </c>
      <c r="H23" s="16" t="n">
        <v>3</v>
      </c>
      <c r="I23" s="33" t="n">
        <v>346142.64</v>
      </c>
      <c r="J23" s="33" t="n">
        <v>407226.6</v>
      </c>
    </row>
    <row r="24" customFormat="false" ht="15" hidden="false" customHeight="false" outlineLevel="0" collapsed="false">
      <c r="A24" s="3" t="s">
        <v>412</v>
      </c>
      <c r="B24" s="3" t="s">
        <v>281</v>
      </c>
      <c r="C24" s="3" t="s">
        <v>405</v>
      </c>
      <c r="D24" s="3" t="s">
        <v>392</v>
      </c>
      <c r="E24" s="3" t="s">
        <v>382</v>
      </c>
      <c r="F24" s="16" t="n">
        <v>36</v>
      </c>
      <c r="G24" s="15" t="n">
        <v>0</v>
      </c>
      <c r="H24" s="16" t="n">
        <v>24</v>
      </c>
      <c r="I24" s="33" t="n">
        <v>339431.04</v>
      </c>
      <c r="J24" s="33" t="n">
        <v>339431.04</v>
      </c>
    </row>
    <row r="25" customFormat="false" ht="15" hidden="false" customHeight="false" outlineLevel="0" collapsed="false">
      <c r="A25" s="3" t="s">
        <v>413</v>
      </c>
      <c r="B25" s="3" t="s">
        <v>281</v>
      </c>
      <c r="C25" s="3" t="s">
        <v>384</v>
      </c>
      <c r="D25" s="3" t="s">
        <v>388</v>
      </c>
      <c r="E25" s="3" t="s">
        <v>385</v>
      </c>
      <c r="F25" s="16" t="n">
        <v>12</v>
      </c>
      <c r="G25" s="15" t="n">
        <v>0.25</v>
      </c>
      <c r="H25" s="16" t="n">
        <v>9</v>
      </c>
      <c r="I25" s="33" t="n">
        <v>337711.56</v>
      </c>
      <c r="J25" s="33" t="n">
        <v>450282.12</v>
      </c>
    </row>
    <row r="26" customFormat="false" ht="15" hidden="false" customHeight="false" outlineLevel="0" collapsed="false">
      <c r="A26" s="3" t="s">
        <v>414</v>
      </c>
      <c r="B26" s="3" t="s">
        <v>281</v>
      </c>
      <c r="C26" s="3" t="s">
        <v>401</v>
      </c>
      <c r="D26" s="3" t="s">
        <v>381</v>
      </c>
      <c r="E26" s="3" t="s">
        <v>382</v>
      </c>
      <c r="F26" s="16" t="n">
        <v>24</v>
      </c>
      <c r="G26" s="15" t="n">
        <v>0</v>
      </c>
      <c r="H26" s="16" t="n">
        <v>23</v>
      </c>
      <c r="I26" s="33" t="n">
        <v>335663.52</v>
      </c>
      <c r="J26" s="33" t="n">
        <v>335663.52</v>
      </c>
    </row>
    <row r="27" customFormat="false" ht="15" hidden="false" customHeight="false" outlineLevel="0" collapsed="false">
      <c r="A27" s="3" t="s">
        <v>415</v>
      </c>
      <c r="B27" s="3" t="s">
        <v>281</v>
      </c>
      <c r="C27" s="3" t="s">
        <v>403</v>
      </c>
      <c r="D27" s="3" t="s">
        <v>392</v>
      </c>
      <c r="E27" s="3" t="s">
        <v>398</v>
      </c>
      <c r="F27" s="16" t="n">
        <v>24</v>
      </c>
      <c r="G27" s="15" t="n">
        <v>0</v>
      </c>
      <c r="H27" s="16" t="n">
        <v>11</v>
      </c>
      <c r="I27" s="33" t="n">
        <v>332705.04</v>
      </c>
      <c r="J27" s="33" t="n">
        <v>332705.04</v>
      </c>
    </row>
    <row r="28" customFormat="false" ht="15" hidden="false" customHeight="false" outlineLevel="0" collapsed="false">
      <c r="A28" s="3" t="s">
        <v>416</v>
      </c>
      <c r="B28" s="3" t="s">
        <v>281</v>
      </c>
      <c r="C28" s="3" t="s">
        <v>384</v>
      </c>
      <c r="D28" s="3" t="s">
        <v>381</v>
      </c>
      <c r="E28" s="3" t="s">
        <v>385</v>
      </c>
      <c r="F28" s="16" t="n">
        <v>12</v>
      </c>
      <c r="G28" s="15" t="n">
        <v>0</v>
      </c>
      <c r="H28" s="16" t="n">
        <v>12</v>
      </c>
      <c r="I28" s="33" t="n">
        <v>330352.32</v>
      </c>
      <c r="J28" s="33" t="n">
        <v>330352.32</v>
      </c>
    </row>
    <row r="29" customFormat="false" ht="15" hidden="false" customHeight="false" outlineLevel="0" collapsed="false">
      <c r="A29" s="3" t="s">
        <v>417</v>
      </c>
      <c r="B29" s="3" t="s">
        <v>281</v>
      </c>
      <c r="C29" s="3" t="s">
        <v>405</v>
      </c>
      <c r="D29" s="3" t="s">
        <v>418</v>
      </c>
      <c r="E29" s="3" t="s">
        <v>385</v>
      </c>
      <c r="F29" s="16" t="n">
        <v>12</v>
      </c>
      <c r="G29" s="15" t="n">
        <v>0</v>
      </c>
      <c r="H29" s="16" t="n">
        <v>9</v>
      </c>
      <c r="I29" s="33" t="n">
        <v>327656.64</v>
      </c>
      <c r="J29" s="33" t="n">
        <v>327656.64</v>
      </c>
    </row>
    <row r="30" customFormat="false" ht="15" hidden="false" customHeight="false" outlineLevel="0" collapsed="false">
      <c r="A30" s="3" t="s">
        <v>419</v>
      </c>
      <c r="B30" s="3" t="s">
        <v>281</v>
      </c>
      <c r="C30" s="3" t="s">
        <v>403</v>
      </c>
      <c r="D30" s="3" t="s">
        <v>381</v>
      </c>
      <c r="E30" s="3" t="s">
        <v>385</v>
      </c>
      <c r="F30" s="16" t="n">
        <v>12</v>
      </c>
      <c r="G30" s="15" t="n">
        <v>0</v>
      </c>
      <c r="H30" s="16" t="n">
        <v>10</v>
      </c>
      <c r="I30" s="33" t="n">
        <v>324441.36</v>
      </c>
      <c r="J30" s="33" t="n">
        <v>324441.36</v>
      </c>
    </row>
    <row r="31" customFormat="false" ht="15" hidden="false" customHeight="false" outlineLevel="0" collapsed="false">
      <c r="A31" s="3" t="s">
        <v>420</v>
      </c>
      <c r="B31" s="3" t="s">
        <v>281</v>
      </c>
      <c r="C31" s="3" t="s">
        <v>401</v>
      </c>
      <c r="D31" s="3" t="s">
        <v>392</v>
      </c>
      <c r="E31" s="3" t="s">
        <v>398</v>
      </c>
      <c r="F31" s="16" t="n">
        <v>12</v>
      </c>
      <c r="G31" s="15" t="n">
        <v>0</v>
      </c>
      <c r="H31" s="16" t="n">
        <v>1</v>
      </c>
      <c r="I31" s="33" t="n">
        <v>323274</v>
      </c>
      <c r="J31" s="33" t="n">
        <v>323274</v>
      </c>
    </row>
    <row r="32" customFormat="false" ht="15" hidden="false" customHeight="false" outlineLevel="0" collapsed="false">
      <c r="A32" s="3" t="s">
        <v>421</v>
      </c>
      <c r="B32" s="3" t="s">
        <v>281</v>
      </c>
      <c r="C32" s="3" t="s">
        <v>387</v>
      </c>
      <c r="D32" s="3" t="s">
        <v>392</v>
      </c>
      <c r="E32" s="3" t="s">
        <v>385</v>
      </c>
      <c r="F32" s="16" t="n">
        <v>24</v>
      </c>
      <c r="G32" s="15" t="n">
        <v>0.15</v>
      </c>
      <c r="H32" s="16" t="n">
        <v>20</v>
      </c>
      <c r="I32" s="33" t="n">
        <v>321404.64</v>
      </c>
      <c r="J32" s="33" t="n">
        <v>378123</v>
      </c>
    </row>
    <row r="33" customFormat="false" ht="15" hidden="false" customHeight="false" outlineLevel="0" collapsed="false">
      <c r="A33" s="3" t="s">
        <v>422</v>
      </c>
      <c r="B33" s="3" t="s">
        <v>281</v>
      </c>
      <c r="C33" s="3" t="s">
        <v>401</v>
      </c>
      <c r="D33" s="3" t="s">
        <v>381</v>
      </c>
      <c r="E33" s="3" t="s">
        <v>385</v>
      </c>
      <c r="F33" s="16" t="n">
        <v>36</v>
      </c>
      <c r="G33" s="15" t="n">
        <v>0</v>
      </c>
      <c r="H33" s="16" t="n">
        <v>36</v>
      </c>
      <c r="I33" s="33" t="n">
        <v>318606.72</v>
      </c>
      <c r="J33" s="33" t="n">
        <v>318606.72</v>
      </c>
    </row>
    <row r="34" customFormat="false" ht="15" hidden="false" customHeight="false" outlineLevel="0" collapsed="false">
      <c r="A34" s="3" t="s">
        <v>423</v>
      </c>
      <c r="B34" s="3" t="s">
        <v>281</v>
      </c>
      <c r="C34" s="3" t="s">
        <v>396</v>
      </c>
      <c r="D34" s="3" t="s">
        <v>392</v>
      </c>
      <c r="E34" s="3" t="s">
        <v>385</v>
      </c>
      <c r="F34" s="16" t="n">
        <v>24</v>
      </c>
      <c r="G34" s="15" t="n">
        <v>0</v>
      </c>
      <c r="H34" s="16" t="n">
        <v>7</v>
      </c>
      <c r="I34" s="33" t="n">
        <v>318524.52</v>
      </c>
      <c r="J34" s="33" t="n">
        <v>318524.52</v>
      </c>
    </row>
    <row r="35" customFormat="false" ht="15" hidden="false" customHeight="false" outlineLevel="0" collapsed="false">
      <c r="A35" s="3" t="s">
        <v>424</v>
      </c>
      <c r="B35" s="3" t="s">
        <v>281</v>
      </c>
      <c r="C35" s="3" t="s">
        <v>396</v>
      </c>
      <c r="D35" s="3" t="s">
        <v>392</v>
      </c>
      <c r="E35" s="3" t="s">
        <v>385</v>
      </c>
      <c r="F35" s="16" t="n">
        <v>12</v>
      </c>
      <c r="G35" s="15" t="n">
        <v>0.1</v>
      </c>
      <c r="H35" s="16" t="n">
        <v>9</v>
      </c>
      <c r="I35" s="33" t="n">
        <v>316145.76</v>
      </c>
      <c r="J35" s="33" t="n">
        <v>351273</v>
      </c>
    </row>
    <row r="36" customFormat="false" ht="15" hidden="false" customHeight="false" outlineLevel="0" collapsed="false">
      <c r="A36" s="3" t="s">
        <v>425</v>
      </c>
      <c r="B36" s="3" t="s">
        <v>281</v>
      </c>
      <c r="C36" s="3" t="s">
        <v>396</v>
      </c>
      <c r="D36" s="3" t="s">
        <v>381</v>
      </c>
      <c r="E36" s="3" t="s">
        <v>385</v>
      </c>
      <c r="F36" s="16" t="n">
        <v>12</v>
      </c>
      <c r="G36" s="15" t="n">
        <v>0</v>
      </c>
      <c r="H36" s="16" t="n">
        <v>7</v>
      </c>
      <c r="I36" s="33" t="n">
        <v>314531.4</v>
      </c>
      <c r="J36" s="33" t="n">
        <v>314531.4</v>
      </c>
    </row>
    <row r="37" customFormat="false" ht="15" hidden="false" customHeight="false" outlineLevel="0" collapsed="false">
      <c r="A37" s="3" t="s">
        <v>426</v>
      </c>
      <c r="B37" s="3" t="s">
        <v>281</v>
      </c>
      <c r="C37" s="3" t="s">
        <v>401</v>
      </c>
      <c r="D37" s="3" t="s">
        <v>381</v>
      </c>
      <c r="E37" s="3" t="s">
        <v>385</v>
      </c>
      <c r="F37" s="16" t="n">
        <v>24</v>
      </c>
      <c r="G37" s="15" t="n">
        <v>0</v>
      </c>
      <c r="H37" s="16" t="n">
        <v>3</v>
      </c>
      <c r="I37" s="33" t="n">
        <v>313899.72</v>
      </c>
      <c r="J37" s="33" t="n">
        <v>313899.72</v>
      </c>
    </row>
    <row r="38" customFormat="false" ht="15" hidden="false" customHeight="false" outlineLevel="0" collapsed="false">
      <c r="A38" s="3" t="s">
        <v>427</v>
      </c>
      <c r="B38" s="3" t="s">
        <v>281</v>
      </c>
      <c r="C38" s="3" t="s">
        <v>401</v>
      </c>
      <c r="D38" s="3" t="s">
        <v>388</v>
      </c>
      <c r="E38" s="3" t="s">
        <v>382</v>
      </c>
      <c r="F38" s="16" t="n">
        <v>24</v>
      </c>
      <c r="G38" s="15" t="n">
        <v>0</v>
      </c>
      <c r="H38" s="16" t="n">
        <v>2</v>
      </c>
      <c r="I38" s="33" t="n">
        <v>312028.56</v>
      </c>
      <c r="J38" s="33" t="n">
        <v>312028.56</v>
      </c>
    </row>
    <row r="39" customFormat="false" ht="15" hidden="false" customHeight="false" outlineLevel="0" collapsed="false">
      <c r="A39" s="3" t="s">
        <v>428</v>
      </c>
      <c r="B39" s="3" t="s">
        <v>281</v>
      </c>
      <c r="C39" s="3" t="s">
        <v>396</v>
      </c>
      <c r="D39" s="3" t="s">
        <v>388</v>
      </c>
      <c r="E39" s="3" t="s">
        <v>382</v>
      </c>
      <c r="F39" s="16" t="n">
        <v>12</v>
      </c>
      <c r="G39" s="15" t="n">
        <v>0</v>
      </c>
      <c r="H39" s="16" t="n">
        <v>4</v>
      </c>
      <c r="I39" s="33" t="n">
        <v>306621.84</v>
      </c>
      <c r="J39" s="33" t="n">
        <v>306621.84</v>
      </c>
    </row>
    <row r="40" customFormat="false" ht="15" hidden="false" customHeight="false" outlineLevel="0" collapsed="false">
      <c r="A40" s="3" t="s">
        <v>429</v>
      </c>
      <c r="B40" s="3" t="s">
        <v>281</v>
      </c>
      <c r="C40" s="3" t="s">
        <v>384</v>
      </c>
      <c r="D40" s="3" t="s">
        <v>381</v>
      </c>
      <c r="E40" s="3" t="s">
        <v>382</v>
      </c>
      <c r="F40" s="16" t="n">
        <v>12</v>
      </c>
      <c r="G40" s="15" t="n">
        <v>0</v>
      </c>
      <c r="H40" s="16" t="n">
        <v>10</v>
      </c>
      <c r="I40" s="33" t="n">
        <v>306504.6</v>
      </c>
      <c r="J40" s="33" t="n">
        <v>306504.6</v>
      </c>
    </row>
    <row r="41" customFormat="false" ht="15" hidden="false" customHeight="false" outlineLevel="0" collapsed="false">
      <c r="A41" s="3" t="s">
        <v>430</v>
      </c>
      <c r="B41" s="3" t="s">
        <v>281</v>
      </c>
      <c r="C41" s="3" t="s">
        <v>387</v>
      </c>
      <c r="D41" s="3" t="s">
        <v>381</v>
      </c>
      <c r="E41" s="3" t="s">
        <v>398</v>
      </c>
      <c r="F41" s="16" t="n">
        <v>12</v>
      </c>
      <c r="G41" s="15" t="n">
        <v>0</v>
      </c>
      <c r="H41" s="16" t="n">
        <v>6</v>
      </c>
      <c r="I41" s="33" t="n">
        <v>306284.16</v>
      </c>
      <c r="J41" s="33" t="n">
        <v>306284.16</v>
      </c>
    </row>
    <row r="42" customFormat="false" ht="15" hidden="false" customHeight="false" outlineLevel="0" collapsed="false">
      <c r="A42" s="3" t="s">
        <v>431</v>
      </c>
      <c r="B42" s="3" t="s">
        <v>281</v>
      </c>
      <c r="C42" s="3" t="s">
        <v>380</v>
      </c>
      <c r="D42" s="3" t="s">
        <v>392</v>
      </c>
      <c r="E42" s="3" t="s">
        <v>398</v>
      </c>
      <c r="F42" s="16" t="n">
        <v>12</v>
      </c>
      <c r="G42" s="15" t="n">
        <v>0</v>
      </c>
      <c r="H42" s="16" t="n">
        <v>3</v>
      </c>
      <c r="I42" s="33" t="n">
        <v>305300.76</v>
      </c>
      <c r="J42" s="33" t="n">
        <v>305300.76</v>
      </c>
    </row>
    <row r="43" customFormat="false" ht="15" hidden="false" customHeight="false" outlineLevel="0" collapsed="false">
      <c r="A43" s="3" t="s">
        <v>432</v>
      </c>
      <c r="B43" s="3" t="s">
        <v>281</v>
      </c>
      <c r="C43" s="3" t="s">
        <v>384</v>
      </c>
      <c r="D43" s="3" t="s">
        <v>381</v>
      </c>
      <c r="E43" s="3" t="s">
        <v>382</v>
      </c>
      <c r="F43" s="16" t="n">
        <v>12</v>
      </c>
      <c r="G43" s="15" t="n">
        <v>0</v>
      </c>
      <c r="H43" s="16" t="n">
        <v>5</v>
      </c>
      <c r="I43" s="33" t="n">
        <v>301305.84</v>
      </c>
      <c r="J43" s="33" t="n">
        <v>301305.84</v>
      </c>
    </row>
    <row r="44" customFormat="false" ht="15" hidden="false" customHeight="false" outlineLevel="0" collapsed="false">
      <c r="A44" s="3" t="s">
        <v>433</v>
      </c>
      <c r="B44" s="3" t="s">
        <v>281</v>
      </c>
      <c r="C44" s="3" t="s">
        <v>401</v>
      </c>
      <c r="D44" s="3" t="s">
        <v>381</v>
      </c>
      <c r="E44" s="3" t="s">
        <v>398</v>
      </c>
      <c r="F44" s="16" t="n">
        <v>12</v>
      </c>
      <c r="G44" s="15" t="n">
        <v>0</v>
      </c>
      <c r="H44" s="16" t="n">
        <v>4</v>
      </c>
      <c r="I44" s="33" t="n">
        <v>300644.52</v>
      </c>
      <c r="J44" s="33" t="n">
        <v>300644.52</v>
      </c>
    </row>
    <row r="45" customFormat="false" ht="15" hidden="false" customHeight="false" outlineLevel="0" collapsed="false">
      <c r="A45" s="3" t="s">
        <v>434</v>
      </c>
      <c r="B45" s="3" t="s">
        <v>281</v>
      </c>
      <c r="C45" s="3" t="s">
        <v>401</v>
      </c>
      <c r="D45" s="3" t="s">
        <v>381</v>
      </c>
      <c r="E45" s="3" t="s">
        <v>385</v>
      </c>
      <c r="F45" s="16" t="n">
        <v>36</v>
      </c>
      <c r="G45" s="15" t="n">
        <v>0</v>
      </c>
      <c r="H45" s="16" t="n">
        <v>35</v>
      </c>
      <c r="I45" s="33" t="n">
        <v>300558.72</v>
      </c>
      <c r="J45" s="33" t="n">
        <v>300558.72</v>
      </c>
    </row>
    <row r="46" customFormat="false" ht="15" hidden="false" customHeight="false" outlineLevel="0" collapsed="false">
      <c r="A46" s="3" t="s">
        <v>435</v>
      </c>
      <c r="B46" s="3" t="s">
        <v>281</v>
      </c>
      <c r="C46" s="3" t="s">
        <v>396</v>
      </c>
      <c r="D46" s="3" t="s">
        <v>381</v>
      </c>
      <c r="E46" s="3" t="s">
        <v>398</v>
      </c>
      <c r="F46" s="16" t="n">
        <v>24</v>
      </c>
      <c r="G46" s="15" t="n">
        <v>0</v>
      </c>
      <c r="H46" s="16" t="n">
        <v>13</v>
      </c>
      <c r="I46" s="33" t="n">
        <v>294629.88</v>
      </c>
      <c r="J46" s="33" t="n">
        <v>294629.88</v>
      </c>
    </row>
    <row r="47" customFormat="false" ht="15" hidden="false" customHeight="false" outlineLevel="0" collapsed="false">
      <c r="A47" s="3" t="s">
        <v>436</v>
      </c>
      <c r="B47" s="3" t="s">
        <v>281</v>
      </c>
      <c r="C47" s="3" t="s">
        <v>384</v>
      </c>
      <c r="D47" s="3" t="s">
        <v>418</v>
      </c>
      <c r="E47" s="3" t="s">
        <v>382</v>
      </c>
      <c r="F47" s="16" t="n">
        <v>12</v>
      </c>
      <c r="G47" s="15" t="n">
        <v>0</v>
      </c>
      <c r="H47" s="16" t="n">
        <v>11</v>
      </c>
      <c r="I47" s="33" t="n">
        <v>294533.76</v>
      </c>
      <c r="J47" s="33" t="n">
        <v>294533.76</v>
      </c>
    </row>
    <row r="48" customFormat="false" ht="15" hidden="false" customHeight="false" outlineLevel="0" collapsed="false">
      <c r="A48" s="3" t="s">
        <v>437</v>
      </c>
      <c r="B48" s="3" t="s">
        <v>281</v>
      </c>
      <c r="C48" s="3" t="s">
        <v>396</v>
      </c>
      <c r="D48" s="3" t="s">
        <v>392</v>
      </c>
      <c r="E48" s="3" t="s">
        <v>385</v>
      </c>
      <c r="F48" s="16" t="n">
        <v>24</v>
      </c>
      <c r="G48" s="15" t="n">
        <v>0.1</v>
      </c>
      <c r="H48" s="16" t="n">
        <v>23</v>
      </c>
      <c r="I48" s="33" t="n">
        <v>292082.28</v>
      </c>
      <c r="J48" s="33" t="n">
        <v>324535.92</v>
      </c>
    </row>
    <row r="49" customFormat="false" ht="15" hidden="false" customHeight="false" outlineLevel="0" collapsed="false">
      <c r="A49" s="3" t="s">
        <v>438</v>
      </c>
      <c r="B49" s="3" t="s">
        <v>281</v>
      </c>
      <c r="C49" s="3" t="s">
        <v>396</v>
      </c>
      <c r="D49" s="3" t="s">
        <v>388</v>
      </c>
      <c r="E49" s="3" t="s">
        <v>382</v>
      </c>
      <c r="F49" s="16" t="n">
        <v>12</v>
      </c>
      <c r="G49" s="15" t="n">
        <v>0</v>
      </c>
      <c r="H49" s="16" t="n">
        <v>5</v>
      </c>
      <c r="I49" s="33" t="n">
        <v>291087.84</v>
      </c>
      <c r="J49" s="33" t="n">
        <v>291087.84</v>
      </c>
    </row>
    <row r="50" customFormat="false" ht="15" hidden="false" customHeight="false" outlineLevel="0" collapsed="false">
      <c r="A50" s="3" t="s">
        <v>439</v>
      </c>
      <c r="B50" s="3" t="s">
        <v>281</v>
      </c>
      <c r="C50" s="3" t="s">
        <v>403</v>
      </c>
      <c r="D50" s="3" t="s">
        <v>392</v>
      </c>
      <c r="E50" s="3" t="s">
        <v>398</v>
      </c>
      <c r="F50" s="16" t="n">
        <v>36</v>
      </c>
      <c r="G50" s="15" t="n">
        <v>0</v>
      </c>
      <c r="H50" s="16" t="n">
        <v>28</v>
      </c>
      <c r="I50" s="33" t="n">
        <v>290895.48</v>
      </c>
      <c r="J50" s="33" t="n">
        <v>290895.48</v>
      </c>
    </row>
    <row r="51" customFormat="false" ht="15" hidden="false" customHeight="false" outlineLevel="0" collapsed="false">
      <c r="A51" s="3" t="s">
        <v>440</v>
      </c>
      <c r="B51" s="3" t="s">
        <v>281</v>
      </c>
      <c r="C51" s="3" t="s">
        <v>403</v>
      </c>
      <c r="D51" s="3" t="s">
        <v>392</v>
      </c>
      <c r="E51" s="3" t="s">
        <v>398</v>
      </c>
      <c r="F51" s="16" t="n">
        <v>24</v>
      </c>
      <c r="G51" s="15" t="n">
        <v>0.2</v>
      </c>
      <c r="H51" s="16" t="n">
        <v>16</v>
      </c>
      <c r="I51" s="33" t="n">
        <v>285842.64</v>
      </c>
      <c r="J51" s="33" t="n">
        <v>357303.36</v>
      </c>
    </row>
    <row r="52" customFormat="false" ht="15" hidden="false" customHeight="false" outlineLevel="0" collapsed="false">
      <c r="A52" s="3" t="s">
        <v>441</v>
      </c>
      <c r="B52" s="3" t="s">
        <v>281</v>
      </c>
      <c r="C52" s="3" t="s">
        <v>403</v>
      </c>
      <c r="D52" s="3" t="s">
        <v>381</v>
      </c>
      <c r="E52" s="3" t="s">
        <v>385</v>
      </c>
      <c r="F52" s="16" t="n">
        <v>12</v>
      </c>
      <c r="G52" s="15" t="n">
        <v>0.2</v>
      </c>
      <c r="H52" s="16" t="n">
        <v>7</v>
      </c>
      <c r="I52" s="33" t="n">
        <v>285282.96</v>
      </c>
      <c r="J52" s="33" t="n">
        <v>356603.76</v>
      </c>
    </row>
    <row r="53" customFormat="false" ht="15" hidden="false" customHeight="false" outlineLevel="0" collapsed="false">
      <c r="A53" s="3" t="s">
        <v>442</v>
      </c>
      <c r="B53" s="3" t="s">
        <v>281</v>
      </c>
      <c r="C53" s="3" t="s">
        <v>405</v>
      </c>
      <c r="D53" s="3" t="s">
        <v>388</v>
      </c>
      <c r="E53" s="3" t="s">
        <v>382</v>
      </c>
      <c r="F53" s="16" t="n">
        <v>36</v>
      </c>
      <c r="G53" s="15" t="n">
        <v>0</v>
      </c>
      <c r="H53" s="16" t="n">
        <v>30</v>
      </c>
      <c r="I53" s="33" t="n">
        <v>283615.2</v>
      </c>
      <c r="J53" s="33" t="n">
        <v>283615.2</v>
      </c>
    </row>
    <row r="54" customFormat="false" ht="15" hidden="false" customHeight="false" outlineLevel="0" collapsed="false">
      <c r="A54" s="3" t="s">
        <v>443</v>
      </c>
      <c r="B54" s="3" t="s">
        <v>281</v>
      </c>
      <c r="C54" s="3" t="s">
        <v>384</v>
      </c>
      <c r="D54" s="3" t="s">
        <v>392</v>
      </c>
      <c r="E54" s="3" t="s">
        <v>385</v>
      </c>
      <c r="F54" s="16" t="n">
        <v>36</v>
      </c>
      <c r="G54" s="15" t="n">
        <v>0.1</v>
      </c>
      <c r="H54" s="16" t="n">
        <v>18</v>
      </c>
      <c r="I54" s="33" t="n">
        <v>279148.68</v>
      </c>
      <c r="J54" s="33" t="n">
        <v>310165.2</v>
      </c>
    </row>
    <row r="55" customFormat="false" ht="15" hidden="false" customHeight="false" outlineLevel="0" collapsed="false">
      <c r="A55" s="3" t="s">
        <v>444</v>
      </c>
      <c r="B55" s="3" t="s">
        <v>281</v>
      </c>
      <c r="C55" s="3" t="s">
        <v>396</v>
      </c>
      <c r="D55" s="3" t="s">
        <v>381</v>
      </c>
      <c r="E55" s="3" t="s">
        <v>385</v>
      </c>
      <c r="F55" s="16" t="n">
        <v>12</v>
      </c>
      <c r="G55" s="15" t="n">
        <v>0</v>
      </c>
      <c r="H55" s="16" t="n">
        <v>3</v>
      </c>
      <c r="I55" s="33" t="n">
        <v>275004.84</v>
      </c>
      <c r="J55" s="33" t="n">
        <v>275004.84</v>
      </c>
    </row>
    <row r="56" customFormat="false" ht="15" hidden="false" customHeight="false" outlineLevel="0" collapsed="false">
      <c r="A56" s="3" t="s">
        <v>445</v>
      </c>
      <c r="B56" s="3" t="s">
        <v>281</v>
      </c>
      <c r="C56" s="3" t="s">
        <v>384</v>
      </c>
      <c r="D56" s="3" t="s">
        <v>418</v>
      </c>
      <c r="E56" s="3" t="s">
        <v>382</v>
      </c>
      <c r="F56" s="16" t="n">
        <v>12</v>
      </c>
      <c r="G56" s="15" t="n">
        <v>0.25</v>
      </c>
      <c r="H56" s="16" t="n">
        <v>10</v>
      </c>
      <c r="I56" s="33" t="n">
        <v>272787.48</v>
      </c>
      <c r="J56" s="33" t="n">
        <v>363716.52</v>
      </c>
    </row>
    <row r="57" customFormat="false" ht="15" hidden="false" customHeight="false" outlineLevel="0" collapsed="false">
      <c r="A57" s="3" t="s">
        <v>446</v>
      </c>
      <c r="B57" s="3" t="s">
        <v>281</v>
      </c>
      <c r="C57" s="3" t="s">
        <v>401</v>
      </c>
      <c r="D57" s="3" t="s">
        <v>381</v>
      </c>
      <c r="E57" s="3" t="s">
        <v>398</v>
      </c>
      <c r="F57" s="16" t="n">
        <v>24</v>
      </c>
      <c r="G57" s="15" t="n">
        <v>0</v>
      </c>
      <c r="H57" s="16" t="n">
        <v>4</v>
      </c>
      <c r="I57" s="33" t="n">
        <v>271954.8</v>
      </c>
      <c r="J57" s="33" t="n">
        <v>271954.8</v>
      </c>
    </row>
    <row r="58" customFormat="false" ht="15" hidden="false" customHeight="false" outlineLevel="0" collapsed="false">
      <c r="A58" s="3" t="s">
        <v>447</v>
      </c>
      <c r="B58" s="3" t="s">
        <v>281</v>
      </c>
      <c r="C58" s="3" t="s">
        <v>387</v>
      </c>
      <c r="D58" s="3" t="s">
        <v>381</v>
      </c>
      <c r="E58" s="3" t="s">
        <v>385</v>
      </c>
      <c r="F58" s="16" t="n">
        <v>12</v>
      </c>
      <c r="G58" s="15" t="n">
        <v>0.2</v>
      </c>
      <c r="H58" s="16" t="n">
        <v>8</v>
      </c>
      <c r="I58" s="33" t="n">
        <v>270365.64</v>
      </c>
      <c r="J58" s="33" t="n">
        <v>337956.96</v>
      </c>
    </row>
    <row r="59" customFormat="false" ht="15" hidden="false" customHeight="false" outlineLevel="0" collapsed="false">
      <c r="A59" s="3" t="s">
        <v>448</v>
      </c>
      <c r="B59" s="3" t="s">
        <v>281</v>
      </c>
      <c r="C59" s="3" t="s">
        <v>401</v>
      </c>
      <c r="D59" s="3" t="s">
        <v>381</v>
      </c>
      <c r="E59" s="3" t="s">
        <v>385</v>
      </c>
      <c r="F59" s="16" t="n">
        <v>24</v>
      </c>
      <c r="G59" s="15" t="n">
        <v>0</v>
      </c>
      <c r="H59" s="16" t="n">
        <v>6</v>
      </c>
      <c r="I59" s="33" t="n">
        <v>270275.28</v>
      </c>
      <c r="J59" s="33" t="n">
        <v>270275.28</v>
      </c>
    </row>
    <row r="60" customFormat="false" ht="15" hidden="false" customHeight="false" outlineLevel="0" collapsed="false">
      <c r="A60" s="3" t="s">
        <v>449</v>
      </c>
      <c r="B60" s="3" t="s">
        <v>281</v>
      </c>
      <c r="C60" s="3" t="s">
        <v>405</v>
      </c>
      <c r="D60" s="3" t="s">
        <v>388</v>
      </c>
      <c r="E60" s="3" t="s">
        <v>385</v>
      </c>
      <c r="F60" s="16" t="n">
        <v>12</v>
      </c>
      <c r="G60" s="15" t="n">
        <v>0.15</v>
      </c>
      <c r="H60" s="16" t="n">
        <v>5</v>
      </c>
      <c r="I60" s="33" t="n">
        <v>269497.32</v>
      </c>
      <c r="J60" s="33" t="n">
        <v>317055.72</v>
      </c>
    </row>
    <row r="61" customFormat="false" ht="15" hidden="false" customHeight="false" outlineLevel="0" collapsed="false">
      <c r="A61" s="3" t="s">
        <v>450</v>
      </c>
      <c r="B61" s="3" t="s">
        <v>281</v>
      </c>
      <c r="C61" s="3" t="s">
        <v>405</v>
      </c>
      <c r="D61" s="3" t="s">
        <v>381</v>
      </c>
      <c r="E61" s="3" t="s">
        <v>385</v>
      </c>
      <c r="F61" s="16" t="n">
        <v>24</v>
      </c>
      <c r="G61" s="15" t="n">
        <v>0</v>
      </c>
      <c r="H61" s="16" t="n">
        <v>8</v>
      </c>
      <c r="I61" s="33" t="n">
        <v>267290.04</v>
      </c>
      <c r="J61" s="33" t="n">
        <v>267290.04</v>
      </c>
    </row>
    <row r="62" customFormat="false" ht="15" hidden="false" customHeight="false" outlineLevel="0" collapsed="false">
      <c r="A62" s="3" t="s">
        <v>451</v>
      </c>
      <c r="B62" s="3" t="s">
        <v>281</v>
      </c>
      <c r="C62" s="3" t="s">
        <v>387</v>
      </c>
      <c r="D62" s="3" t="s">
        <v>392</v>
      </c>
      <c r="E62" s="3" t="s">
        <v>398</v>
      </c>
      <c r="F62" s="16" t="n">
        <v>24</v>
      </c>
      <c r="G62" s="15" t="n">
        <v>0</v>
      </c>
      <c r="H62" s="16" t="n">
        <v>7</v>
      </c>
      <c r="I62" s="33" t="n">
        <v>264357.24</v>
      </c>
      <c r="J62" s="33" t="n">
        <v>264357.24</v>
      </c>
    </row>
    <row r="63" customFormat="false" ht="15" hidden="false" customHeight="false" outlineLevel="0" collapsed="false">
      <c r="A63" s="3" t="s">
        <v>452</v>
      </c>
      <c r="B63" s="3" t="s">
        <v>281</v>
      </c>
      <c r="C63" s="3" t="s">
        <v>396</v>
      </c>
      <c r="D63" s="3" t="s">
        <v>418</v>
      </c>
      <c r="E63" s="3" t="s">
        <v>385</v>
      </c>
      <c r="F63" s="16" t="n">
        <v>24</v>
      </c>
      <c r="G63" s="15" t="n">
        <v>0.05</v>
      </c>
      <c r="H63" s="16" t="n">
        <v>12</v>
      </c>
      <c r="I63" s="33" t="n">
        <v>262756.2</v>
      </c>
      <c r="J63" s="33" t="n">
        <v>276585.48</v>
      </c>
    </row>
    <row r="64" customFormat="false" ht="15" hidden="false" customHeight="false" outlineLevel="0" collapsed="false">
      <c r="A64" s="3" t="s">
        <v>453</v>
      </c>
      <c r="B64" s="3" t="s">
        <v>281</v>
      </c>
      <c r="C64" s="3" t="s">
        <v>384</v>
      </c>
      <c r="D64" s="3" t="s">
        <v>381</v>
      </c>
      <c r="E64" s="3" t="s">
        <v>398</v>
      </c>
      <c r="F64" s="16" t="n">
        <v>12</v>
      </c>
      <c r="G64" s="15" t="n">
        <v>0</v>
      </c>
      <c r="H64" s="16" t="n">
        <v>2</v>
      </c>
      <c r="I64" s="33" t="n">
        <v>262424.76</v>
      </c>
      <c r="J64" s="33" t="n">
        <v>262424.76</v>
      </c>
    </row>
    <row r="65" customFormat="false" ht="15" hidden="false" customHeight="false" outlineLevel="0" collapsed="false">
      <c r="A65" s="3" t="s">
        <v>454</v>
      </c>
      <c r="B65" s="3" t="s">
        <v>281</v>
      </c>
      <c r="C65" s="3" t="s">
        <v>396</v>
      </c>
      <c r="D65" s="3" t="s">
        <v>381</v>
      </c>
      <c r="E65" s="3" t="s">
        <v>382</v>
      </c>
      <c r="F65" s="16" t="n">
        <v>36</v>
      </c>
      <c r="G65" s="15" t="n">
        <v>0</v>
      </c>
      <c r="H65" s="16" t="n">
        <v>22</v>
      </c>
      <c r="I65" s="33" t="n">
        <v>261364.32</v>
      </c>
      <c r="J65" s="33" t="n">
        <v>261364.32</v>
      </c>
    </row>
    <row r="66" customFormat="false" ht="15" hidden="false" customHeight="false" outlineLevel="0" collapsed="false">
      <c r="A66" s="3" t="s">
        <v>455</v>
      </c>
      <c r="B66" s="3" t="s">
        <v>281</v>
      </c>
      <c r="C66" s="3" t="s">
        <v>401</v>
      </c>
      <c r="D66" s="3" t="s">
        <v>381</v>
      </c>
      <c r="E66" s="3" t="s">
        <v>385</v>
      </c>
      <c r="F66" s="16" t="n">
        <v>12</v>
      </c>
      <c r="G66" s="15" t="n">
        <v>0.15</v>
      </c>
      <c r="H66" s="16" t="n">
        <v>11</v>
      </c>
      <c r="I66" s="33" t="n">
        <v>261309</v>
      </c>
      <c r="J66" s="33" t="n">
        <v>307422.36</v>
      </c>
    </row>
    <row r="67" customFormat="false" ht="15" hidden="false" customHeight="false" outlineLevel="0" collapsed="false">
      <c r="A67" s="3" t="s">
        <v>456</v>
      </c>
      <c r="B67" s="3" t="s">
        <v>281</v>
      </c>
      <c r="C67" s="3" t="s">
        <v>401</v>
      </c>
      <c r="D67" s="3" t="s">
        <v>392</v>
      </c>
      <c r="E67" s="3" t="s">
        <v>382</v>
      </c>
      <c r="F67" s="16" t="n">
        <v>36</v>
      </c>
      <c r="G67" s="15" t="n">
        <v>0</v>
      </c>
      <c r="H67" s="16" t="n">
        <v>17</v>
      </c>
      <c r="I67" s="33" t="n">
        <v>258181.92</v>
      </c>
      <c r="J67" s="33" t="n">
        <v>258181.92</v>
      </c>
    </row>
    <row r="68" customFormat="false" ht="15" hidden="false" customHeight="false" outlineLevel="0" collapsed="false">
      <c r="A68" s="3" t="s">
        <v>457</v>
      </c>
      <c r="B68" s="3" t="s">
        <v>281</v>
      </c>
      <c r="C68" s="3" t="s">
        <v>405</v>
      </c>
      <c r="D68" s="3" t="s">
        <v>388</v>
      </c>
      <c r="E68" s="3" t="s">
        <v>398</v>
      </c>
      <c r="F68" s="16" t="n">
        <v>24</v>
      </c>
      <c r="G68" s="15" t="n">
        <v>0.25</v>
      </c>
      <c r="H68" s="16" t="n">
        <v>21</v>
      </c>
      <c r="I68" s="33" t="n">
        <v>257882.4</v>
      </c>
      <c r="J68" s="33" t="n">
        <v>343843.08</v>
      </c>
    </row>
    <row r="69" customFormat="false" ht="15" hidden="false" customHeight="false" outlineLevel="0" collapsed="false">
      <c r="A69" s="3" t="s">
        <v>458</v>
      </c>
      <c r="B69" s="3" t="s">
        <v>281</v>
      </c>
      <c r="C69" s="3" t="s">
        <v>384</v>
      </c>
      <c r="D69" s="3" t="s">
        <v>381</v>
      </c>
      <c r="E69" s="3" t="s">
        <v>398</v>
      </c>
      <c r="F69" s="16" t="n">
        <v>36</v>
      </c>
      <c r="G69" s="15" t="n">
        <v>0</v>
      </c>
      <c r="H69" s="16" t="n">
        <v>9</v>
      </c>
      <c r="I69" s="33" t="n">
        <v>256842.6</v>
      </c>
      <c r="J69" s="33" t="n">
        <v>256842.6</v>
      </c>
    </row>
    <row r="70" customFormat="false" ht="15" hidden="false" customHeight="false" outlineLevel="0" collapsed="false">
      <c r="A70" s="3" t="s">
        <v>459</v>
      </c>
      <c r="B70" s="3" t="s">
        <v>281</v>
      </c>
      <c r="C70" s="3" t="s">
        <v>403</v>
      </c>
      <c r="D70" s="3" t="s">
        <v>381</v>
      </c>
      <c r="E70" s="3" t="s">
        <v>385</v>
      </c>
      <c r="F70" s="16" t="n">
        <v>36</v>
      </c>
      <c r="G70" s="15" t="n">
        <v>0</v>
      </c>
      <c r="H70" s="16" t="n">
        <v>23</v>
      </c>
      <c r="I70" s="33" t="n">
        <v>255733.44</v>
      </c>
      <c r="J70" s="33" t="n">
        <v>255733.44</v>
      </c>
    </row>
    <row r="71" customFormat="false" ht="15" hidden="false" customHeight="false" outlineLevel="0" collapsed="false">
      <c r="A71" s="3" t="s">
        <v>460</v>
      </c>
      <c r="B71" s="3" t="s">
        <v>281</v>
      </c>
      <c r="C71" s="3" t="s">
        <v>403</v>
      </c>
      <c r="D71" s="3" t="s">
        <v>381</v>
      </c>
      <c r="E71" s="3" t="s">
        <v>385</v>
      </c>
      <c r="F71" s="16" t="n">
        <v>36</v>
      </c>
      <c r="G71" s="15" t="n">
        <v>0</v>
      </c>
      <c r="H71" s="16" t="n">
        <v>21</v>
      </c>
      <c r="I71" s="33" t="n">
        <v>254658.48</v>
      </c>
      <c r="J71" s="33" t="n">
        <v>254658.48</v>
      </c>
    </row>
    <row r="72" customFormat="false" ht="15" hidden="false" customHeight="false" outlineLevel="0" collapsed="false">
      <c r="A72" s="3" t="s">
        <v>461</v>
      </c>
      <c r="B72" s="3" t="s">
        <v>281</v>
      </c>
      <c r="C72" s="3" t="s">
        <v>380</v>
      </c>
      <c r="D72" s="3" t="s">
        <v>388</v>
      </c>
      <c r="E72" s="3" t="s">
        <v>382</v>
      </c>
      <c r="F72" s="16" t="n">
        <v>36</v>
      </c>
      <c r="G72" s="15" t="n">
        <v>0.05</v>
      </c>
      <c r="H72" s="16" t="n">
        <v>28</v>
      </c>
      <c r="I72" s="33" t="n">
        <v>254013.72</v>
      </c>
      <c r="J72" s="33" t="n">
        <v>267382.8</v>
      </c>
    </row>
    <row r="73" customFormat="false" ht="15" hidden="false" customHeight="false" outlineLevel="0" collapsed="false">
      <c r="A73" s="3" t="s">
        <v>462</v>
      </c>
      <c r="B73" s="3" t="s">
        <v>281</v>
      </c>
      <c r="C73" s="3" t="s">
        <v>405</v>
      </c>
      <c r="D73" s="3" t="s">
        <v>388</v>
      </c>
      <c r="E73" s="3" t="s">
        <v>382</v>
      </c>
      <c r="F73" s="16" t="n">
        <v>12</v>
      </c>
      <c r="G73" s="15" t="n">
        <v>0</v>
      </c>
      <c r="H73" s="16" t="n">
        <v>11</v>
      </c>
      <c r="I73" s="33" t="n">
        <v>253490.16</v>
      </c>
      <c r="J73" s="33" t="n">
        <v>253490.16</v>
      </c>
    </row>
    <row r="74" customFormat="false" ht="15" hidden="false" customHeight="false" outlineLevel="0" collapsed="false">
      <c r="A74" s="3" t="s">
        <v>463</v>
      </c>
      <c r="B74" s="3" t="s">
        <v>281</v>
      </c>
      <c r="C74" s="3" t="s">
        <v>401</v>
      </c>
      <c r="D74" s="3" t="s">
        <v>388</v>
      </c>
      <c r="E74" s="3" t="s">
        <v>382</v>
      </c>
      <c r="F74" s="16" t="n">
        <v>12</v>
      </c>
      <c r="G74" s="15" t="n">
        <v>0</v>
      </c>
      <c r="H74" s="16" t="n">
        <v>3</v>
      </c>
      <c r="I74" s="33" t="n">
        <v>250117.56</v>
      </c>
      <c r="J74" s="33" t="n">
        <v>250117.56</v>
      </c>
    </row>
    <row r="75" customFormat="false" ht="15" hidden="false" customHeight="false" outlineLevel="0" collapsed="false">
      <c r="A75" s="3" t="s">
        <v>464</v>
      </c>
      <c r="B75" s="3" t="s">
        <v>282</v>
      </c>
      <c r="C75" s="3" t="s">
        <v>387</v>
      </c>
      <c r="D75" s="3" t="s">
        <v>392</v>
      </c>
      <c r="E75" s="3" t="s">
        <v>382</v>
      </c>
      <c r="F75" s="16" t="n">
        <v>12</v>
      </c>
      <c r="G75" s="15" t="n">
        <v>0</v>
      </c>
      <c r="H75" s="16" t="n">
        <v>7</v>
      </c>
      <c r="I75" s="33" t="n">
        <v>248587.2</v>
      </c>
      <c r="J75" s="33" t="n">
        <v>248587.2</v>
      </c>
    </row>
    <row r="76" customFormat="false" ht="15" hidden="false" customHeight="false" outlineLevel="0" collapsed="false">
      <c r="A76" s="3" t="s">
        <v>465</v>
      </c>
      <c r="B76" s="3" t="s">
        <v>281</v>
      </c>
      <c r="C76" s="3" t="s">
        <v>403</v>
      </c>
      <c r="D76" s="3" t="s">
        <v>392</v>
      </c>
      <c r="E76" s="3" t="s">
        <v>385</v>
      </c>
      <c r="F76" s="16" t="n">
        <v>12</v>
      </c>
      <c r="G76" s="15" t="n">
        <v>0</v>
      </c>
      <c r="H76" s="16" t="n">
        <v>4</v>
      </c>
      <c r="I76" s="33" t="n">
        <v>247409.88</v>
      </c>
      <c r="J76" s="33" t="n">
        <v>247409.88</v>
      </c>
    </row>
    <row r="77" customFormat="false" ht="15" hidden="false" customHeight="false" outlineLevel="0" collapsed="false">
      <c r="A77" s="3" t="s">
        <v>466</v>
      </c>
      <c r="B77" s="3" t="s">
        <v>281</v>
      </c>
      <c r="C77" s="3" t="s">
        <v>401</v>
      </c>
      <c r="D77" s="3" t="s">
        <v>381</v>
      </c>
      <c r="E77" s="3" t="s">
        <v>398</v>
      </c>
      <c r="F77" s="16" t="n">
        <v>36</v>
      </c>
      <c r="G77" s="15" t="n">
        <v>0</v>
      </c>
      <c r="H77" s="16" t="n">
        <v>12</v>
      </c>
      <c r="I77" s="33" t="n">
        <v>246742.8</v>
      </c>
      <c r="J77" s="33" t="n">
        <v>246742.8</v>
      </c>
    </row>
    <row r="78" customFormat="false" ht="15" hidden="false" customHeight="false" outlineLevel="0" collapsed="false">
      <c r="A78" s="3" t="s">
        <v>467</v>
      </c>
      <c r="B78" s="3" t="s">
        <v>281</v>
      </c>
      <c r="C78" s="3" t="s">
        <v>396</v>
      </c>
      <c r="D78" s="3" t="s">
        <v>392</v>
      </c>
      <c r="E78" s="3" t="s">
        <v>382</v>
      </c>
      <c r="F78" s="16" t="n">
        <v>12</v>
      </c>
      <c r="G78" s="15" t="n">
        <v>0</v>
      </c>
      <c r="H78" s="16" t="n">
        <v>11</v>
      </c>
      <c r="I78" s="33" t="n">
        <v>245290.32</v>
      </c>
      <c r="J78" s="33" t="n">
        <v>245290.32</v>
      </c>
    </row>
    <row r="79" customFormat="false" ht="15" hidden="false" customHeight="false" outlineLevel="0" collapsed="false">
      <c r="A79" s="3" t="s">
        <v>468</v>
      </c>
      <c r="B79" s="3" t="s">
        <v>281</v>
      </c>
      <c r="C79" s="3" t="s">
        <v>403</v>
      </c>
      <c r="D79" s="3" t="s">
        <v>381</v>
      </c>
      <c r="E79" s="3" t="s">
        <v>382</v>
      </c>
      <c r="F79" s="16" t="n">
        <v>36</v>
      </c>
      <c r="G79" s="15" t="n">
        <v>0.1</v>
      </c>
      <c r="H79" s="16" t="n">
        <v>8</v>
      </c>
      <c r="I79" s="33" t="n">
        <v>245166.24</v>
      </c>
      <c r="J79" s="33" t="n">
        <v>272406.96</v>
      </c>
    </row>
    <row r="80" customFormat="false" ht="15" hidden="false" customHeight="false" outlineLevel="0" collapsed="false">
      <c r="A80" s="3" t="s">
        <v>469</v>
      </c>
      <c r="B80" s="3" t="s">
        <v>281</v>
      </c>
      <c r="C80" s="3" t="s">
        <v>401</v>
      </c>
      <c r="D80" s="3" t="s">
        <v>381</v>
      </c>
      <c r="E80" s="3" t="s">
        <v>398</v>
      </c>
      <c r="F80" s="16" t="n">
        <v>24</v>
      </c>
      <c r="G80" s="15" t="n">
        <v>0</v>
      </c>
      <c r="H80" s="16" t="n">
        <v>3</v>
      </c>
      <c r="I80" s="33" t="n">
        <v>243917.88</v>
      </c>
      <c r="J80" s="33" t="n">
        <v>243917.88</v>
      </c>
    </row>
    <row r="81" customFormat="false" ht="15" hidden="false" customHeight="false" outlineLevel="0" collapsed="false">
      <c r="A81" s="3" t="s">
        <v>470</v>
      </c>
      <c r="B81" s="3" t="s">
        <v>281</v>
      </c>
      <c r="C81" s="3" t="s">
        <v>405</v>
      </c>
      <c r="D81" s="3" t="s">
        <v>418</v>
      </c>
      <c r="E81" s="3" t="s">
        <v>398</v>
      </c>
      <c r="F81" s="16" t="n">
        <v>36</v>
      </c>
      <c r="G81" s="15" t="n">
        <v>0</v>
      </c>
      <c r="H81" s="16" t="n">
        <v>1</v>
      </c>
      <c r="I81" s="33" t="n">
        <v>242705.88</v>
      </c>
      <c r="J81" s="33" t="n">
        <v>242705.88</v>
      </c>
    </row>
    <row r="82" customFormat="false" ht="15" hidden="false" customHeight="false" outlineLevel="0" collapsed="false">
      <c r="A82" s="3" t="s">
        <v>471</v>
      </c>
      <c r="B82" s="3" t="s">
        <v>281</v>
      </c>
      <c r="C82" s="3" t="s">
        <v>387</v>
      </c>
      <c r="D82" s="3" t="s">
        <v>381</v>
      </c>
      <c r="E82" s="3" t="s">
        <v>382</v>
      </c>
      <c r="F82" s="16" t="n">
        <v>24</v>
      </c>
      <c r="G82" s="15" t="n">
        <v>0</v>
      </c>
      <c r="H82" s="16" t="n">
        <v>10</v>
      </c>
      <c r="I82" s="33" t="n">
        <v>242518.8</v>
      </c>
      <c r="J82" s="33" t="n">
        <v>242518.8</v>
      </c>
    </row>
    <row r="83" customFormat="false" ht="15" hidden="false" customHeight="false" outlineLevel="0" collapsed="false">
      <c r="A83" s="3" t="s">
        <v>472</v>
      </c>
      <c r="B83" s="3" t="s">
        <v>281</v>
      </c>
      <c r="C83" s="3" t="s">
        <v>387</v>
      </c>
      <c r="D83" s="3" t="s">
        <v>381</v>
      </c>
      <c r="E83" s="3" t="s">
        <v>398</v>
      </c>
      <c r="F83" s="16" t="n">
        <v>12</v>
      </c>
      <c r="G83" s="15" t="n">
        <v>0.05</v>
      </c>
      <c r="H83" s="16" t="n">
        <v>2</v>
      </c>
      <c r="I83" s="33" t="n">
        <v>242074.2</v>
      </c>
      <c r="J83" s="33" t="n">
        <v>254814.96</v>
      </c>
    </row>
    <row r="84" customFormat="false" ht="15" hidden="false" customHeight="false" outlineLevel="0" collapsed="false">
      <c r="A84" s="3" t="s">
        <v>473</v>
      </c>
      <c r="B84" s="3" t="s">
        <v>281</v>
      </c>
      <c r="C84" s="3" t="s">
        <v>387</v>
      </c>
      <c r="D84" s="3" t="s">
        <v>381</v>
      </c>
      <c r="E84" s="3" t="s">
        <v>382</v>
      </c>
      <c r="F84" s="16" t="n">
        <v>24</v>
      </c>
      <c r="G84" s="15" t="n">
        <v>0</v>
      </c>
      <c r="H84" s="16" t="n">
        <v>2</v>
      </c>
      <c r="I84" s="33" t="n">
        <v>240852.84</v>
      </c>
      <c r="J84" s="33" t="n">
        <v>240852.84</v>
      </c>
    </row>
    <row r="85" customFormat="false" ht="15" hidden="false" customHeight="false" outlineLevel="0" collapsed="false">
      <c r="A85" s="3" t="s">
        <v>474</v>
      </c>
      <c r="B85" s="3" t="s">
        <v>281</v>
      </c>
      <c r="C85" s="3" t="s">
        <v>387</v>
      </c>
      <c r="D85" s="3" t="s">
        <v>392</v>
      </c>
      <c r="E85" s="3" t="s">
        <v>382</v>
      </c>
      <c r="F85" s="16" t="n">
        <v>12</v>
      </c>
      <c r="G85" s="15" t="n">
        <v>0</v>
      </c>
      <c r="H85" s="16" t="n">
        <v>6</v>
      </c>
      <c r="I85" s="33" t="n">
        <v>240442.92</v>
      </c>
      <c r="J85" s="33" t="n">
        <v>240442.92</v>
      </c>
    </row>
    <row r="86" customFormat="false" ht="15" hidden="false" customHeight="false" outlineLevel="0" collapsed="false">
      <c r="A86" s="3" t="s">
        <v>475</v>
      </c>
      <c r="B86" s="3" t="s">
        <v>281</v>
      </c>
      <c r="C86" s="3" t="s">
        <v>405</v>
      </c>
      <c r="D86" s="3" t="s">
        <v>381</v>
      </c>
      <c r="E86" s="3" t="s">
        <v>382</v>
      </c>
      <c r="F86" s="16" t="n">
        <v>12</v>
      </c>
      <c r="G86" s="15" t="n">
        <v>0</v>
      </c>
      <c r="H86" s="16" t="n">
        <v>12</v>
      </c>
      <c r="I86" s="33" t="n">
        <v>239396.4</v>
      </c>
      <c r="J86" s="33" t="n">
        <v>239396.4</v>
      </c>
    </row>
    <row r="87" customFormat="false" ht="15" hidden="false" customHeight="false" outlineLevel="0" collapsed="false">
      <c r="A87" s="3" t="s">
        <v>476</v>
      </c>
      <c r="B87" s="3" t="s">
        <v>281</v>
      </c>
      <c r="C87" s="3" t="s">
        <v>405</v>
      </c>
      <c r="D87" s="3" t="s">
        <v>381</v>
      </c>
      <c r="E87" s="3" t="s">
        <v>398</v>
      </c>
      <c r="F87" s="16" t="n">
        <v>12</v>
      </c>
      <c r="G87" s="15" t="n">
        <v>0.05</v>
      </c>
      <c r="H87" s="16" t="n">
        <v>10</v>
      </c>
      <c r="I87" s="33" t="n">
        <v>238636.44</v>
      </c>
      <c r="J87" s="33" t="n">
        <v>251196.24</v>
      </c>
    </row>
    <row r="88" customFormat="false" ht="15" hidden="false" customHeight="false" outlineLevel="0" collapsed="false">
      <c r="A88" s="3" t="s">
        <v>477</v>
      </c>
      <c r="B88" s="3" t="s">
        <v>281</v>
      </c>
      <c r="C88" s="3" t="s">
        <v>380</v>
      </c>
      <c r="D88" s="3" t="s">
        <v>381</v>
      </c>
      <c r="E88" s="3" t="s">
        <v>385</v>
      </c>
      <c r="F88" s="16" t="n">
        <v>12</v>
      </c>
      <c r="G88" s="15" t="n">
        <v>0</v>
      </c>
      <c r="H88" s="16" t="n">
        <v>10</v>
      </c>
      <c r="I88" s="33" t="n">
        <v>237815.64</v>
      </c>
      <c r="J88" s="33" t="n">
        <v>237815.64</v>
      </c>
    </row>
    <row r="89" customFormat="false" ht="15" hidden="false" customHeight="false" outlineLevel="0" collapsed="false">
      <c r="A89" s="3" t="s">
        <v>478</v>
      </c>
      <c r="B89" s="3" t="s">
        <v>281</v>
      </c>
      <c r="C89" s="3" t="s">
        <v>403</v>
      </c>
      <c r="D89" s="3" t="s">
        <v>381</v>
      </c>
      <c r="E89" s="3" t="s">
        <v>398</v>
      </c>
      <c r="F89" s="16" t="n">
        <v>24</v>
      </c>
      <c r="G89" s="15" t="n">
        <v>0.25</v>
      </c>
      <c r="H89" s="16" t="n">
        <v>22</v>
      </c>
      <c r="I89" s="33" t="n">
        <v>237434.16</v>
      </c>
      <c r="J89" s="33" t="n">
        <v>316578.84</v>
      </c>
    </row>
    <row r="90" customFormat="false" ht="15" hidden="false" customHeight="false" outlineLevel="0" collapsed="false">
      <c r="A90" s="3" t="s">
        <v>479</v>
      </c>
      <c r="B90" s="3" t="s">
        <v>281</v>
      </c>
      <c r="C90" s="3" t="s">
        <v>380</v>
      </c>
      <c r="D90" s="3" t="s">
        <v>381</v>
      </c>
      <c r="E90" s="3" t="s">
        <v>398</v>
      </c>
      <c r="F90" s="16" t="n">
        <v>24</v>
      </c>
      <c r="G90" s="15" t="n">
        <v>0</v>
      </c>
      <c r="H90" s="16" t="n">
        <v>17</v>
      </c>
      <c r="I90" s="33" t="n">
        <v>237133.08</v>
      </c>
      <c r="J90" s="33" t="n">
        <v>237133.08</v>
      </c>
    </row>
    <row r="91" customFormat="false" ht="15" hidden="false" customHeight="false" outlineLevel="0" collapsed="false">
      <c r="A91" s="3" t="s">
        <v>480</v>
      </c>
      <c r="B91" s="3" t="s">
        <v>281</v>
      </c>
      <c r="C91" s="3" t="s">
        <v>380</v>
      </c>
      <c r="D91" s="3" t="s">
        <v>381</v>
      </c>
      <c r="E91" s="3" t="s">
        <v>385</v>
      </c>
      <c r="F91" s="16" t="n">
        <v>12</v>
      </c>
      <c r="G91" s="15" t="n">
        <v>0</v>
      </c>
      <c r="H91" s="16" t="n">
        <v>1</v>
      </c>
      <c r="I91" s="33" t="n">
        <v>236141.28</v>
      </c>
      <c r="J91" s="33" t="n">
        <v>236141.28</v>
      </c>
    </row>
    <row r="92" customFormat="false" ht="15" hidden="false" customHeight="false" outlineLevel="0" collapsed="false">
      <c r="A92" s="3" t="s">
        <v>481</v>
      </c>
      <c r="B92" s="3" t="s">
        <v>281</v>
      </c>
      <c r="C92" s="3" t="s">
        <v>380</v>
      </c>
      <c r="D92" s="3" t="s">
        <v>392</v>
      </c>
      <c r="E92" s="3" t="s">
        <v>382</v>
      </c>
      <c r="F92" s="16" t="n">
        <v>36</v>
      </c>
      <c r="G92" s="15" t="n">
        <v>0</v>
      </c>
      <c r="H92" s="16" t="n">
        <v>23</v>
      </c>
      <c r="I92" s="33" t="n">
        <v>236028.72</v>
      </c>
      <c r="J92" s="33" t="n">
        <v>236028.72</v>
      </c>
    </row>
    <row r="93" customFormat="false" ht="15" hidden="false" customHeight="false" outlineLevel="0" collapsed="false">
      <c r="A93" s="3" t="s">
        <v>482</v>
      </c>
      <c r="B93" s="3" t="s">
        <v>281</v>
      </c>
      <c r="C93" s="3" t="s">
        <v>380</v>
      </c>
      <c r="D93" s="3" t="s">
        <v>381</v>
      </c>
      <c r="E93" s="3" t="s">
        <v>385</v>
      </c>
      <c r="F93" s="16" t="n">
        <v>12</v>
      </c>
      <c r="G93" s="15" t="n">
        <v>0</v>
      </c>
      <c r="H93" s="16" t="n">
        <v>8</v>
      </c>
      <c r="I93" s="33" t="n">
        <v>235883.52</v>
      </c>
      <c r="J93" s="33" t="n">
        <v>235883.52</v>
      </c>
    </row>
    <row r="94" customFormat="false" ht="15" hidden="false" customHeight="false" outlineLevel="0" collapsed="false">
      <c r="A94" s="3" t="s">
        <v>483</v>
      </c>
      <c r="B94" s="3" t="s">
        <v>281</v>
      </c>
      <c r="C94" s="3" t="s">
        <v>384</v>
      </c>
      <c r="D94" s="3" t="s">
        <v>388</v>
      </c>
      <c r="E94" s="3" t="s">
        <v>385</v>
      </c>
      <c r="F94" s="16" t="n">
        <v>12</v>
      </c>
      <c r="G94" s="15" t="n">
        <v>0.1</v>
      </c>
      <c r="H94" s="16" t="n">
        <v>5</v>
      </c>
      <c r="I94" s="33" t="n">
        <v>235237.68</v>
      </c>
      <c r="J94" s="33" t="n">
        <v>261375.24</v>
      </c>
    </row>
    <row r="95" customFormat="false" ht="15" hidden="false" customHeight="false" outlineLevel="0" collapsed="false">
      <c r="A95" s="3" t="s">
        <v>484</v>
      </c>
      <c r="B95" s="3" t="s">
        <v>281</v>
      </c>
      <c r="C95" s="3" t="s">
        <v>387</v>
      </c>
      <c r="D95" s="3" t="s">
        <v>381</v>
      </c>
      <c r="E95" s="3" t="s">
        <v>398</v>
      </c>
      <c r="F95" s="16" t="n">
        <v>24</v>
      </c>
      <c r="G95" s="15" t="n">
        <v>0</v>
      </c>
      <c r="H95" s="16" t="n">
        <v>22</v>
      </c>
      <c r="I95" s="33" t="n">
        <v>233962.68</v>
      </c>
      <c r="J95" s="33" t="n">
        <v>233962.68</v>
      </c>
    </row>
    <row r="96" customFormat="false" ht="15" hidden="false" customHeight="false" outlineLevel="0" collapsed="false">
      <c r="A96" s="3" t="s">
        <v>485</v>
      </c>
      <c r="B96" s="3" t="s">
        <v>281</v>
      </c>
      <c r="C96" s="3" t="s">
        <v>403</v>
      </c>
      <c r="D96" s="3" t="s">
        <v>392</v>
      </c>
      <c r="E96" s="3" t="s">
        <v>382</v>
      </c>
      <c r="F96" s="16" t="n">
        <v>24</v>
      </c>
      <c r="G96" s="15" t="n">
        <v>0</v>
      </c>
      <c r="H96" s="16" t="n">
        <v>10</v>
      </c>
      <c r="I96" s="33" t="n">
        <v>233453.76</v>
      </c>
      <c r="J96" s="33" t="n">
        <v>233453.76</v>
      </c>
    </row>
    <row r="97" customFormat="false" ht="15" hidden="false" customHeight="false" outlineLevel="0" collapsed="false">
      <c r="A97" s="3" t="s">
        <v>486</v>
      </c>
      <c r="B97" s="3" t="s">
        <v>281</v>
      </c>
      <c r="C97" s="3" t="s">
        <v>396</v>
      </c>
      <c r="D97" s="3" t="s">
        <v>392</v>
      </c>
      <c r="E97" s="3" t="s">
        <v>382</v>
      </c>
      <c r="F97" s="16" t="n">
        <v>24</v>
      </c>
      <c r="G97" s="15" t="n">
        <v>0</v>
      </c>
      <c r="H97" s="16" t="n">
        <v>13</v>
      </c>
      <c r="I97" s="33" t="n">
        <v>233137.68</v>
      </c>
      <c r="J97" s="33" t="n">
        <v>233137.68</v>
      </c>
    </row>
    <row r="98" customFormat="false" ht="15" hidden="false" customHeight="false" outlineLevel="0" collapsed="false">
      <c r="A98" s="3" t="s">
        <v>487</v>
      </c>
      <c r="B98" s="3" t="s">
        <v>281</v>
      </c>
      <c r="C98" s="3" t="s">
        <v>405</v>
      </c>
      <c r="D98" s="3" t="s">
        <v>388</v>
      </c>
      <c r="E98" s="3" t="s">
        <v>382</v>
      </c>
      <c r="F98" s="16" t="n">
        <v>24</v>
      </c>
      <c r="G98" s="15" t="n">
        <v>0</v>
      </c>
      <c r="H98" s="16" t="n">
        <v>11</v>
      </c>
      <c r="I98" s="33" t="n">
        <v>231191.16</v>
      </c>
      <c r="J98" s="33" t="n">
        <v>231191.16</v>
      </c>
    </row>
    <row r="99" customFormat="false" ht="15" hidden="false" customHeight="false" outlineLevel="0" collapsed="false">
      <c r="A99" s="3" t="s">
        <v>488</v>
      </c>
      <c r="B99" s="3" t="s">
        <v>281</v>
      </c>
      <c r="C99" s="3" t="s">
        <v>403</v>
      </c>
      <c r="D99" s="3" t="s">
        <v>418</v>
      </c>
      <c r="E99" s="3" t="s">
        <v>382</v>
      </c>
      <c r="F99" s="16" t="n">
        <v>12</v>
      </c>
      <c r="G99" s="15" t="n">
        <v>0.15</v>
      </c>
      <c r="H99" s="16" t="n">
        <v>8</v>
      </c>
      <c r="I99" s="33" t="n">
        <v>229444.56</v>
      </c>
      <c r="J99" s="33" t="n">
        <v>269934.84</v>
      </c>
    </row>
    <row r="100" customFormat="false" ht="15" hidden="false" customHeight="false" outlineLevel="0" collapsed="false">
      <c r="A100" s="3" t="s">
        <v>489</v>
      </c>
      <c r="B100" s="3" t="s">
        <v>281</v>
      </c>
      <c r="C100" s="3" t="s">
        <v>401</v>
      </c>
      <c r="D100" s="3" t="s">
        <v>388</v>
      </c>
      <c r="E100" s="3" t="s">
        <v>398</v>
      </c>
      <c r="F100" s="16" t="n">
        <v>36</v>
      </c>
      <c r="G100" s="15" t="n">
        <v>0</v>
      </c>
      <c r="H100" s="16" t="n">
        <v>13</v>
      </c>
      <c r="I100" s="33" t="n">
        <v>226207.92</v>
      </c>
      <c r="J100" s="33" t="n">
        <v>226207.92</v>
      </c>
    </row>
    <row r="101" customFormat="false" ht="15" hidden="false" customHeight="false" outlineLevel="0" collapsed="false">
      <c r="A101" s="3" t="s">
        <v>490</v>
      </c>
      <c r="B101" s="3" t="s">
        <v>281</v>
      </c>
      <c r="C101" s="3" t="s">
        <v>403</v>
      </c>
      <c r="D101" s="3" t="s">
        <v>381</v>
      </c>
      <c r="E101" s="3" t="s">
        <v>382</v>
      </c>
      <c r="F101" s="16" t="n">
        <v>24</v>
      </c>
      <c r="G101" s="15" t="n">
        <v>0.1</v>
      </c>
      <c r="H101" s="16" t="n">
        <v>21</v>
      </c>
      <c r="I101" s="33" t="n">
        <v>225820.08</v>
      </c>
      <c r="J101" s="33" t="n">
        <v>250911.24</v>
      </c>
    </row>
    <row r="102" customFormat="false" ht="15" hidden="false" customHeight="false" outlineLevel="0" collapsed="false">
      <c r="A102" s="3" t="s">
        <v>491</v>
      </c>
      <c r="B102" s="3" t="s">
        <v>281</v>
      </c>
      <c r="C102" s="3" t="s">
        <v>387</v>
      </c>
      <c r="D102" s="3" t="s">
        <v>392</v>
      </c>
      <c r="E102" s="3" t="s">
        <v>385</v>
      </c>
      <c r="F102" s="16" t="n">
        <v>36</v>
      </c>
      <c r="G102" s="15" t="n">
        <v>0</v>
      </c>
      <c r="H102" s="16" t="n">
        <v>13</v>
      </c>
      <c r="I102" s="33" t="n">
        <v>225415.2</v>
      </c>
      <c r="J102" s="33" t="n">
        <v>225415.2</v>
      </c>
    </row>
    <row r="103" customFormat="false" ht="15" hidden="false" customHeight="false" outlineLevel="0" collapsed="false">
      <c r="A103" s="3" t="s">
        <v>492</v>
      </c>
      <c r="B103" s="3" t="s">
        <v>281</v>
      </c>
      <c r="C103" s="3" t="s">
        <v>384</v>
      </c>
      <c r="D103" s="3" t="s">
        <v>381</v>
      </c>
      <c r="E103" s="3" t="s">
        <v>398</v>
      </c>
      <c r="F103" s="16" t="n">
        <v>12</v>
      </c>
      <c r="G103" s="15" t="n">
        <v>0</v>
      </c>
      <c r="H103" s="16" t="n">
        <v>11</v>
      </c>
      <c r="I103" s="33" t="n">
        <v>225286.92</v>
      </c>
      <c r="J103" s="33" t="n">
        <v>225286.92</v>
      </c>
    </row>
    <row r="104" customFormat="false" ht="15" hidden="false" customHeight="false" outlineLevel="0" collapsed="false">
      <c r="A104" s="3" t="s">
        <v>493</v>
      </c>
      <c r="B104" s="3" t="s">
        <v>281</v>
      </c>
      <c r="C104" s="3" t="s">
        <v>405</v>
      </c>
      <c r="D104" s="3" t="s">
        <v>381</v>
      </c>
      <c r="E104" s="3" t="s">
        <v>382</v>
      </c>
      <c r="F104" s="16" t="n">
        <v>12</v>
      </c>
      <c r="G104" s="15" t="n">
        <v>0</v>
      </c>
      <c r="H104" s="16" t="n">
        <v>3</v>
      </c>
      <c r="I104" s="33" t="n">
        <v>224832.24</v>
      </c>
      <c r="J104" s="33" t="n">
        <v>224832.24</v>
      </c>
    </row>
    <row r="105" customFormat="false" ht="15" hidden="false" customHeight="false" outlineLevel="0" collapsed="false">
      <c r="A105" s="3" t="s">
        <v>494</v>
      </c>
      <c r="B105" s="3" t="s">
        <v>281</v>
      </c>
      <c r="C105" s="3" t="s">
        <v>401</v>
      </c>
      <c r="D105" s="3" t="s">
        <v>381</v>
      </c>
      <c r="E105" s="3" t="s">
        <v>382</v>
      </c>
      <c r="F105" s="16" t="n">
        <v>24</v>
      </c>
      <c r="G105" s="15" t="n">
        <v>0</v>
      </c>
      <c r="H105" s="16" t="n">
        <v>24</v>
      </c>
      <c r="I105" s="33" t="n">
        <v>220155.6</v>
      </c>
      <c r="J105" s="33" t="n">
        <v>220155.6</v>
      </c>
    </row>
    <row r="106" customFormat="false" ht="15" hidden="false" customHeight="false" outlineLevel="0" collapsed="false">
      <c r="A106" s="3" t="s">
        <v>495</v>
      </c>
      <c r="B106" s="3" t="s">
        <v>281</v>
      </c>
      <c r="C106" s="3" t="s">
        <v>403</v>
      </c>
      <c r="D106" s="3" t="s">
        <v>388</v>
      </c>
      <c r="E106" s="3" t="s">
        <v>382</v>
      </c>
      <c r="F106" s="16" t="n">
        <v>12</v>
      </c>
      <c r="G106" s="15" t="n">
        <v>0</v>
      </c>
      <c r="H106" s="16" t="n">
        <v>9</v>
      </c>
      <c r="I106" s="33" t="n">
        <v>219401.52</v>
      </c>
      <c r="J106" s="33" t="n">
        <v>219401.52</v>
      </c>
    </row>
    <row r="107" customFormat="false" ht="15" hidden="false" customHeight="false" outlineLevel="0" collapsed="false">
      <c r="A107" s="3" t="s">
        <v>496</v>
      </c>
      <c r="B107" s="3" t="s">
        <v>281</v>
      </c>
      <c r="C107" s="3" t="s">
        <v>384</v>
      </c>
      <c r="D107" s="3" t="s">
        <v>381</v>
      </c>
      <c r="E107" s="3" t="s">
        <v>385</v>
      </c>
      <c r="F107" s="16" t="n">
        <v>36</v>
      </c>
      <c r="G107" s="15" t="n">
        <v>0</v>
      </c>
      <c r="H107" s="16" t="n">
        <v>14</v>
      </c>
      <c r="I107" s="33" t="n">
        <v>218969.4</v>
      </c>
      <c r="J107" s="33" t="n">
        <v>218969.4</v>
      </c>
    </row>
    <row r="108" customFormat="false" ht="15" hidden="false" customHeight="false" outlineLevel="0" collapsed="false">
      <c r="A108" s="3" t="s">
        <v>497</v>
      </c>
      <c r="B108" s="3" t="s">
        <v>281</v>
      </c>
      <c r="C108" s="3" t="s">
        <v>387</v>
      </c>
      <c r="D108" s="3" t="s">
        <v>388</v>
      </c>
      <c r="E108" s="3" t="s">
        <v>385</v>
      </c>
      <c r="F108" s="16" t="n">
        <v>36</v>
      </c>
      <c r="G108" s="15" t="n">
        <v>0</v>
      </c>
      <c r="H108" s="16" t="n">
        <v>4</v>
      </c>
      <c r="I108" s="33" t="n">
        <v>218248.92</v>
      </c>
      <c r="J108" s="33" t="n">
        <v>218248.92</v>
      </c>
    </row>
    <row r="109" customFormat="false" ht="15" hidden="false" customHeight="false" outlineLevel="0" collapsed="false">
      <c r="A109" s="3" t="s">
        <v>498</v>
      </c>
      <c r="B109" s="3" t="s">
        <v>281</v>
      </c>
      <c r="C109" s="3" t="s">
        <v>387</v>
      </c>
      <c r="D109" s="3" t="s">
        <v>381</v>
      </c>
      <c r="E109" s="3" t="s">
        <v>398</v>
      </c>
      <c r="F109" s="16" t="n">
        <v>12</v>
      </c>
      <c r="G109" s="15" t="n">
        <v>0</v>
      </c>
      <c r="H109" s="16" t="n">
        <v>11</v>
      </c>
      <c r="I109" s="33" t="n">
        <v>217230.12</v>
      </c>
      <c r="J109" s="33" t="n">
        <v>217230.12</v>
      </c>
    </row>
    <row r="110" customFormat="false" ht="15" hidden="false" customHeight="false" outlineLevel="0" collapsed="false">
      <c r="A110" s="3" t="s">
        <v>499</v>
      </c>
      <c r="B110" s="3" t="s">
        <v>281</v>
      </c>
      <c r="C110" s="3" t="s">
        <v>405</v>
      </c>
      <c r="D110" s="3" t="s">
        <v>381</v>
      </c>
      <c r="E110" s="3" t="s">
        <v>385</v>
      </c>
      <c r="F110" s="16" t="n">
        <v>12</v>
      </c>
      <c r="G110" s="15" t="n">
        <v>0.15</v>
      </c>
      <c r="H110" s="16" t="n">
        <v>3</v>
      </c>
      <c r="I110" s="33" t="n">
        <v>216560.04</v>
      </c>
      <c r="J110" s="33" t="n">
        <v>254776.44</v>
      </c>
    </row>
    <row r="111" customFormat="false" ht="15" hidden="false" customHeight="false" outlineLevel="0" collapsed="false">
      <c r="A111" s="3" t="s">
        <v>500</v>
      </c>
      <c r="B111" s="3" t="s">
        <v>281</v>
      </c>
      <c r="C111" s="3" t="s">
        <v>387</v>
      </c>
      <c r="D111" s="3" t="s">
        <v>381</v>
      </c>
      <c r="E111" s="3" t="s">
        <v>385</v>
      </c>
      <c r="F111" s="16" t="n">
        <v>12</v>
      </c>
      <c r="G111" s="15" t="n">
        <v>0</v>
      </c>
      <c r="H111" s="16" t="n">
        <v>11</v>
      </c>
      <c r="I111" s="33" t="n">
        <v>216314.88</v>
      </c>
      <c r="J111" s="33" t="n">
        <v>216314.88</v>
      </c>
    </row>
    <row r="112" customFormat="false" ht="15" hidden="false" customHeight="false" outlineLevel="0" collapsed="false">
      <c r="A112" s="3" t="s">
        <v>501</v>
      </c>
      <c r="B112" s="3" t="s">
        <v>281</v>
      </c>
      <c r="C112" s="3" t="s">
        <v>387</v>
      </c>
      <c r="D112" s="3" t="s">
        <v>418</v>
      </c>
      <c r="E112" s="3" t="s">
        <v>385</v>
      </c>
      <c r="F112" s="16" t="n">
        <v>24</v>
      </c>
      <c r="G112" s="15" t="n">
        <v>0</v>
      </c>
      <c r="H112" s="16" t="n">
        <v>24</v>
      </c>
      <c r="I112" s="33" t="n">
        <v>215373.12</v>
      </c>
      <c r="J112" s="33" t="n">
        <v>215373.12</v>
      </c>
    </row>
    <row r="113" customFormat="false" ht="15" hidden="false" customHeight="false" outlineLevel="0" collapsed="false">
      <c r="A113" s="3" t="s">
        <v>502</v>
      </c>
      <c r="B113" s="3" t="s">
        <v>281</v>
      </c>
      <c r="C113" s="3" t="s">
        <v>384</v>
      </c>
      <c r="D113" s="3" t="s">
        <v>392</v>
      </c>
      <c r="E113" s="3" t="s">
        <v>398</v>
      </c>
      <c r="F113" s="16" t="n">
        <v>12</v>
      </c>
      <c r="G113" s="15" t="n">
        <v>0</v>
      </c>
      <c r="H113" s="16" t="n">
        <v>3</v>
      </c>
      <c r="I113" s="33" t="n">
        <v>214679.4</v>
      </c>
      <c r="J113" s="33" t="n">
        <v>214679.4</v>
      </c>
    </row>
    <row r="114" customFormat="false" ht="15" hidden="false" customHeight="false" outlineLevel="0" collapsed="false">
      <c r="A114" s="3" t="s">
        <v>503</v>
      </c>
      <c r="B114" s="3" t="s">
        <v>281</v>
      </c>
      <c r="C114" s="3" t="s">
        <v>384</v>
      </c>
      <c r="D114" s="3" t="s">
        <v>381</v>
      </c>
      <c r="E114" s="3" t="s">
        <v>398</v>
      </c>
      <c r="F114" s="16" t="n">
        <v>24</v>
      </c>
      <c r="G114" s="15" t="n">
        <v>0.15</v>
      </c>
      <c r="H114" s="16" t="n">
        <v>9</v>
      </c>
      <c r="I114" s="33" t="n">
        <v>212393.64</v>
      </c>
      <c r="J114" s="33" t="n">
        <v>249874.8</v>
      </c>
    </row>
    <row r="115" customFormat="false" ht="15" hidden="false" customHeight="false" outlineLevel="0" collapsed="false">
      <c r="A115" s="3" t="s">
        <v>504</v>
      </c>
      <c r="B115" s="3" t="s">
        <v>281</v>
      </c>
      <c r="C115" s="3" t="s">
        <v>403</v>
      </c>
      <c r="D115" s="3" t="s">
        <v>388</v>
      </c>
      <c r="E115" s="3" t="s">
        <v>398</v>
      </c>
      <c r="F115" s="16" t="n">
        <v>36</v>
      </c>
      <c r="G115" s="15" t="n">
        <v>0</v>
      </c>
      <c r="H115" s="16" t="n">
        <v>28</v>
      </c>
      <c r="I115" s="33" t="n">
        <v>211288.56</v>
      </c>
      <c r="J115" s="33" t="n">
        <v>211288.56</v>
      </c>
    </row>
    <row r="116" customFormat="false" ht="15" hidden="false" customHeight="false" outlineLevel="0" collapsed="false">
      <c r="A116" s="3" t="s">
        <v>505</v>
      </c>
      <c r="B116" s="3" t="s">
        <v>281</v>
      </c>
      <c r="C116" s="3" t="s">
        <v>396</v>
      </c>
      <c r="D116" s="3" t="s">
        <v>381</v>
      </c>
      <c r="E116" s="3" t="s">
        <v>385</v>
      </c>
      <c r="F116" s="16" t="n">
        <v>36</v>
      </c>
      <c r="G116" s="15" t="n">
        <v>0</v>
      </c>
      <c r="H116" s="16" t="n">
        <v>36</v>
      </c>
      <c r="I116" s="33" t="n">
        <v>210525.96</v>
      </c>
      <c r="J116" s="33" t="n">
        <v>210525.96</v>
      </c>
    </row>
    <row r="117" customFormat="false" ht="15" hidden="false" customHeight="false" outlineLevel="0" collapsed="false">
      <c r="A117" s="3" t="s">
        <v>506</v>
      </c>
      <c r="B117" s="3" t="s">
        <v>281</v>
      </c>
      <c r="C117" s="3" t="s">
        <v>403</v>
      </c>
      <c r="D117" s="3" t="s">
        <v>381</v>
      </c>
      <c r="E117" s="3" t="s">
        <v>382</v>
      </c>
      <c r="F117" s="16" t="n">
        <v>12</v>
      </c>
      <c r="G117" s="15" t="n">
        <v>0</v>
      </c>
      <c r="H117" s="16" t="n">
        <v>5</v>
      </c>
      <c r="I117" s="33" t="n">
        <v>209644.2</v>
      </c>
      <c r="J117" s="33" t="n">
        <v>209644.2</v>
      </c>
    </row>
    <row r="118" customFormat="false" ht="15" hidden="false" customHeight="false" outlineLevel="0" collapsed="false">
      <c r="A118" s="3" t="s">
        <v>507</v>
      </c>
      <c r="B118" s="3" t="s">
        <v>281</v>
      </c>
      <c r="C118" s="3" t="s">
        <v>401</v>
      </c>
      <c r="D118" s="3" t="s">
        <v>392</v>
      </c>
      <c r="E118" s="3" t="s">
        <v>398</v>
      </c>
      <c r="F118" s="16" t="n">
        <v>12</v>
      </c>
      <c r="G118" s="15" t="n">
        <v>0.1</v>
      </c>
      <c r="H118" s="16" t="n">
        <v>8</v>
      </c>
      <c r="I118" s="33" t="n">
        <v>208765.32</v>
      </c>
      <c r="J118" s="33" t="n">
        <v>231961.44</v>
      </c>
    </row>
    <row r="119" customFormat="false" ht="15" hidden="false" customHeight="false" outlineLevel="0" collapsed="false">
      <c r="A119" s="3" t="s">
        <v>508</v>
      </c>
      <c r="B119" s="3" t="s">
        <v>281</v>
      </c>
      <c r="C119" s="3" t="s">
        <v>384</v>
      </c>
      <c r="D119" s="3" t="s">
        <v>381</v>
      </c>
      <c r="E119" s="3" t="s">
        <v>382</v>
      </c>
      <c r="F119" s="16" t="n">
        <v>24</v>
      </c>
      <c r="G119" s="15" t="n">
        <v>0</v>
      </c>
      <c r="H119" s="16" t="n">
        <v>4</v>
      </c>
      <c r="I119" s="33" t="n">
        <v>207656.16</v>
      </c>
      <c r="J119" s="33" t="n">
        <v>207656.16</v>
      </c>
    </row>
    <row r="120" customFormat="false" ht="15" hidden="false" customHeight="false" outlineLevel="0" collapsed="false">
      <c r="A120" s="3" t="s">
        <v>509</v>
      </c>
      <c r="B120" s="3" t="s">
        <v>281</v>
      </c>
      <c r="C120" s="3" t="s">
        <v>396</v>
      </c>
      <c r="D120" s="3" t="s">
        <v>381</v>
      </c>
      <c r="E120" s="3" t="s">
        <v>398</v>
      </c>
      <c r="F120" s="16" t="n">
        <v>36</v>
      </c>
      <c r="G120" s="15" t="n">
        <v>0</v>
      </c>
      <c r="H120" s="16" t="n">
        <v>10</v>
      </c>
      <c r="I120" s="33" t="n">
        <v>206684.28</v>
      </c>
      <c r="J120" s="33" t="n">
        <v>206684.28</v>
      </c>
    </row>
    <row r="121" customFormat="false" ht="15" hidden="false" customHeight="false" outlineLevel="0" collapsed="false">
      <c r="A121" s="3" t="s">
        <v>510</v>
      </c>
      <c r="B121" s="3" t="s">
        <v>281</v>
      </c>
      <c r="C121" s="3" t="s">
        <v>384</v>
      </c>
      <c r="D121" s="3" t="s">
        <v>381</v>
      </c>
      <c r="E121" s="3" t="s">
        <v>382</v>
      </c>
      <c r="F121" s="16" t="n">
        <v>24</v>
      </c>
      <c r="G121" s="15" t="n">
        <v>0</v>
      </c>
      <c r="H121" s="16" t="n">
        <v>12</v>
      </c>
      <c r="I121" s="33" t="n">
        <v>205274.52</v>
      </c>
      <c r="J121" s="33" t="n">
        <v>205274.52</v>
      </c>
    </row>
    <row r="122" customFormat="false" ht="15" hidden="false" customHeight="false" outlineLevel="0" collapsed="false">
      <c r="A122" s="3" t="s">
        <v>511</v>
      </c>
      <c r="B122" s="3" t="s">
        <v>281</v>
      </c>
      <c r="C122" s="3" t="s">
        <v>387</v>
      </c>
      <c r="D122" s="3" t="s">
        <v>381</v>
      </c>
      <c r="E122" s="3" t="s">
        <v>382</v>
      </c>
      <c r="F122" s="16" t="n">
        <v>24</v>
      </c>
      <c r="G122" s="15" t="n">
        <v>0</v>
      </c>
      <c r="H122" s="16" t="n">
        <v>20</v>
      </c>
      <c r="I122" s="33" t="n">
        <v>204801.12</v>
      </c>
      <c r="J122" s="33" t="n">
        <v>204801.12</v>
      </c>
    </row>
    <row r="123" customFormat="false" ht="15" hidden="false" customHeight="false" outlineLevel="0" collapsed="false">
      <c r="A123" s="3" t="s">
        <v>512</v>
      </c>
      <c r="B123" s="3" t="s">
        <v>281</v>
      </c>
      <c r="C123" s="3" t="s">
        <v>403</v>
      </c>
      <c r="D123" s="3" t="s">
        <v>392</v>
      </c>
      <c r="E123" s="3" t="s">
        <v>382</v>
      </c>
      <c r="F123" s="16" t="n">
        <v>12</v>
      </c>
      <c r="G123" s="15" t="n">
        <v>0.05</v>
      </c>
      <c r="H123" s="16" t="n">
        <v>1</v>
      </c>
      <c r="I123" s="33" t="n">
        <v>204588.12</v>
      </c>
      <c r="J123" s="33" t="n">
        <v>215355.96</v>
      </c>
    </row>
    <row r="124" customFormat="false" ht="15" hidden="false" customHeight="false" outlineLevel="0" collapsed="false">
      <c r="A124" s="3" t="s">
        <v>513</v>
      </c>
      <c r="B124" s="3" t="s">
        <v>281</v>
      </c>
      <c r="C124" s="3" t="s">
        <v>401</v>
      </c>
      <c r="D124" s="3" t="s">
        <v>381</v>
      </c>
      <c r="E124" s="3" t="s">
        <v>382</v>
      </c>
      <c r="F124" s="16" t="n">
        <v>12</v>
      </c>
      <c r="G124" s="15" t="n">
        <v>0.1</v>
      </c>
      <c r="H124" s="16" t="n">
        <v>4</v>
      </c>
      <c r="I124" s="33" t="n">
        <v>203429.88</v>
      </c>
      <c r="J124" s="33" t="n">
        <v>226033.08</v>
      </c>
    </row>
    <row r="125" customFormat="false" ht="15" hidden="false" customHeight="false" outlineLevel="0" collapsed="false">
      <c r="A125" s="3" t="s">
        <v>514</v>
      </c>
      <c r="B125" s="3" t="s">
        <v>281</v>
      </c>
      <c r="C125" s="3" t="s">
        <v>380</v>
      </c>
      <c r="D125" s="3" t="s">
        <v>392</v>
      </c>
      <c r="E125" s="3" t="s">
        <v>385</v>
      </c>
      <c r="F125" s="16" t="n">
        <v>12</v>
      </c>
      <c r="G125" s="15" t="n">
        <v>0</v>
      </c>
      <c r="H125" s="16" t="n">
        <v>9</v>
      </c>
      <c r="I125" s="33" t="n">
        <v>202587</v>
      </c>
      <c r="J125" s="33" t="n">
        <v>202587</v>
      </c>
    </row>
    <row r="126" customFormat="false" ht="15" hidden="false" customHeight="false" outlineLevel="0" collapsed="false">
      <c r="A126" s="3" t="s">
        <v>515</v>
      </c>
      <c r="B126" s="3" t="s">
        <v>281</v>
      </c>
      <c r="C126" s="3" t="s">
        <v>396</v>
      </c>
      <c r="D126" s="3" t="s">
        <v>388</v>
      </c>
      <c r="E126" s="3" t="s">
        <v>385</v>
      </c>
      <c r="F126" s="16" t="n">
        <v>24</v>
      </c>
      <c r="G126" s="15" t="n">
        <v>0</v>
      </c>
      <c r="H126" s="16" t="n">
        <v>13</v>
      </c>
      <c r="I126" s="33" t="n">
        <v>200997</v>
      </c>
      <c r="J126" s="33" t="n">
        <v>200997</v>
      </c>
    </row>
    <row r="127" customFormat="false" ht="15" hidden="false" customHeight="false" outlineLevel="0" collapsed="false">
      <c r="A127" s="3" t="s">
        <v>516</v>
      </c>
      <c r="B127" s="3" t="s">
        <v>281</v>
      </c>
      <c r="C127" s="3" t="s">
        <v>401</v>
      </c>
      <c r="D127" s="3" t="s">
        <v>388</v>
      </c>
      <c r="E127" s="3" t="s">
        <v>385</v>
      </c>
      <c r="F127" s="16" t="n">
        <v>24</v>
      </c>
      <c r="G127" s="15" t="n">
        <v>0</v>
      </c>
      <c r="H127" s="16" t="n">
        <v>12</v>
      </c>
      <c r="I127" s="33" t="n">
        <v>200718</v>
      </c>
      <c r="J127" s="33" t="n">
        <v>200718</v>
      </c>
    </row>
    <row r="128" customFormat="false" ht="15" hidden="false" customHeight="false" outlineLevel="0" collapsed="false">
      <c r="A128" s="3" t="s">
        <v>517</v>
      </c>
      <c r="B128" s="3" t="s">
        <v>281</v>
      </c>
      <c r="C128" s="3" t="s">
        <v>384</v>
      </c>
      <c r="D128" s="3" t="s">
        <v>418</v>
      </c>
      <c r="E128" s="3" t="s">
        <v>398</v>
      </c>
      <c r="F128" s="16" t="n">
        <v>36</v>
      </c>
      <c r="G128" s="15" t="n">
        <v>0</v>
      </c>
      <c r="H128" s="16" t="n">
        <v>11</v>
      </c>
      <c r="I128" s="33" t="n">
        <v>200395.8</v>
      </c>
      <c r="J128" s="33" t="n">
        <v>200395.8</v>
      </c>
    </row>
    <row r="129" customFormat="false" ht="15" hidden="false" customHeight="false" outlineLevel="0" collapsed="false">
      <c r="A129" s="3" t="s">
        <v>518</v>
      </c>
      <c r="B129" s="3" t="s">
        <v>281</v>
      </c>
      <c r="C129" s="3" t="s">
        <v>387</v>
      </c>
      <c r="D129" s="3" t="s">
        <v>381</v>
      </c>
      <c r="E129" s="3" t="s">
        <v>385</v>
      </c>
      <c r="F129" s="16" t="n">
        <v>24</v>
      </c>
      <c r="G129" s="15" t="n">
        <v>0</v>
      </c>
      <c r="H129" s="16" t="n">
        <v>13</v>
      </c>
      <c r="I129" s="33" t="n">
        <v>197881.56</v>
      </c>
      <c r="J129" s="33" t="n">
        <v>197881.56</v>
      </c>
    </row>
    <row r="130" customFormat="false" ht="15" hidden="false" customHeight="false" outlineLevel="0" collapsed="false">
      <c r="A130" s="3" t="s">
        <v>519</v>
      </c>
      <c r="B130" s="3" t="s">
        <v>281</v>
      </c>
      <c r="C130" s="3" t="s">
        <v>380</v>
      </c>
      <c r="D130" s="3" t="s">
        <v>381</v>
      </c>
      <c r="E130" s="3" t="s">
        <v>398</v>
      </c>
      <c r="F130" s="16" t="n">
        <v>24</v>
      </c>
      <c r="G130" s="15" t="n">
        <v>0.1</v>
      </c>
      <c r="H130" s="16" t="n">
        <v>13</v>
      </c>
      <c r="I130" s="33" t="n">
        <v>197427.36</v>
      </c>
      <c r="J130" s="33" t="n">
        <v>219363.72</v>
      </c>
    </row>
    <row r="131" customFormat="false" ht="15" hidden="false" customHeight="false" outlineLevel="0" collapsed="false">
      <c r="A131" s="3" t="s">
        <v>520</v>
      </c>
      <c r="B131" s="3" t="s">
        <v>281</v>
      </c>
      <c r="C131" s="3" t="s">
        <v>396</v>
      </c>
      <c r="D131" s="3" t="s">
        <v>381</v>
      </c>
      <c r="E131" s="3" t="s">
        <v>385</v>
      </c>
      <c r="F131" s="16" t="n">
        <v>12</v>
      </c>
      <c r="G131" s="15" t="n">
        <v>0</v>
      </c>
      <c r="H131" s="16" t="n">
        <v>11</v>
      </c>
      <c r="I131" s="33" t="n">
        <v>197060.16</v>
      </c>
      <c r="J131" s="33" t="n">
        <v>197060.16</v>
      </c>
    </row>
    <row r="132" customFormat="false" ht="15" hidden="false" customHeight="false" outlineLevel="0" collapsed="false">
      <c r="A132" s="3" t="s">
        <v>521</v>
      </c>
      <c r="B132" s="3" t="s">
        <v>281</v>
      </c>
      <c r="C132" s="3" t="s">
        <v>403</v>
      </c>
      <c r="D132" s="3" t="s">
        <v>381</v>
      </c>
      <c r="E132" s="3" t="s">
        <v>385</v>
      </c>
      <c r="F132" s="16" t="n">
        <v>12</v>
      </c>
      <c r="G132" s="15" t="n">
        <v>0.1</v>
      </c>
      <c r="H132" s="16" t="n">
        <v>6</v>
      </c>
      <c r="I132" s="33" t="n">
        <v>196903.2</v>
      </c>
      <c r="J132" s="33" t="n">
        <v>218781.36</v>
      </c>
    </row>
    <row r="133" customFormat="false" ht="15" hidden="false" customHeight="false" outlineLevel="0" collapsed="false">
      <c r="A133" s="3" t="s">
        <v>522</v>
      </c>
      <c r="B133" s="3" t="s">
        <v>281</v>
      </c>
      <c r="C133" s="3" t="s">
        <v>380</v>
      </c>
      <c r="D133" s="3" t="s">
        <v>392</v>
      </c>
      <c r="E133" s="3" t="s">
        <v>385</v>
      </c>
      <c r="F133" s="16" t="n">
        <v>36</v>
      </c>
      <c r="G133" s="15" t="n">
        <v>0.05</v>
      </c>
      <c r="H133" s="16" t="n">
        <v>15</v>
      </c>
      <c r="I133" s="33" t="n">
        <v>195654.24</v>
      </c>
      <c r="J133" s="33" t="n">
        <v>205951.8</v>
      </c>
    </row>
    <row r="134" customFormat="false" ht="15" hidden="false" customHeight="false" outlineLevel="0" collapsed="false">
      <c r="A134" s="3" t="s">
        <v>523</v>
      </c>
      <c r="B134" s="3" t="s">
        <v>281</v>
      </c>
      <c r="C134" s="3" t="s">
        <v>405</v>
      </c>
      <c r="D134" s="3" t="s">
        <v>381</v>
      </c>
      <c r="E134" s="3" t="s">
        <v>398</v>
      </c>
      <c r="F134" s="16" t="n">
        <v>12</v>
      </c>
      <c r="G134" s="15" t="n">
        <v>0</v>
      </c>
      <c r="H134" s="16" t="n">
        <v>11</v>
      </c>
      <c r="I134" s="33" t="n">
        <v>194388.24</v>
      </c>
      <c r="J134" s="33" t="n">
        <v>194388.24</v>
      </c>
    </row>
    <row r="135" customFormat="false" ht="15" hidden="false" customHeight="false" outlineLevel="0" collapsed="false">
      <c r="A135" s="3" t="s">
        <v>524</v>
      </c>
      <c r="B135" s="3" t="s">
        <v>281</v>
      </c>
      <c r="C135" s="3" t="s">
        <v>396</v>
      </c>
      <c r="D135" s="3" t="s">
        <v>392</v>
      </c>
      <c r="E135" s="3" t="s">
        <v>382</v>
      </c>
      <c r="F135" s="16" t="n">
        <v>12</v>
      </c>
      <c r="G135" s="15" t="n">
        <v>0.25</v>
      </c>
      <c r="H135" s="16" t="n">
        <v>2</v>
      </c>
      <c r="I135" s="33" t="n">
        <v>194223.96</v>
      </c>
      <c r="J135" s="33" t="n">
        <v>258965.28</v>
      </c>
    </row>
    <row r="136" customFormat="false" ht="15" hidden="false" customHeight="false" outlineLevel="0" collapsed="false">
      <c r="A136" s="3" t="s">
        <v>525</v>
      </c>
      <c r="B136" s="3" t="s">
        <v>282</v>
      </c>
      <c r="C136" s="3" t="s">
        <v>387</v>
      </c>
      <c r="D136" s="3" t="s">
        <v>418</v>
      </c>
      <c r="E136" s="3" t="s">
        <v>382</v>
      </c>
      <c r="F136" s="16" t="n">
        <v>12</v>
      </c>
      <c r="G136" s="15" t="n">
        <v>0</v>
      </c>
      <c r="H136" s="16" t="n">
        <v>11</v>
      </c>
      <c r="I136" s="33" t="n">
        <v>193868.28</v>
      </c>
      <c r="J136" s="33" t="n">
        <v>193868.28</v>
      </c>
    </row>
    <row r="137" customFormat="false" ht="15" hidden="false" customHeight="false" outlineLevel="0" collapsed="false">
      <c r="A137" s="3" t="s">
        <v>526</v>
      </c>
      <c r="B137" s="3" t="s">
        <v>281</v>
      </c>
      <c r="C137" s="3" t="s">
        <v>380</v>
      </c>
      <c r="D137" s="3" t="s">
        <v>381</v>
      </c>
      <c r="E137" s="3" t="s">
        <v>398</v>
      </c>
      <c r="F137" s="16" t="n">
        <v>36</v>
      </c>
      <c r="G137" s="15" t="n">
        <v>0</v>
      </c>
      <c r="H137" s="16" t="n">
        <v>30</v>
      </c>
      <c r="I137" s="33" t="n">
        <v>193655.76</v>
      </c>
      <c r="J137" s="33" t="n">
        <v>193655.76</v>
      </c>
    </row>
    <row r="138" customFormat="false" ht="15" hidden="false" customHeight="false" outlineLevel="0" collapsed="false">
      <c r="A138" s="3" t="s">
        <v>527</v>
      </c>
      <c r="B138" s="3" t="s">
        <v>281</v>
      </c>
      <c r="C138" s="3" t="s">
        <v>396</v>
      </c>
      <c r="D138" s="3" t="s">
        <v>392</v>
      </c>
      <c r="E138" s="3" t="s">
        <v>385</v>
      </c>
      <c r="F138" s="16" t="n">
        <v>24</v>
      </c>
      <c r="G138" s="15" t="n">
        <v>0</v>
      </c>
      <c r="H138" s="16" t="n">
        <v>13</v>
      </c>
      <c r="I138" s="33" t="n">
        <v>192297.24</v>
      </c>
      <c r="J138" s="33" t="n">
        <v>192297.24</v>
      </c>
    </row>
    <row r="139" customFormat="false" ht="15" hidden="false" customHeight="false" outlineLevel="0" collapsed="false">
      <c r="A139" s="3" t="s">
        <v>528</v>
      </c>
      <c r="B139" s="3" t="s">
        <v>281</v>
      </c>
      <c r="C139" s="3" t="s">
        <v>401</v>
      </c>
      <c r="D139" s="3" t="s">
        <v>381</v>
      </c>
      <c r="E139" s="3" t="s">
        <v>398</v>
      </c>
      <c r="F139" s="16" t="n">
        <v>24</v>
      </c>
      <c r="G139" s="15" t="n">
        <v>0</v>
      </c>
      <c r="H139" s="16" t="n">
        <v>21</v>
      </c>
      <c r="I139" s="33" t="n">
        <v>191871.96</v>
      </c>
      <c r="J139" s="33" t="n">
        <v>191871.96</v>
      </c>
    </row>
    <row r="140" customFormat="false" ht="15" hidden="false" customHeight="false" outlineLevel="0" collapsed="false">
      <c r="A140" s="3" t="s">
        <v>529</v>
      </c>
      <c r="B140" s="3" t="s">
        <v>281</v>
      </c>
      <c r="C140" s="3" t="s">
        <v>396</v>
      </c>
      <c r="D140" s="3" t="s">
        <v>381</v>
      </c>
      <c r="E140" s="3" t="s">
        <v>382</v>
      </c>
      <c r="F140" s="16" t="n">
        <v>24</v>
      </c>
      <c r="G140" s="15" t="n">
        <v>0</v>
      </c>
      <c r="H140" s="16" t="n">
        <v>20</v>
      </c>
      <c r="I140" s="33" t="n">
        <v>191076.48</v>
      </c>
      <c r="J140" s="33" t="n">
        <v>191076.48</v>
      </c>
    </row>
    <row r="141" customFormat="false" ht="15" hidden="false" customHeight="false" outlineLevel="0" collapsed="false">
      <c r="A141" s="3" t="s">
        <v>530</v>
      </c>
      <c r="B141" s="3" t="s">
        <v>281</v>
      </c>
      <c r="C141" s="3" t="s">
        <v>380</v>
      </c>
      <c r="D141" s="3" t="s">
        <v>381</v>
      </c>
      <c r="E141" s="3" t="s">
        <v>398</v>
      </c>
      <c r="F141" s="16" t="n">
        <v>12</v>
      </c>
      <c r="G141" s="15" t="n">
        <v>0.25</v>
      </c>
      <c r="H141" s="16" t="n">
        <v>1</v>
      </c>
      <c r="I141" s="33" t="n">
        <v>188805.36</v>
      </c>
      <c r="J141" s="33" t="n">
        <v>251740.56</v>
      </c>
    </row>
    <row r="142" customFormat="false" ht="15" hidden="false" customHeight="false" outlineLevel="0" collapsed="false">
      <c r="A142" s="3" t="s">
        <v>531</v>
      </c>
      <c r="B142" s="3" t="s">
        <v>281</v>
      </c>
      <c r="C142" s="3" t="s">
        <v>384</v>
      </c>
      <c r="D142" s="3" t="s">
        <v>381</v>
      </c>
      <c r="E142" s="3" t="s">
        <v>385</v>
      </c>
      <c r="F142" s="16" t="n">
        <v>36</v>
      </c>
      <c r="G142" s="15" t="n">
        <v>0</v>
      </c>
      <c r="H142" s="16" t="n">
        <v>29</v>
      </c>
      <c r="I142" s="33" t="n">
        <v>188296.56</v>
      </c>
      <c r="J142" s="33" t="n">
        <v>188296.56</v>
      </c>
    </row>
    <row r="143" customFormat="false" ht="15" hidden="false" customHeight="false" outlineLevel="0" collapsed="false">
      <c r="A143" s="3" t="s">
        <v>532</v>
      </c>
      <c r="B143" s="3" t="s">
        <v>282</v>
      </c>
      <c r="C143" s="3" t="s">
        <v>384</v>
      </c>
      <c r="D143" s="3" t="s">
        <v>392</v>
      </c>
      <c r="E143" s="3" t="s">
        <v>382</v>
      </c>
      <c r="F143" s="16" t="n">
        <v>12</v>
      </c>
      <c r="G143" s="15" t="n">
        <v>0</v>
      </c>
      <c r="H143" s="16" t="n">
        <v>4</v>
      </c>
      <c r="I143" s="33" t="n">
        <v>188091.96</v>
      </c>
      <c r="J143" s="33" t="n">
        <v>188091.96</v>
      </c>
    </row>
    <row r="144" customFormat="false" ht="15" hidden="false" customHeight="false" outlineLevel="0" collapsed="false">
      <c r="A144" s="3" t="s">
        <v>533</v>
      </c>
      <c r="B144" s="3" t="s">
        <v>281</v>
      </c>
      <c r="C144" s="3" t="s">
        <v>380</v>
      </c>
      <c r="D144" s="3" t="s">
        <v>381</v>
      </c>
      <c r="E144" s="3" t="s">
        <v>398</v>
      </c>
      <c r="F144" s="16" t="n">
        <v>12</v>
      </c>
      <c r="G144" s="15" t="n">
        <v>0</v>
      </c>
      <c r="H144" s="16" t="n">
        <v>8</v>
      </c>
      <c r="I144" s="33" t="n">
        <v>186448.68</v>
      </c>
      <c r="J144" s="33" t="n">
        <v>186448.68</v>
      </c>
    </row>
    <row r="145" customFormat="false" ht="15" hidden="false" customHeight="false" outlineLevel="0" collapsed="false">
      <c r="A145" s="3" t="s">
        <v>534</v>
      </c>
      <c r="B145" s="3" t="s">
        <v>281</v>
      </c>
      <c r="C145" s="3" t="s">
        <v>384</v>
      </c>
      <c r="D145" s="3" t="s">
        <v>388</v>
      </c>
      <c r="E145" s="3" t="s">
        <v>398</v>
      </c>
      <c r="F145" s="16" t="n">
        <v>36</v>
      </c>
      <c r="G145" s="15" t="n">
        <v>0</v>
      </c>
      <c r="H145" s="16" t="n">
        <v>15</v>
      </c>
      <c r="I145" s="33" t="n">
        <v>185926.92</v>
      </c>
      <c r="J145" s="33" t="n">
        <v>185926.92</v>
      </c>
    </row>
    <row r="146" customFormat="false" ht="15" hidden="false" customHeight="false" outlineLevel="0" collapsed="false">
      <c r="A146" s="3" t="s">
        <v>535</v>
      </c>
      <c r="B146" s="3" t="s">
        <v>281</v>
      </c>
      <c r="C146" s="3" t="s">
        <v>405</v>
      </c>
      <c r="D146" s="3" t="s">
        <v>381</v>
      </c>
      <c r="E146" s="3" t="s">
        <v>385</v>
      </c>
      <c r="F146" s="16" t="n">
        <v>12</v>
      </c>
      <c r="G146" s="15" t="n">
        <v>0.1</v>
      </c>
      <c r="H146" s="16" t="n">
        <v>11</v>
      </c>
      <c r="I146" s="33" t="n">
        <v>185887.2</v>
      </c>
      <c r="J146" s="33" t="n">
        <v>206541.36</v>
      </c>
    </row>
    <row r="147" customFormat="false" ht="15" hidden="false" customHeight="false" outlineLevel="0" collapsed="false">
      <c r="A147" s="3" t="s">
        <v>536</v>
      </c>
      <c r="B147" s="3" t="s">
        <v>281</v>
      </c>
      <c r="C147" s="3" t="s">
        <v>405</v>
      </c>
      <c r="D147" s="3" t="s">
        <v>381</v>
      </c>
      <c r="E147" s="3" t="s">
        <v>398</v>
      </c>
      <c r="F147" s="16" t="n">
        <v>12</v>
      </c>
      <c r="G147" s="15" t="n">
        <v>0.1</v>
      </c>
      <c r="H147" s="16" t="n">
        <v>9</v>
      </c>
      <c r="I147" s="33" t="n">
        <v>185749.8</v>
      </c>
      <c r="J147" s="33" t="n">
        <v>206388.72</v>
      </c>
    </row>
    <row r="148" customFormat="false" ht="15" hidden="false" customHeight="false" outlineLevel="0" collapsed="false">
      <c r="A148" s="3" t="s">
        <v>537</v>
      </c>
      <c r="B148" s="3" t="s">
        <v>281</v>
      </c>
      <c r="C148" s="3" t="s">
        <v>401</v>
      </c>
      <c r="D148" s="3" t="s">
        <v>388</v>
      </c>
      <c r="E148" s="3" t="s">
        <v>385</v>
      </c>
      <c r="F148" s="16" t="n">
        <v>36</v>
      </c>
      <c r="G148" s="15" t="n">
        <v>0</v>
      </c>
      <c r="H148" s="16" t="n">
        <v>16</v>
      </c>
      <c r="I148" s="33" t="n">
        <v>185366.28</v>
      </c>
      <c r="J148" s="33" t="n">
        <v>185366.28</v>
      </c>
    </row>
    <row r="149" customFormat="false" ht="15" hidden="false" customHeight="false" outlineLevel="0" collapsed="false">
      <c r="A149" s="3" t="s">
        <v>538</v>
      </c>
      <c r="B149" s="3" t="s">
        <v>281</v>
      </c>
      <c r="C149" s="3" t="s">
        <v>401</v>
      </c>
      <c r="D149" s="3" t="s">
        <v>381</v>
      </c>
      <c r="E149" s="3" t="s">
        <v>382</v>
      </c>
      <c r="F149" s="16" t="n">
        <v>24</v>
      </c>
      <c r="G149" s="15" t="n">
        <v>0.25</v>
      </c>
      <c r="H149" s="16" t="n">
        <v>24</v>
      </c>
      <c r="I149" s="33" t="n">
        <v>184835.16</v>
      </c>
      <c r="J149" s="33" t="n">
        <v>246446.88</v>
      </c>
    </row>
    <row r="150" customFormat="false" ht="15" hidden="false" customHeight="false" outlineLevel="0" collapsed="false">
      <c r="A150" s="3" t="s">
        <v>539</v>
      </c>
      <c r="B150" s="3" t="s">
        <v>281</v>
      </c>
      <c r="C150" s="3" t="s">
        <v>384</v>
      </c>
      <c r="D150" s="3" t="s">
        <v>418</v>
      </c>
      <c r="E150" s="3" t="s">
        <v>398</v>
      </c>
      <c r="F150" s="16" t="n">
        <v>24</v>
      </c>
      <c r="G150" s="15" t="n">
        <v>0</v>
      </c>
      <c r="H150" s="16" t="n">
        <v>12</v>
      </c>
      <c r="I150" s="33" t="n">
        <v>184021.08</v>
      </c>
      <c r="J150" s="33" t="n">
        <v>184021.08</v>
      </c>
    </row>
    <row r="151" customFormat="false" ht="15" hidden="false" customHeight="false" outlineLevel="0" collapsed="false">
      <c r="A151" s="3" t="s">
        <v>540</v>
      </c>
      <c r="B151" s="3" t="s">
        <v>281</v>
      </c>
      <c r="C151" s="3" t="s">
        <v>405</v>
      </c>
      <c r="D151" s="3" t="s">
        <v>392</v>
      </c>
      <c r="E151" s="3" t="s">
        <v>382</v>
      </c>
      <c r="F151" s="16" t="n">
        <v>24</v>
      </c>
      <c r="G151" s="15" t="n">
        <v>0</v>
      </c>
      <c r="H151" s="16" t="n">
        <v>14</v>
      </c>
      <c r="I151" s="33" t="n">
        <v>183091.44</v>
      </c>
      <c r="J151" s="33" t="n">
        <v>183091.44</v>
      </c>
    </row>
    <row r="152" customFormat="false" ht="15" hidden="false" customHeight="false" outlineLevel="0" collapsed="false">
      <c r="A152" s="3" t="s">
        <v>541</v>
      </c>
      <c r="B152" s="3" t="s">
        <v>281</v>
      </c>
      <c r="C152" s="3" t="s">
        <v>396</v>
      </c>
      <c r="D152" s="3" t="s">
        <v>388</v>
      </c>
      <c r="E152" s="3" t="s">
        <v>385</v>
      </c>
      <c r="F152" s="16" t="n">
        <v>12</v>
      </c>
      <c r="G152" s="15" t="n">
        <v>0</v>
      </c>
      <c r="H152" s="16" t="n">
        <v>2</v>
      </c>
      <c r="I152" s="33" t="n">
        <v>182830.56</v>
      </c>
      <c r="J152" s="33" t="n">
        <v>182830.56</v>
      </c>
    </row>
    <row r="153" customFormat="false" ht="15" hidden="false" customHeight="false" outlineLevel="0" collapsed="false">
      <c r="A153" s="3" t="s">
        <v>542</v>
      </c>
      <c r="B153" s="3" t="s">
        <v>281</v>
      </c>
      <c r="C153" s="3" t="s">
        <v>401</v>
      </c>
      <c r="D153" s="3" t="s">
        <v>381</v>
      </c>
      <c r="E153" s="3" t="s">
        <v>382</v>
      </c>
      <c r="F153" s="16" t="n">
        <v>24</v>
      </c>
      <c r="G153" s="15" t="n">
        <v>0.15</v>
      </c>
      <c r="H153" s="16" t="n">
        <v>15</v>
      </c>
      <c r="I153" s="33" t="n">
        <v>181580.04</v>
      </c>
      <c r="J153" s="33" t="n">
        <v>213623.52</v>
      </c>
    </row>
    <row r="154" customFormat="false" ht="15" hidden="false" customHeight="false" outlineLevel="0" collapsed="false">
      <c r="A154" s="3" t="s">
        <v>543</v>
      </c>
      <c r="B154" s="3" t="s">
        <v>281</v>
      </c>
      <c r="C154" s="3" t="s">
        <v>380</v>
      </c>
      <c r="D154" s="3" t="s">
        <v>381</v>
      </c>
      <c r="E154" s="3" t="s">
        <v>398</v>
      </c>
      <c r="F154" s="16" t="n">
        <v>12</v>
      </c>
      <c r="G154" s="15" t="n">
        <v>0</v>
      </c>
      <c r="H154" s="16" t="n">
        <v>10</v>
      </c>
      <c r="I154" s="33" t="n">
        <v>179906.04</v>
      </c>
      <c r="J154" s="33" t="n">
        <v>179906.04</v>
      </c>
    </row>
    <row r="155" customFormat="false" ht="15" hidden="false" customHeight="false" outlineLevel="0" collapsed="false">
      <c r="A155" s="3" t="s">
        <v>544</v>
      </c>
      <c r="B155" s="3" t="s">
        <v>281</v>
      </c>
      <c r="C155" s="3" t="s">
        <v>396</v>
      </c>
      <c r="D155" s="3" t="s">
        <v>388</v>
      </c>
      <c r="E155" s="3" t="s">
        <v>385</v>
      </c>
      <c r="F155" s="16" t="n">
        <v>24</v>
      </c>
      <c r="G155" s="15" t="n">
        <v>0</v>
      </c>
      <c r="H155" s="16" t="n">
        <v>19</v>
      </c>
      <c r="I155" s="33" t="n">
        <v>179709.12</v>
      </c>
      <c r="J155" s="33" t="n">
        <v>179709.12</v>
      </c>
    </row>
    <row r="156" customFormat="false" ht="15" hidden="false" customHeight="false" outlineLevel="0" collapsed="false">
      <c r="A156" s="3" t="s">
        <v>545</v>
      </c>
      <c r="B156" s="3" t="s">
        <v>281</v>
      </c>
      <c r="C156" s="3" t="s">
        <v>396</v>
      </c>
      <c r="D156" s="3" t="s">
        <v>381</v>
      </c>
      <c r="E156" s="3" t="s">
        <v>398</v>
      </c>
      <c r="F156" s="16" t="n">
        <v>36</v>
      </c>
      <c r="G156" s="15" t="n">
        <v>0</v>
      </c>
      <c r="H156" s="16" t="n">
        <v>36</v>
      </c>
      <c r="I156" s="33" t="n">
        <v>179391.96</v>
      </c>
      <c r="J156" s="33" t="n">
        <v>179391.96</v>
      </c>
    </row>
    <row r="157" customFormat="false" ht="15" hidden="false" customHeight="false" outlineLevel="0" collapsed="false">
      <c r="A157" s="3" t="s">
        <v>546</v>
      </c>
      <c r="B157" s="3" t="s">
        <v>281</v>
      </c>
      <c r="C157" s="3" t="s">
        <v>403</v>
      </c>
      <c r="D157" s="3" t="s">
        <v>381</v>
      </c>
      <c r="E157" s="3" t="s">
        <v>385</v>
      </c>
      <c r="F157" s="16" t="n">
        <v>12</v>
      </c>
      <c r="G157" s="15" t="n">
        <v>0</v>
      </c>
      <c r="H157" s="16" t="n">
        <v>12</v>
      </c>
      <c r="I157" s="33" t="n">
        <v>179078.64</v>
      </c>
      <c r="J157" s="33" t="n">
        <v>179078.64</v>
      </c>
    </row>
    <row r="158" customFormat="false" ht="15" hidden="false" customHeight="false" outlineLevel="0" collapsed="false">
      <c r="A158" s="3" t="s">
        <v>547</v>
      </c>
      <c r="B158" s="3" t="s">
        <v>281</v>
      </c>
      <c r="C158" s="3" t="s">
        <v>401</v>
      </c>
      <c r="D158" s="3" t="s">
        <v>418</v>
      </c>
      <c r="E158" s="3" t="s">
        <v>398</v>
      </c>
      <c r="F158" s="16" t="n">
        <v>24</v>
      </c>
      <c r="G158" s="15" t="n">
        <v>0</v>
      </c>
      <c r="H158" s="16" t="n">
        <v>20</v>
      </c>
      <c r="I158" s="33" t="n">
        <v>179053.32</v>
      </c>
      <c r="J158" s="33" t="n">
        <v>179053.32</v>
      </c>
    </row>
    <row r="159" customFormat="false" ht="15" hidden="false" customHeight="false" outlineLevel="0" collapsed="false">
      <c r="A159" s="3" t="s">
        <v>548</v>
      </c>
      <c r="B159" s="3" t="s">
        <v>281</v>
      </c>
      <c r="C159" s="3" t="s">
        <v>401</v>
      </c>
      <c r="D159" s="3" t="s">
        <v>381</v>
      </c>
      <c r="E159" s="3" t="s">
        <v>398</v>
      </c>
      <c r="F159" s="16" t="n">
        <v>12</v>
      </c>
      <c r="G159" s="15" t="n">
        <v>0</v>
      </c>
      <c r="H159" s="16" t="n">
        <v>1</v>
      </c>
      <c r="I159" s="33" t="n">
        <v>178947.48</v>
      </c>
      <c r="J159" s="33" t="n">
        <v>178947.48</v>
      </c>
    </row>
    <row r="160" customFormat="false" ht="15" hidden="false" customHeight="false" outlineLevel="0" collapsed="false">
      <c r="A160" s="3" t="s">
        <v>549</v>
      </c>
      <c r="B160" s="3" t="s">
        <v>281</v>
      </c>
      <c r="C160" s="3" t="s">
        <v>401</v>
      </c>
      <c r="D160" s="3" t="s">
        <v>381</v>
      </c>
      <c r="E160" s="3" t="s">
        <v>398</v>
      </c>
      <c r="F160" s="16" t="n">
        <v>36</v>
      </c>
      <c r="G160" s="15" t="n">
        <v>0</v>
      </c>
      <c r="H160" s="16" t="n">
        <v>23</v>
      </c>
      <c r="I160" s="33" t="n">
        <v>178816.44</v>
      </c>
      <c r="J160" s="33" t="n">
        <v>178816.44</v>
      </c>
    </row>
    <row r="161" customFormat="false" ht="15" hidden="false" customHeight="false" outlineLevel="0" collapsed="false">
      <c r="A161" s="3" t="s">
        <v>550</v>
      </c>
      <c r="B161" s="3" t="s">
        <v>281</v>
      </c>
      <c r="C161" s="3" t="s">
        <v>396</v>
      </c>
      <c r="D161" s="3" t="s">
        <v>381</v>
      </c>
      <c r="E161" s="3" t="s">
        <v>382</v>
      </c>
      <c r="F161" s="16" t="n">
        <v>24</v>
      </c>
      <c r="G161" s="15" t="n">
        <v>0.1</v>
      </c>
      <c r="H161" s="16" t="n">
        <v>8</v>
      </c>
      <c r="I161" s="33" t="n">
        <v>177616.8</v>
      </c>
      <c r="J161" s="33" t="n">
        <v>197352</v>
      </c>
    </row>
    <row r="162" customFormat="false" ht="15" hidden="false" customHeight="false" outlineLevel="0" collapsed="false">
      <c r="A162" s="3" t="s">
        <v>551</v>
      </c>
      <c r="B162" s="3" t="s">
        <v>281</v>
      </c>
      <c r="C162" s="3" t="s">
        <v>380</v>
      </c>
      <c r="D162" s="3" t="s">
        <v>418</v>
      </c>
      <c r="E162" s="3" t="s">
        <v>382</v>
      </c>
      <c r="F162" s="16" t="n">
        <v>12</v>
      </c>
      <c r="G162" s="15" t="n">
        <v>0</v>
      </c>
      <c r="H162" s="16" t="n">
        <v>5</v>
      </c>
      <c r="I162" s="33" t="n">
        <v>176222.76</v>
      </c>
      <c r="J162" s="33" t="n">
        <v>176222.76</v>
      </c>
    </row>
    <row r="163" customFormat="false" ht="15" hidden="false" customHeight="false" outlineLevel="0" collapsed="false">
      <c r="A163" s="3" t="s">
        <v>552</v>
      </c>
      <c r="B163" s="3" t="s">
        <v>282</v>
      </c>
      <c r="C163" s="3" t="s">
        <v>403</v>
      </c>
      <c r="D163" s="3" t="s">
        <v>381</v>
      </c>
      <c r="E163" s="3" t="s">
        <v>385</v>
      </c>
      <c r="F163" s="16" t="n">
        <v>12</v>
      </c>
      <c r="G163" s="15" t="n">
        <v>0</v>
      </c>
      <c r="H163" s="16" t="n">
        <v>3</v>
      </c>
      <c r="I163" s="33" t="n">
        <v>174439.32</v>
      </c>
      <c r="J163" s="33" t="n">
        <v>174439.32</v>
      </c>
    </row>
    <row r="164" customFormat="false" ht="15" hidden="false" customHeight="false" outlineLevel="0" collapsed="false">
      <c r="A164" s="3" t="s">
        <v>553</v>
      </c>
      <c r="B164" s="3" t="s">
        <v>281</v>
      </c>
      <c r="C164" s="3" t="s">
        <v>380</v>
      </c>
      <c r="D164" s="3" t="s">
        <v>388</v>
      </c>
      <c r="E164" s="3" t="s">
        <v>385</v>
      </c>
      <c r="F164" s="16" t="n">
        <v>24</v>
      </c>
      <c r="G164" s="15" t="n">
        <v>0</v>
      </c>
      <c r="H164" s="16" t="n">
        <v>24</v>
      </c>
      <c r="I164" s="33" t="n">
        <v>173390.76</v>
      </c>
      <c r="J164" s="33" t="n">
        <v>173390.76</v>
      </c>
    </row>
    <row r="165" customFormat="false" ht="15" hidden="false" customHeight="false" outlineLevel="0" collapsed="false">
      <c r="A165" s="3" t="s">
        <v>554</v>
      </c>
      <c r="B165" s="3" t="s">
        <v>281</v>
      </c>
      <c r="C165" s="3" t="s">
        <v>387</v>
      </c>
      <c r="D165" s="3" t="s">
        <v>381</v>
      </c>
      <c r="E165" s="3" t="s">
        <v>398</v>
      </c>
      <c r="F165" s="16" t="n">
        <v>24</v>
      </c>
      <c r="G165" s="15" t="n">
        <v>0</v>
      </c>
      <c r="H165" s="16" t="n">
        <v>9</v>
      </c>
      <c r="I165" s="33" t="n">
        <v>172016.64</v>
      </c>
      <c r="J165" s="33" t="n">
        <v>172016.64</v>
      </c>
    </row>
    <row r="166" customFormat="false" ht="15" hidden="false" customHeight="false" outlineLevel="0" collapsed="false">
      <c r="A166" s="3" t="s">
        <v>555</v>
      </c>
      <c r="B166" s="3" t="s">
        <v>281</v>
      </c>
      <c r="C166" s="3" t="s">
        <v>396</v>
      </c>
      <c r="D166" s="3" t="s">
        <v>388</v>
      </c>
      <c r="E166" s="3" t="s">
        <v>385</v>
      </c>
      <c r="F166" s="16" t="n">
        <v>36</v>
      </c>
      <c r="G166" s="15" t="n">
        <v>0</v>
      </c>
      <c r="H166" s="16" t="n">
        <v>30</v>
      </c>
      <c r="I166" s="33" t="n">
        <v>171810</v>
      </c>
      <c r="J166" s="33" t="n">
        <v>171810</v>
      </c>
    </row>
    <row r="167" customFormat="false" ht="15" hidden="false" customHeight="false" outlineLevel="0" collapsed="false">
      <c r="A167" s="3" t="s">
        <v>556</v>
      </c>
      <c r="B167" s="3" t="s">
        <v>281</v>
      </c>
      <c r="C167" s="3" t="s">
        <v>396</v>
      </c>
      <c r="D167" s="3" t="s">
        <v>388</v>
      </c>
      <c r="E167" s="3" t="s">
        <v>382</v>
      </c>
      <c r="F167" s="16" t="n">
        <v>24</v>
      </c>
      <c r="G167" s="15" t="n">
        <v>0</v>
      </c>
      <c r="H167" s="16" t="n">
        <v>4</v>
      </c>
      <c r="I167" s="33" t="n">
        <v>171580.44</v>
      </c>
      <c r="J167" s="33" t="n">
        <v>171580.44</v>
      </c>
    </row>
    <row r="168" customFormat="false" ht="15" hidden="false" customHeight="false" outlineLevel="0" collapsed="false">
      <c r="A168" s="3" t="s">
        <v>557</v>
      </c>
      <c r="B168" s="3" t="s">
        <v>281</v>
      </c>
      <c r="C168" s="3" t="s">
        <v>387</v>
      </c>
      <c r="D168" s="3" t="s">
        <v>388</v>
      </c>
      <c r="E168" s="3" t="s">
        <v>398</v>
      </c>
      <c r="F168" s="16" t="n">
        <v>36</v>
      </c>
      <c r="G168" s="15" t="n">
        <v>0.15</v>
      </c>
      <c r="H168" s="16" t="n">
        <v>18</v>
      </c>
      <c r="I168" s="33" t="n">
        <v>171578.16</v>
      </c>
      <c r="J168" s="33" t="n">
        <v>201856.68</v>
      </c>
    </row>
    <row r="169" customFormat="false" ht="15" hidden="false" customHeight="false" outlineLevel="0" collapsed="false">
      <c r="A169" s="3" t="s">
        <v>558</v>
      </c>
      <c r="B169" s="3" t="s">
        <v>281</v>
      </c>
      <c r="C169" s="3" t="s">
        <v>380</v>
      </c>
      <c r="D169" s="3" t="s">
        <v>388</v>
      </c>
      <c r="E169" s="3" t="s">
        <v>382</v>
      </c>
      <c r="F169" s="16" t="n">
        <v>12</v>
      </c>
      <c r="G169" s="15" t="n">
        <v>0</v>
      </c>
      <c r="H169" s="16" t="n">
        <v>9</v>
      </c>
      <c r="I169" s="33" t="n">
        <v>171051.24</v>
      </c>
      <c r="J169" s="33" t="n">
        <v>171051.24</v>
      </c>
    </row>
    <row r="170" customFormat="false" ht="15" hidden="false" customHeight="false" outlineLevel="0" collapsed="false">
      <c r="A170" s="3" t="s">
        <v>559</v>
      </c>
      <c r="B170" s="3" t="s">
        <v>281</v>
      </c>
      <c r="C170" s="3" t="s">
        <v>380</v>
      </c>
      <c r="D170" s="3" t="s">
        <v>381</v>
      </c>
      <c r="E170" s="3" t="s">
        <v>398</v>
      </c>
      <c r="F170" s="16" t="n">
        <v>24</v>
      </c>
      <c r="G170" s="15" t="n">
        <v>0.1</v>
      </c>
      <c r="H170" s="16" t="n">
        <v>15</v>
      </c>
      <c r="I170" s="33" t="n">
        <v>168025.08</v>
      </c>
      <c r="J170" s="33" t="n">
        <v>186694.56</v>
      </c>
    </row>
    <row r="171" customFormat="false" ht="15" hidden="false" customHeight="false" outlineLevel="0" collapsed="false">
      <c r="A171" s="3" t="s">
        <v>560</v>
      </c>
      <c r="B171" s="3" t="s">
        <v>281</v>
      </c>
      <c r="C171" s="3" t="s">
        <v>387</v>
      </c>
      <c r="D171" s="3" t="s">
        <v>392</v>
      </c>
      <c r="E171" s="3" t="s">
        <v>398</v>
      </c>
      <c r="F171" s="16" t="n">
        <v>24</v>
      </c>
      <c r="G171" s="15" t="n">
        <v>0</v>
      </c>
      <c r="H171" s="16" t="n">
        <v>2</v>
      </c>
      <c r="I171" s="33" t="n">
        <v>167522.64</v>
      </c>
      <c r="J171" s="33" t="n">
        <v>167522.64</v>
      </c>
    </row>
    <row r="172" customFormat="false" ht="15" hidden="false" customHeight="false" outlineLevel="0" collapsed="false">
      <c r="A172" s="3" t="s">
        <v>561</v>
      </c>
      <c r="B172" s="3" t="s">
        <v>282</v>
      </c>
      <c r="C172" s="3" t="s">
        <v>384</v>
      </c>
      <c r="D172" s="3" t="s">
        <v>388</v>
      </c>
      <c r="E172" s="3" t="s">
        <v>398</v>
      </c>
      <c r="F172" s="16" t="n">
        <v>12</v>
      </c>
      <c r="G172" s="15" t="n">
        <v>0</v>
      </c>
      <c r="H172" s="16" t="n">
        <v>1</v>
      </c>
      <c r="I172" s="33" t="n">
        <v>167166.12</v>
      </c>
      <c r="J172" s="33" t="n">
        <v>167166.12</v>
      </c>
    </row>
    <row r="173" customFormat="false" ht="15" hidden="false" customHeight="false" outlineLevel="0" collapsed="false">
      <c r="A173" s="3" t="s">
        <v>562</v>
      </c>
      <c r="B173" s="3" t="s">
        <v>281</v>
      </c>
      <c r="C173" s="3" t="s">
        <v>401</v>
      </c>
      <c r="D173" s="3" t="s">
        <v>388</v>
      </c>
      <c r="E173" s="3" t="s">
        <v>398</v>
      </c>
      <c r="F173" s="16" t="n">
        <v>12</v>
      </c>
      <c r="G173" s="15" t="n">
        <v>0.05</v>
      </c>
      <c r="H173" s="16" t="n">
        <v>10</v>
      </c>
      <c r="I173" s="33" t="n">
        <v>167142.84</v>
      </c>
      <c r="J173" s="33" t="n">
        <v>175939.8</v>
      </c>
    </row>
    <row r="174" customFormat="false" ht="15" hidden="false" customHeight="false" outlineLevel="0" collapsed="false">
      <c r="A174" s="3" t="s">
        <v>563</v>
      </c>
      <c r="B174" s="3" t="s">
        <v>281</v>
      </c>
      <c r="C174" s="3" t="s">
        <v>380</v>
      </c>
      <c r="D174" s="3" t="s">
        <v>381</v>
      </c>
      <c r="E174" s="3" t="s">
        <v>398</v>
      </c>
      <c r="F174" s="16" t="n">
        <v>12</v>
      </c>
      <c r="G174" s="15" t="n">
        <v>0</v>
      </c>
      <c r="H174" s="16" t="n">
        <v>5</v>
      </c>
      <c r="I174" s="33" t="n">
        <v>167125.32</v>
      </c>
      <c r="J174" s="33" t="n">
        <v>167125.32</v>
      </c>
    </row>
    <row r="175" customFormat="false" ht="15" hidden="false" customHeight="false" outlineLevel="0" collapsed="false">
      <c r="A175" s="3" t="s">
        <v>564</v>
      </c>
      <c r="B175" s="3" t="s">
        <v>281</v>
      </c>
      <c r="C175" s="3" t="s">
        <v>401</v>
      </c>
      <c r="D175" s="3" t="s">
        <v>381</v>
      </c>
      <c r="E175" s="3" t="s">
        <v>382</v>
      </c>
      <c r="F175" s="16" t="n">
        <v>12</v>
      </c>
      <c r="G175" s="15" t="n">
        <v>0</v>
      </c>
      <c r="H175" s="16" t="n">
        <v>1</v>
      </c>
      <c r="I175" s="33" t="n">
        <v>166175.64</v>
      </c>
      <c r="J175" s="33" t="n">
        <v>166175.64</v>
      </c>
    </row>
    <row r="176" customFormat="false" ht="15" hidden="false" customHeight="false" outlineLevel="0" collapsed="false">
      <c r="A176" s="3" t="s">
        <v>565</v>
      </c>
      <c r="B176" s="3" t="s">
        <v>281</v>
      </c>
      <c r="C176" s="3" t="s">
        <v>387</v>
      </c>
      <c r="D176" s="3" t="s">
        <v>381</v>
      </c>
      <c r="E176" s="3" t="s">
        <v>385</v>
      </c>
      <c r="F176" s="16" t="n">
        <v>36</v>
      </c>
      <c r="G176" s="15" t="n">
        <v>0</v>
      </c>
      <c r="H176" s="16" t="n">
        <v>18</v>
      </c>
      <c r="I176" s="33" t="n">
        <v>166012.56</v>
      </c>
      <c r="J176" s="33" t="n">
        <v>166012.56</v>
      </c>
    </row>
    <row r="177" customFormat="false" ht="15" hidden="false" customHeight="false" outlineLevel="0" collapsed="false">
      <c r="A177" s="3" t="s">
        <v>566</v>
      </c>
      <c r="B177" s="3" t="s">
        <v>281</v>
      </c>
      <c r="C177" s="3" t="s">
        <v>384</v>
      </c>
      <c r="D177" s="3" t="s">
        <v>381</v>
      </c>
      <c r="E177" s="3" t="s">
        <v>385</v>
      </c>
      <c r="F177" s="16" t="n">
        <v>24</v>
      </c>
      <c r="G177" s="15" t="n">
        <v>0</v>
      </c>
      <c r="H177" s="16" t="n">
        <v>12</v>
      </c>
      <c r="I177" s="33" t="n">
        <v>165751.32</v>
      </c>
      <c r="J177" s="33" t="n">
        <v>165751.32</v>
      </c>
    </row>
    <row r="178" customFormat="false" ht="15" hidden="false" customHeight="false" outlineLevel="0" collapsed="false">
      <c r="A178" s="3" t="s">
        <v>567</v>
      </c>
      <c r="B178" s="3" t="s">
        <v>281</v>
      </c>
      <c r="C178" s="3" t="s">
        <v>380</v>
      </c>
      <c r="D178" s="3" t="s">
        <v>388</v>
      </c>
      <c r="E178" s="3" t="s">
        <v>382</v>
      </c>
      <c r="F178" s="16" t="n">
        <v>12</v>
      </c>
      <c r="G178" s="15" t="n">
        <v>0</v>
      </c>
      <c r="H178" s="16" t="n">
        <v>7</v>
      </c>
      <c r="I178" s="33" t="n">
        <v>165606.72</v>
      </c>
      <c r="J178" s="33" t="n">
        <v>165606.72</v>
      </c>
    </row>
    <row r="179" customFormat="false" ht="15" hidden="false" customHeight="false" outlineLevel="0" collapsed="false">
      <c r="A179" s="3" t="s">
        <v>568</v>
      </c>
      <c r="B179" s="3" t="s">
        <v>281</v>
      </c>
      <c r="C179" s="3" t="s">
        <v>401</v>
      </c>
      <c r="D179" s="3" t="s">
        <v>381</v>
      </c>
      <c r="E179" s="3" t="s">
        <v>398</v>
      </c>
      <c r="F179" s="16" t="n">
        <v>12</v>
      </c>
      <c r="G179" s="15" t="n">
        <v>0</v>
      </c>
      <c r="H179" s="16" t="n">
        <v>8</v>
      </c>
      <c r="I179" s="33" t="n">
        <v>164678.28</v>
      </c>
      <c r="J179" s="33" t="n">
        <v>164678.28</v>
      </c>
    </row>
    <row r="180" customFormat="false" ht="15" hidden="false" customHeight="false" outlineLevel="0" collapsed="false">
      <c r="A180" s="3" t="s">
        <v>569</v>
      </c>
      <c r="B180" s="3" t="s">
        <v>281</v>
      </c>
      <c r="C180" s="3" t="s">
        <v>401</v>
      </c>
      <c r="D180" s="3" t="s">
        <v>381</v>
      </c>
      <c r="E180" s="3" t="s">
        <v>385</v>
      </c>
      <c r="F180" s="16" t="n">
        <v>24</v>
      </c>
      <c r="G180" s="15" t="n">
        <v>0</v>
      </c>
      <c r="H180" s="16" t="n">
        <v>12</v>
      </c>
      <c r="I180" s="33" t="n">
        <v>164634.6</v>
      </c>
      <c r="J180" s="33" t="n">
        <v>164634.6</v>
      </c>
    </row>
    <row r="181" customFormat="false" ht="15" hidden="false" customHeight="false" outlineLevel="0" collapsed="false">
      <c r="A181" s="3" t="s">
        <v>570</v>
      </c>
      <c r="B181" s="3" t="s">
        <v>281</v>
      </c>
      <c r="C181" s="3" t="s">
        <v>384</v>
      </c>
      <c r="D181" s="3" t="s">
        <v>381</v>
      </c>
      <c r="E181" s="3" t="s">
        <v>398</v>
      </c>
      <c r="F181" s="16" t="n">
        <v>36</v>
      </c>
      <c r="G181" s="15" t="n">
        <v>0</v>
      </c>
      <c r="H181" s="16" t="n">
        <v>23</v>
      </c>
      <c r="I181" s="33" t="n">
        <v>163415.4</v>
      </c>
      <c r="J181" s="33" t="n">
        <v>163415.4</v>
      </c>
    </row>
    <row r="182" customFormat="false" ht="15" hidden="false" customHeight="false" outlineLevel="0" collapsed="false">
      <c r="A182" s="3" t="s">
        <v>571</v>
      </c>
      <c r="B182" s="3" t="s">
        <v>281</v>
      </c>
      <c r="C182" s="3" t="s">
        <v>380</v>
      </c>
      <c r="D182" s="3" t="s">
        <v>381</v>
      </c>
      <c r="E182" s="3" t="s">
        <v>385</v>
      </c>
      <c r="F182" s="16" t="n">
        <v>12</v>
      </c>
      <c r="G182" s="15" t="n">
        <v>0.1</v>
      </c>
      <c r="H182" s="16" t="n">
        <v>9</v>
      </c>
      <c r="I182" s="33" t="n">
        <v>163395.72</v>
      </c>
      <c r="J182" s="33" t="n">
        <v>181550.76</v>
      </c>
    </row>
    <row r="183" customFormat="false" ht="15" hidden="false" customHeight="false" outlineLevel="0" collapsed="false">
      <c r="A183" s="3" t="s">
        <v>572</v>
      </c>
      <c r="B183" s="3" t="s">
        <v>281</v>
      </c>
      <c r="C183" s="3" t="s">
        <v>401</v>
      </c>
      <c r="D183" s="3" t="s">
        <v>388</v>
      </c>
      <c r="E183" s="3" t="s">
        <v>398</v>
      </c>
      <c r="F183" s="16" t="n">
        <v>24</v>
      </c>
      <c r="G183" s="15" t="n">
        <v>0</v>
      </c>
      <c r="H183" s="16" t="n">
        <v>18</v>
      </c>
      <c r="I183" s="33" t="n">
        <v>163306.32</v>
      </c>
      <c r="J183" s="33" t="n">
        <v>163306.32</v>
      </c>
    </row>
    <row r="184" customFormat="false" ht="15" hidden="false" customHeight="false" outlineLevel="0" collapsed="false">
      <c r="A184" s="3" t="s">
        <v>573</v>
      </c>
      <c r="B184" s="3" t="s">
        <v>281</v>
      </c>
      <c r="C184" s="3" t="s">
        <v>405</v>
      </c>
      <c r="D184" s="3" t="s">
        <v>381</v>
      </c>
      <c r="E184" s="3" t="s">
        <v>385</v>
      </c>
      <c r="F184" s="16" t="n">
        <v>24</v>
      </c>
      <c r="G184" s="15" t="n">
        <v>0</v>
      </c>
      <c r="H184" s="16" t="n">
        <v>18</v>
      </c>
      <c r="I184" s="33" t="n">
        <v>163073.04</v>
      </c>
      <c r="J184" s="33" t="n">
        <v>163073.04</v>
      </c>
    </row>
    <row r="185" customFormat="false" ht="15" hidden="false" customHeight="false" outlineLevel="0" collapsed="false">
      <c r="A185" s="3" t="s">
        <v>574</v>
      </c>
      <c r="B185" s="3" t="s">
        <v>281</v>
      </c>
      <c r="C185" s="3" t="s">
        <v>401</v>
      </c>
      <c r="D185" s="3" t="s">
        <v>381</v>
      </c>
      <c r="E185" s="3" t="s">
        <v>398</v>
      </c>
      <c r="F185" s="16" t="n">
        <v>36</v>
      </c>
      <c r="G185" s="15" t="n">
        <v>0</v>
      </c>
      <c r="H185" s="16" t="n">
        <v>20</v>
      </c>
      <c r="I185" s="33" t="n">
        <v>162321.84</v>
      </c>
      <c r="J185" s="33" t="n">
        <v>162321.84</v>
      </c>
    </row>
    <row r="186" customFormat="false" ht="15" hidden="false" customHeight="false" outlineLevel="0" collapsed="false">
      <c r="A186" s="3" t="s">
        <v>575</v>
      </c>
      <c r="B186" s="3" t="s">
        <v>281</v>
      </c>
      <c r="C186" s="3" t="s">
        <v>387</v>
      </c>
      <c r="D186" s="3" t="s">
        <v>392</v>
      </c>
      <c r="E186" s="3" t="s">
        <v>398</v>
      </c>
      <c r="F186" s="16" t="n">
        <v>24</v>
      </c>
      <c r="G186" s="15" t="n">
        <v>0</v>
      </c>
      <c r="H186" s="16" t="n">
        <v>3</v>
      </c>
      <c r="I186" s="33" t="n">
        <v>162014.52</v>
      </c>
      <c r="J186" s="33" t="n">
        <v>162014.52</v>
      </c>
    </row>
    <row r="187" customFormat="false" ht="15" hidden="false" customHeight="false" outlineLevel="0" collapsed="false">
      <c r="A187" s="3" t="s">
        <v>576</v>
      </c>
      <c r="B187" s="3" t="s">
        <v>281</v>
      </c>
      <c r="C187" s="3" t="s">
        <v>380</v>
      </c>
      <c r="D187" s="3" t="s">
        <v>381</v>
      </c>
      <c r="E187" s="3" t="s">
        <v>382</v>
      </c>
      <c r="F187" s="16" t="n">
        <v>24</v>
      </c>
      <c r="G187" s="15" t="n">
        <v>0.1</v>
      </c>
      <c r="H187" s="16" t="n">
        <v>7</v>
      </c>
      <c r="I187" s="33" t="n">
        <v>161811.48</v>
      </c>
      <c r="J187" s="33" t="n">
        <v>179790.6</v>
      </c>
    </row>
    <row r="188" customFormat="false" ht="15" hidden="false" customHeight="false" outlineLevel="0" collapsed="false">
      <c r="A188" s="3" t="s">
        <v>577</v>
      </c>
      <c r="B188" s="3" t="s">
        <v>281</v>
      </c>
      <c r="C188" s="3" t="s">
        <v>384</v>
      </c>
      <c r="D188" s="3" t="s">
        <v>381</v>
      </c>
      <c r="E188" s="3" t="s">
        <v>385</v>
      </c>
      <c r="F188" s="16" t="n">
        <v>24</v>
      </c>
      <c r="G188" s="15" t="n">
        <v>0</v>
      </c>
      <c r="H188" s="16" t="n">
        <v>9</v>
      </c>
      <c r="I188" s="33" t="n">
        <v>161787.24</v>
      </c>
      <c r="J188" s="33" t="n">
        <v>161787.24</v>
      </c>
    </row>
    <row r="189" customFormat="false" ht="15" hidden="false" customHeight="false" outlineLevel="0" collapsed="false">
      <c r="A189" s="3" t="s">
        <v>578</v>
      </c>
      <c r="B189" s="3" t="s">
        <v>281</v>
      </c>
      <c r="C189" s="3" t="s">
        <v>396</v>
      </c>
      <c r="D189" s="3" t="s">
        <v>392</v>
      </c>
      <c r="E189" s="3" t="s">
        <v>398</v>
      </c>
      <c r="F189" s="16" t="n">
        <v>12</v>
      </c>
      <c r="G189" s="15" t="n">
        <v>0</v>
      </c>
      <c r="H189" s="16" t="n">
        <v>6</v>
      </c>
      <c r="I189" s="33" t="n">
        <v>161277.6</v>
      </c>
      <c r="J189" s="33" t="n">
        <v>161277.6</v>
      </c>
    </row>
    <row r="190" customFormat="false" ht="15" hidden="false" customHeight="false" outlineLevel="0" collapsed="false">
      <c r="A190" s="3" t="s">
        <v>579</v>
      </c>
      <c r="B190" s="3" t="s">
        <v>281</v>
      </c>
      <c r="C190" s="3" t="s">
        <v>384</v>
      </c>
      <c r="D190" s="3" t="s">
        <v>392</v>
      </c>
      <c r="E190" s="3" t="s">
        <v>382</v>
      </c>
      <c r="F190" s="16" t="n">
        <v>24</v>
      </c>
      <c r="G190" s="15" t="n">
        <v>0.2</v>
      </c>
      <c r="H190" s="16" t="n">
        <v>22</v>
      </c>
      <c r="I190" s="33" t="n">
        <v>159304.56</v>
      </c>
      <c r="J190" s="33" t="n">
        <v>199130.64</v>
      </c>
    </row>
    <row r="191" customFormat="false" ht="15" hidden="false" customHeight="false" outlineLevel="0" collapsed="false">
      <c r="A191" s="3" t="s">
        <v>580</v>
      </c>
      <c r="B191" s="3" t="s">
        <v>281</v>
      </c>
      <c r="C191" s="3" t="s">
        <v>387</v>
      </c>
      <c r="D191" s="3" t="s">
        <v>392</v>
      </c>
      <c r="E191" s="3" t="s">
        <v>398</v>
      </c>
      <c r="F191" s="16" t="n">
        <v>12</v>
      </c>
      <c r="G191" s="15" t="n">
        <v>0.15</v>
      </c>
      <c r="H191" s="16" t="n">
        <v>4</v>
      </c>
      <c r="I191" s="33" t="n">
        <v>158704.32</v>
      </c>
      <c r="J191" s="33" t="n">
        <v>186711</v>
      </c>
    </row>
    <row r="192" customFormat="false" ht="15" hidden="false" customHeight="false" outlineLevel="0" collapsed="false">
      <c r="A192" s="3" t="s">
        <v>581</v>
      </c>
      <c r="B192" s="3" t="s">
        <v>281</v>
      </c>
      <c r="C192" s="3" t="s">
        <v>405</v>
      </c>
      <c r="D192" s="3" t="s">
        <v>381</v>
      </c>
      <c r="E192" s="3" t="s">
        <v>398</v>
      </c>
      <c r="F192" s="16" t="n">
        <v>36</v>
      </c>
      <c r="G192" s="15" t="n">
        <v>0.2</v>
      </c>
      <c r="H192" s="16" t="n">
        <v>30</v>
      </c>
      <c r="I192" s="33" t="n">
        <v>158688.24</v>
      </c>
      <c r="J192" s="33" t="n">
        <v>198360.36</v>
      </c>
    </row>
    <row r="193" customFormat="false" ht="15" hidden="false" customHeight="false" outlineLevel="0" collapsed="false">
      <c r="A193" s="3" t="s">
        <v>582</v>
      </c>
      <c r="B193" s="3" t="s">
        <v>281</v>
      </c>
      <c r="C193" s="3" t="s">
        <v>380</v>
      </c>
      <c r="D193" s="3" t="s">
        <v>381</v>
      </c>
      <c r="E193" s="3" t="s">
        <v>385</v>
      </c>
      <c r="F193" s="16" t="n">
        <v>24</v>
      </c>
      <c r="G193" s="15" t="n">
        <v>0</v>
      </c>
      <c r="H193" s="16" t="n">
        <v>3</v>
      </c>
      <c r="I193" s="33" t="n">
        <v>158127.6</v>
      </c>
      <c r="J193" s="33" t="n">
        <v>158127.6</v>
      </c>
    </row>
    <row r="194" customFormat="false" ht="15" hidden="false" customHeight="false" outlineLevel="0" collapsed="false">
      <c r="A194" s="3" t="s">
        <v>583</v>
      </c>
      <c r="B194" s="3" t="s">
        <v>281</v>
      </c>
      <c r="C194" s="3" t="s">
        <v>387</v>
      </c>
      <c r="D194" s="3" t="s">
        <v>381</v>
      </c>
      <c r="E194" s="3" t="s">
        <v>382</v>
      </c>
      <c r="F194" s="16" t="n">
        <v>24</v>
      </c>
      <c r="G194" s="15" t="n">
        <v>0.1</v>
      </c>
      <c r="H194" s="16" t="n">
        <v>18</v>
      </c>
      <c r="I194" s="33" t="n">
        <v>158065.92</v>
      </c>
      <c r="J194" s="33" t="n">
        <v>175628.88</v>
      </c>
    </row>
    <row r="195" customFormat="false" ht="15" hidden="false" customHeight="false" outlineLevel="0" collapsed="false">
      <c r="A195" s="3" t="s">
        <v>584</v>
      </c>
      <c r="B195" s="3" t="s">
        <v>281</v>
      </c>
      <c r="C195" s="3" t="s">
        <v>396</v>
      </c>
      <c r="D195" s="3" t="s">
        <v>392</v>
      </c>
      <c r="E195" s="3" t="s">
        <v>382</v>
      </c>
      <c r="F195" s="16" t="n">
        <v>12</v>
      </c>
      <c r="G195" s="15" t="n">
        <v>0</v>
      </c>
      <c r="H195" s="16" t="n">
        <v>5</v>
      </c>
      <c r="I195" s="33" t="n">
        <v>157625.4</v>
      </c>
      <c r="J195" s="33" t="n">
        <v>157625.4</v>
      </c>
    </row>
    <row r="196" customFormat="false" ht="15" hidden="false" customHeight="false" outlineLevel="0" collapsed="false">
      <c r="A196" s="3" t="s">
        <v>585</v>
      </c>
      <c r="B196" s="3" t="s">
        <v>281</v>
      </c>
      <c r="C196" s="3" t="s">
        <v>403</v>
      </c>
      <c r="D196" s="3" t="s">
        <v>392</v>
      </c>
      <c r="E196" s="3" t="s">
        <v>385</v>
      </c>
      <c r="F196" s="16" t="n">
        <v>24</v>
      </c>
      <c r="G196" s="15" t="n">
        <v>0.2</v>
      </c>
      <c r="H196" s="16" t="n">
        <v>24</v>
      </c>
      <c r="I196" s="33" t="n">
        <v>157209.36</v>
      </c>
      <c r="J196" s="33" t="n">
        <v>196511.64</v>
      </c>
    </row>
    <row r="197" customFormat="false" ht="15" hidden="false" customHeight="false" outlineLevel="0" collapsed="false">
      <c r="A197" s="3" t="s">
        <v>586</v>
      </c>
      <c r="B197" s="3" t="s">
        <v>281</v>
      </c>
      <c r="C197" s="3" t="s">
        <v>396</v>
      </c>
      <c r="D197" s="3" t="s">
        <v>381</v>
      </c>
      <c r="E197" s="3" t="s">
        <v>398</v>
      </c>
      <c r="F197" s="16" t="n">
        <v>12</v>
      </c>
      <c r="G197" s="15" t="n">
        <v>0</v>
      </c>
      <c r="H197" s="16" t="n">
        <v>9</v>
      </c>
      <c r="I197" s="33" t="n">
        <v>157070.52</v>
      </c>
      <c r="J197" s="33" t="n">
        <v>157070.52</v>
      </c>
    </row>
    <row r="198" customFormat="false" ht="15" hidden="false" customHeight="false" outlineLevel="0" collapsed="false">
      <c r="A198" s="3" t="s">
        <v>587</v>
      </c>
      <c r="B198" s="3" t="s">
        <v>281</v>
      </c>
      <c r="C198" s="3" t="s">
        <v>384</v>
      </c>
      <c r="D198" s="3" t="s">
        <v>418</v>
      </c>
      <c r="E198" s="3" t="s">
        <v>385</v>
      </c>
      <c r="F198" s="16" t="n">
        <v>24</v>
      </c>
      <c r="G198" s="15" t="n">
        <v>0</v>
      </c>
      <c r="H198" s="16" t="n">
        <v>13</v>
      </c>
      <c r="I198" s="33" t="n">
        <v>156605.52</v>
      </c>
      <c r="J198" s="33" t="n">
        <v>156605.52</v>
      </c>
    </row>
    <row r="199" customFormat="false" ht="15" hidden="false" customHeight="false" outlineLevel="0" collapsed="false">
      <c r="A199" s="3" t="s">
        <v>588</v>
      </c>
      <c r="B199" s="3" t="s">
        <v>281</v>
      </c>
      <c r="C199" s="3" t="s">
        <v>380</v>
      </c>
      <c r="D199" s="3" t="s">
        <v>381</v>
      </c>
      <c r="E199" s="3" t="s">
        <v>385</v>
      </c>
      <c r="F199" s="16" t="n">
        <v>36</v>
      </c>
      <c r="G199" s="15" t="n">
        <v>0.15</v>
      </c>
      <c r="H199" s="16" t="n">
        <v>6</v>
      </c>
      <c r="I199" s="33" t="n">
        <v>156562.68</v>
      </c>
      <c r="J199" s="33" t="n">
        <v>184191.36</v>
      </c>
    </row>
    <row r="200" customFormat="false" ht="15" hidden="false" customHeight="false" outlineLevel="0" collapsed="false">
      <c r="A200" s="3" t="s">
        <v>589</v>
      </c>
      <c r="B200" s="3" t="s">
        <v>281</v>
      </c>
      <c r="C200" s="3" t="s">
        <v>405</v>
      </c>
      <c r="D200" s="3" t="s">
        <v>381</v>
      </c>
      <c r="E200" s="3" t="s">
        <v>385</v>
      </c>
      <c r="F200" s="16" t="n">
        <v>12</v>
      </c>
      <c r="G200" s="15" t="n">
        <v>0</v>
      </c>
      <c r="H200" s="16" t="n">
        <v>7</v>
      </c>
      <c r="I200" s="33" t="n">
        <v>155503.8</v>
      </c>
      <c r="J200" s="33" t="n">
        <v>155503.8</v>
      </c>
    </row>
    <row r="201" customFormat="false" ht="15" hidden="false" customHeight="false" outlineLevel="0" collapsed="false">
      <c r="A201" s="3" t="s">
        <v>590</v>
      </c>
      <c r="B201" s="3" t="s">
        <v>281</v>
      </c>
      <c r="C201" s="3" t="s">
        <v>380</v>
      </c>
      <c r="D201" s="3" t="s">
        <v>388</v>
      </c>
      <c r="E201" s="3" t="s">
        <v>385</v>
      </c>
      <c r="F201" s="16" t="n">
        <v>12</v>
      </c>
      <c r="G201" s="15" t="n">
        <v>0</v>
      </c>
      <c r="H201" s="16" t="n">
        <v>8</v>
      </c>
      <c r="I201" s="33" t="n">
        <v>155329.68</v>
      </c>
      <c r="J201" s="33" t="n">
        <v>155329.68</v>
      </c>
    </row>
    <row r="202" customFormat="false" ht="15" hidden="false" customHeight="false" outlineLevel="0" collapsed="false">
      <c r="A202" s="3" t="s">
        <v>591</v>
      </c>
      <c r="B202" s="3" t="s">
        <v>281</v>
      </c>
      <c r="C202" s="3" t="s">
        <v>384</v>
      </c>
      <c r="D202" s="3" t="s">
        <v>392</v>
      </c>
      <c r="E202" s="3" t="s">
        <v>385</v>
      </c>
      <c r="F202" s="16" t="n">
        <v>36</v>
      </c>
      <c r="G202" s="15" t="n">
        <v>0.1</v>
      </c>
      <c r="H202" s="16" t="n">
        <v>17</v>
      </c>
      <c r="I202" s="33" t="n">
        <v>154493.28</v>
      </c>
      <c r="J202" s="33" t="n">
        <v>171659.28</v>
      </c>
    </row>
    <row r="203" customFormat="false" ht="15" hidden="false" customHeight="false" outlineLevel="0" collapsed="false">
      <c r="A203" s="3" t="s">
        <v>592</v>
      </c>
      <c r="B203" s="3" t="s">
        <v>281</v>
      </c>
      <c r="C203" s="3" t="s">
        <v>387</v>
      </c>
      <c r="D203" s="3" t="s">
        <v>381</v>
      </c>
      <c r="E203" s="3" t="s">
        <v>398</v>
      </c>
      <c r="F203" s="16" t="n">
        <v>24</v>
      </c>
      <c r="G203" s="15" t="n">
        <v>0</v>
      </c>
      <c r="H203" s="16" t="n">
        <v>13</v>
      </c>
      <c r="I203" s="33" t="n">
        <v>154074.96</v>
      </c>
      <c r="J203" s="33" t="n">
        <v>154074.96</v>
      </c>
    </row>
    <row r="204" customFormat="false" ht="15" hidden="false" customHeight="false" outlineLevel="0" collapsed="false">
      <c r="A204" s="3" t="s">
        <v>593</v>
      </c>
      <c r="B204" s="3" t="s">
        <v>281</v>
      </c>
      <c r="C204" s="3" t="s">
        <v>384</v>
      </c>
      <c r="D204" s="3" t="s">
        <v>392</v>
      </c>
      <c r="E204" s="3" t="s">
        <v>398</v>
      </c>
      <c r="F204" s="16" t="n">
        <v>24</v>
      </c>
      <c r="G204" s="15" t="n">
        <v>0</v>
      </c>
      <c r="H204" s="16" t="n">
        <v>9</v>
      </c>
      <c r="I204" s="33" t="n">
        <v>153046.92</v>
      </c>
      <c r="J204" s="33" t="n">
        <v>153046.92</v>
      </c>
    </row>
    <row r="205" customFormat="false" ht="15" hidden="false" customHeight="false" outlineLevel="0" collapsed="false">
      <c r="A205" s="3" t="s">
        <v>594</v>
      </c>
      <c r="B205" s="3" t="s">
        <v>281</v>
      </c>
      <c r="C205" s="3" t="s">
        <v>405</v>
      </c>
      <c r="D205" s="3" t="s">
        <v>381</v>
      </c>
      <c r="E205" s="3" t="s">
        <v>382</v>
      </c>
      <c r="F205" s="16" t="n">
        <v>36</v>
      </c>
      <c r="G205" s="15" t="n">
        <v>0.1</v>
      </c>
      <c r="H205" s="16" t="n">
        <v>4</v>
      </c>
      <c r="I205" s="33" t="n">
        <v>152599.2</v>
      </c>
      <c r="J205" s="33" t="n">
        <v>169554.6</v>
      </c>
    </row>
    <row r="206" customFormat="false" ht="15" hidden="false" customHeight="false" outlineLevel="0" collapsed="false">
      <c r="A206" s="3" t="s">
        <v>595</v>
      </c>
      <c r="B206" s="3" t="s">
        <v>281</v>
      </c>
      <c r="C206" s="3" t="s">
        <v>384</v>
      </c>
      <c r="D206" s="3" t="s">
        <v>381</v>
      </c>
      <c r="E206" s="3" t="s">
        <v>398</v>
      </c>
      <c r="F206" s="16" t="n">
        <v>24</v>
      </c>
      <c r="G206" s="15" t="n">
        <v>0</v>
      </c>
      <c r="H206" s="16" t="n">
        <v>6</v>
      </c>
      <c r="I206" s="33" t="n">
        <v>152239.92</v>
      </c>
      <c r="J206" s="33" t="n">
        <v>152239.92</v>
      </c>
    </row>
    <row r="207" customFormat="false" ht="15" hidden="false" customHeight="false" outlineLevel="0" collapsed="false">
      <c r="A207" s="3" t="s">
        <v>596</v>
      </c>
      <c r="B207" s="3" t="s">
        <v>281</v>
      </c>
      <c r="C207" s="3" t="s">
        <v>380</v>
      </c>
      <c r="D207" s="3" t="s">
        <v>388</v>
      </c>
      <c r="E207" s="3" t="s">
        <v>385</v>
      </c>
      <c r="F207" s="16" t="n">
        <v>36</v>
      </c>
      <c r="G207" s="15" t="n">
        <v>0.3</v>
      </c>
      <c r="H207" s="16" t="n">
        <v>23</v>
      </c>
      <c r="I207" s="33" t="n">
        <v>151662</v>
      </c>
      <c r="J207" s="33" t="n">
        <v>216660</v>
      </c>
    </row>
    <row r="208" customFormat="false" ht="15" hidden="false" customHeight="false" outlineLevel="0" collapsed="false">
      <c r="A208" s="3" t="s">
        <v>597</v>
      </c>
      <c r="B208" s="3" t="s">
        <v>281</v>
      </c>
      <c r="C208" s="3" t="s">
        <v>380</v>
      </c>
      <c r="D208" s="3" t="s">
        <v>381</v>
      </c>
      <c r="E208" s="3" t="s">
        <v>398</v>
      </c>
      <c r="F208" s="16" t="n">
        <v>24</v>
      </c>
      <c r="G208" s="15" t="n">
        <v>0</v>
      </c>
      <c r="H208" s="16" t="n">
        <v>24</v>
      </c>
      <c r="I208" s="33" t="n">
        <v>151428.84</v>
      </c>
      <c r="J208" s="33" t="n">
        <v>151428.84</v>
      </c>
    </row>
    <row r="209" customFormat="false" ht="15" hidden="false" customHeight="false" outlineLevel="0" collapsed="false">
      <c r="A209" s="3" t="s">
        <v>598</v>
      </c>
      <c r="B209" s="3" t="s">
        <v>281</v>
      </c>
      <c r="C209" s="3" t="s">
        <v>401</v>
      </c>
      <c r="D209" s="3" t="s">
        <v>381</v>
      </c>
      <c r="E209" s="3" t="s">
        <v>385</v>
      </c>
      <c r="F209" s="16" t="n">
        <v>24</v>
      </c>
      <c r="G209" s="15" t="n">
        <v>0.2</v>
      </c>
      <c r="H209" s="16" t="n">
        <v>8</v>
      </c>
      <c r="I209" s="33" t="n">
        <v>150913.56</v>
      </c>
      <c r="J209" s="33" t="n">
        <v>188641.92</v>
      </c>
    </row>
    <row r="210" customFormat="false" ht="15" hidden="false" customHeight="false" outlineLevel="0" collapsed="false">
      <c r="A210" s="3" t="s">
        <v>599</v>
      </c>
      <c r="B210" s="3" t="s">
        <v>281</v>
      </c>
      <c r="C210" s="3" t="s">
        <v>405</v>
      </c>
      <c r="D210" s="3" t="s">
        <v>381</v>
      </c>
      <c r="E210" s="3" t="s">
        <v>398</v>
      </c>
      <c r="F210" s="16" t="n">
        <v>12</v>
      </c>
      <c r="G210" s="15" t="n">
        <v>0.05</v>
      </c>
      <c r="H210" s="16" t="n">
        <v>11</v>
      </c>
      <c r="I210" s="33" t="n">
        <v>150630.12</v>
      </c>
      <c r="J210" s="33" t="n">
        <v>158558.04</v>
      </c>
    </row>
    <row r="211" customFormat="false" ht="15" hidden="false" customHeight="false" outlineLevel="0" collapsed="false">
      <c r="A211" s="3" t="s">
        <v>600</v>
      </c>
      <c r="B211" s="3" t="s">
        <v>281</v>
      </c>
      <c r="C211" s="3" t="s">
        <v>384</v>
      </c>
      <c r="D211" s="3" t="s">
        <v>392</v>
      </c>
      <c r="E211" s="3" t="s">
        <v>398</v>
      </c>
      <c r="F211" s="16" t="n">
        <v>24</v>
      </c>
      <c r="G211" s="15" t="n">
        <v>0</v>
      </c>
      <c r="H211" s="16" t="n">
        <v>3</v>
      </c>
      <c r="I211" s="33" t="n">
        <v>150483.84</v>
      </c>
      <c r="J211" s="33" t="n">
        <v>150483.84</v>
      </c>
    </row>
    <row r="212" customFormat="false" ht="15" hidden="false" customHeight="false" outlineLevel="0" collapsed="false">
      <c r="A212" s="3" t="s">
        <v>601</v>
      </c>
      <c r="B212" s="3" t="s">
        <v>281</v>
      </c>
      <c r="C212" s="3" t="s">
        <v>401</v>
      </c>
      <c r="D212" s="3" t="s">
        <v>388</v>
      </c>
      <c r="E212" s="3" t="s">
        <v>398</v>
      </c>
      <c r="F212" s="16" t="n">
        <v>24</v>
      </c>
      <c r="G212" s="15" t="n">
        <v>0.1</v>
      </c>
      <c r="H212" s="16" t="n">
        <v>15</v>
      </c>
      <c r="I212" s="33" t="n">
        <v>149948.88</v>
      </c>
      <c r="J212" s="33" t="n">
        <v>166609.92</v>
      </c>
    </row>
    <row r="213" customFormat="false" ht="15" hidden="false" customHeight="false" outlineLevel="0" collapsed="false">
      <c r="A213" s="3" t="s">
        <v>602</v>
      </c>
      <c r="B213" s="3" t="s">
        <v>281</v>
      </c>
      <c r="C213" s="3" t="s">
        <v>401</v>
      </c>
      <c r="D213" s="3" t="s">
        <v>381</v>
      </c>
      <c r="E213" s="3" t="s">
        <v>398</v>
      </c>
      <c r="F213" s="16" t="n">
        <v>12</v>
      </c>
      <c r="G213" s="15" t="n">
        <v>0.05</v>
      </c>
      <c r="H213" s="16" t="n">
        <v>3</v>
      </c>
      <c r="I213" s="33" t="n">
        <v>149896.2</v>
      </c>
      <c r="J213" s="33" t="n">
        <v>157785.48</v>
      </c>
    </row>
    <row r="214" customFormat="false" ht="15" hidden="false" customHeight="false" outlineLevel="0" collapsed="false">
      <c r="A214" s="3" t="s">
        <v>603</v>
      </c>
      <c r="B214" s="3" t="s">
        <v>281</v>
      </c>
      <c r="C214" s="3" t="s">
        <v>405</v>
      </c>
      <c r="D214" s="3" t="s">
        <v>392</v>
      </c>
      <c r="E214" s="3" t="s">
        <v>382</v>
      </c>
      <c r="F214" s="16" t="n">
        <v>12</v>
      </c>
      <c r="G214" s="15" t="n">
        <v>0.25</v>
      </c>
      <c r="H214" s="16" t="n">
        <v>2</v>
      </c>
      <c r="I214" s="33" t="n">
        <v>149407.08</v>
      </c>
      <c r="J214" s="33" t="n">
        <v>199209.36</v>
      </c>
    </row>
    <row r="215" customFormat="false" ht="15" hidden="false" customHeight="false" outlineLevel="0" collapsed="false">
      <c r="A215" s="3" t="s">
        <v>604</v>
      </c>
      <c r="B215" s="3" t="s">
        <v>281</v>
      </c>
      <c r="C215" s="3" t="s">
        <v>380</v>
      </c>
      <c r="D215" s="3" t="s">
        <v>381</v>
      </c>
      <c r="E215" s="3" t="s">
        <v>385</v>
      </c>
      <c r="F215" s="16" t="n">
        <v>12</v>
      </c>
      <c r="G215" s="15" t="n">
        <v>0</v>
      </c>
      <c r="H215" s="16" t="n">
        <v>11</v>
      </c>
      <c r="I215" s="33" t="n">
        <v>148896.48</v>
      </c>
      <c r="J215" s="33" t="n">
        <v>148896.48</v>
      </c>
    </row>
    <row r="216" customFormat="false" ht="15" hidden="false" customHeight="false" outlineLevel="0" collapsed="false">
      <c r="A216" s="3" t="s">
        <v>605</v>
      </c>
      <c r="B216" s="3" t="s">
        <v>281</v>
      </c>
      <c r="C216" s="3" t="s">
        <v>405</v>
      </c>
      <c r="D216" s="3" t="s">
        <v>388</v>
      </c>
      <c r="E216" s="3" t="s">
        <v>398</v>
      </c>
      <c r="F216" s="16" t="n">
        <v>36</v>
      </c>
      <c r="G216" s="15" t="n">
        <v>0.1</v>
      </c>
      <c r="H216" s="16" t="n">
        <v>36</v>
      </c>
      <c r="I216" s="33" t="n">
        <v>148240.8</v>
      </c>
      <c r="J216" s="33" t="n">
        <v>164712</v>
      </c>
    </row>
    <row r="217" customFormat="false" ht="15" hidden="false" customHeight="false" outlineLevel="0" collapsed="false">
      <c r="A217" s="3" t="s">
        <v>606</v>
      </c>
      <c r="B217" s="3" t="s">
        <v>281</v>
      </c>
      <c r="C217" s="3" t="s">
        <v>384</v>
      </c>
      <c r="D217" s="3" t="s">
        <v>388</v>
      </c>
      <c r="E217" s="3" t="s">
        <v>385</v>
      </c>
      <c r="F217" s="16" t="n">
        <v>24</v>
      </c>
      <c r="G217" s="15" t="n">
        <v>0</v>
      </c>
      <c r="H217" s="16" t="n">
        <v>6</v>
      </c>
      <c r="I217" s="33" t="n">
        <v>148191.24</v>
      </c>
      <c r="J217" s="33" t="n">
        <v>148191.24</v>
      </c>
    </row>
    <row r="218" customFormat="false" ht="15" hidden="false" customHeight="false" outlineLevel="0" collapsed="false">
      <c r="A218" s="3" t="s">
        <v>607</v>
      </c>
      <c r="B218" s="3" t="s">
        <v>281</v>
      </c>
      <c r="C218" s="3" t="s">
        <v>401</v>
      </c>
      <c r="D218" s="3" t="s">
        <v>392</v>
      </c>
      <c r="E218" s="3" t="s">
        <v>385</v>
      </c>
      <c r="F218" s="16" t="n">
        <v>24</v>
      </c>
      <c r="G218" s="15" t="n">
        <v>0.15</v>
      </c>
      <c r="H218" s="16" t="n">
        <v>7</v>
      </c>
      <c r="I218" s="33" t="n">
        <v>147661.08</v>
      </c>
      <c r="J218" s="33" t="n">
        <v>173718.96</v>
      </c>
    </row>
    <row r="219" customFormat="false" ht="15" hidden="false" customHeight="false" outlineLevel="0" collapsed="false">
      <c r="A219" s="3" t="s">
        <v>608</v>
      </c>
      <c r="B219" s="3" t="s">
        <v>281</v>
      </c>
      <c r="C219" s="3" t="s">
        <v>405</v>
      </c>
      <c r="D219" s="3" t="s">
        <v>381</v>
      </c>
      <c r="E219" s="3" t="s">
        <v>382</v>
      </c>
      <c r="F219" s="16" t="n">
        <v>12</v>
      </c>
      <c r="G219" s="15" t="n">
        <v>0</v>
      </c>
      <c r="H219" s="16" t="n">
        <v>10</v>
      </c>
      <c r="I219" s="33" t="n">
        <v>147640.68</v>
      </c>
      <c r="J219" s="33" t="n">
        <v>147640.68</v>
      </c>
    </row>
    <row r="220" customFormat="false" ht="15" hidden="false" customHeight="false" outlineLevel="0" collapsed="false">
      <c r="A220" s="3" t="s">
        <v>609</v>
      </c>
      <c r="B220" s="3" t="s">
        <v>281</v>
      </c>
      <c r="C220" s="3" t="s">
        <v>380</v>
      </c>
      <c r="D220" s="3" t="s">
        <v>381</v>
      </c>
      <c r="E220" s="3" t="s">
        <v>385</v>
      </c>
      <c r="F220" s="16" t="n">
        <v>36</v>
      </c>
      <c r="G220" s="15" t="n">
        <v>0</v>
      </c>
      <c r="H220" s="16" t="n">
        <v>29</v>
      </c>
      <c r="I220" s="33" t="n">
        <v>147254.64</v>
      </c>
      <c r="J220" s="33" t="n">
        <v>147254.64</v>
      </c>
    </row>
    <row r="221" customFormat="false" ht="15" hidden="false" customHeight="false" outlineLevel="0" collapsed="false">
      <c r="A221" s="3" t="s">
        <v>610</v>
      </c>
      <c r="B221" s="3" t="s">
        <v>281</v>
      </c>
      <c r="C221" s="3" t="s">
        <v>380</v>
      </c>
      <c r="D221" s="3" t="s">
        <v>392</v>
      </c>
      <c r="E221" s="3" t="s">
        <v>385</v>
      </c>
      <c r="F221" s="16" t="n">
        <v>36</v>
      </c>
      <c r="G221" s="15" t="n">
        <v>0.2</v>
      </c>
      <c r="H221" s="16" t="n">
        <v>2</v>
      </c>
      <c r="I221" s="33" t="n">
        <v>146601.6</v>
      </c>
      <c r="J221" s="33" t="n">
        <v>183252</v>
      </c>
    </row>
    <row r="222" customFormat="false" ht="15" hidden="false" customHeight="false" outlineLevel="0" collapsed="false">
      <c r="A222" s="3" t="s">
        <v>611</v>
      </c>
      <c r="B222" s="3" t="s">
        <v>281</v>
      </c>
      <c r="C222" s="3" t="s">
        <v>403</v>
      </c>
      <c r="D222" s="3" t="s">
        <v>381</v>
      </c>
      <c r="E222" s="3" t="s">
        <v>385</v>
      </c>
      <c r="F222" s="16" t="n">
        <v>36</v>
      </c>
      <c r="G222" s="15" t="n">
        <v>0.25</v>
      </c>
      <c r="H222" s="16" t="n">
        <v>3</v>
      </c>
      <c r="I222" s="33" t="n">
        <v>145896.6</v>
      </c>
      <c r="J222" s="33" t="n">
        <v>194528.76</v>
      </c>
    </row>
    <row r="223" customFormat="false" ht="15" hidden="false" customHeight="false" outlineLevel="0" collapsed="false">
      <c r="A223" s="3" t="s">
        <v>612</v>
      </c>
      <c r="B223" s="3" t="s">
        <v>281</v>
      </c>
      <c r="C223" s="3" t="s">
        <v>384</v>
      </c>
      <c r="D223" s="3" t="s">
        <v>381</v>
      </c>
      <c r="E223" s="3" t="s">
        <v>385</v>
      </c>
      <c r="F223" s="16" t="n">
        <v>12</v>
      </c>
      <c r="G223" s="15" t="n">
        <v>0.025</v>
      </c>
      <c r="H223" s="16" t="n">
        <v>7</v>
      </c>
      <c r="I223" s="33" t="n">
        <v>145530.6</v>
      </c>
      <c r="J223" s="33" t="n">
        <v>149262.12</v>
      </c>
    </row>
    <row r="224" customFormat="false" ht="15" hidden="false" customHeight="false" outlineLevel="0" collapsed="false">
      <c r="A224" s="3" t="s">
        <v>613</v>
      </c>
      <c r="B224" s="3" t="s">
        <v>281</v>
      </c>
      <c r="C224" s="3" t="s">
        <v>396</v>
      </c>
      <c r="D224" s="3" t="s">
        <v>381</v>
      </c>
      <c r="E224" s="3" t="s">
        <v>385</v>
      </c>
      <c r="F224" s="16" t="n">
        <v>36</v>
      </c>
      <c r="G224" s="15" t="n">
        <v>0</v>
      </c>
      <c r="H224" s="16" t="n">
        <v>36</v>
      </c>
      <c r="I224" s="33" t="n">
        <v>145375.92</v>
      </c>
      <c r="J224" s="33" t="n">
        <v>145375.92</v>
      </c>
    </row>
    <row r="225" customFormat="false" ht="15" hidden="false" customHeight="false" outlineLevel="0" collapsed="false">
      <c r="A225" s="3" t="s">
        <v>614</v>
      </c>
      <c r="B225" s="3" t="s">
        <v>281</v>
      </c>
      <c r="C225" s="3" t="s">
        <v>387</v>
      </c>
      <c r="D225" s="3" t="s">
        <v>388</v>
      </c>
      <c r="E225" s="3" t="s">
        <v>385</v>
      </c>
      <c r="F225" s="16" t="n">
        <v>36</v>
      </c>
      <c r="G225" s="15" t="n">
        <v>0.1</v>
      </c>
      <c r="H225" s="16" t="n">
        <v>4</v>
      </c>
      <c r="I225" s="33" t="n">
        <v>144563.52</v>
      </c>
      <c r="J225" s="33" t="n">
        <v>160626.12</v>
      </c>
    </row>
    <row r="226" customFormat="false" ht="15" hidden="false" customHeight="false" outlineLevel="0" collapsed="false">
      <c r="A226" s="3" t="s">
        <v>615</v>
      </c>
      <c r="B226" s="3" t="s">
        <v>281</v>
      </c>
      <c r="C226" s="3" t="s">
        <v>405</v>
      </c>
      <c r="D226" s="3" t="s">
        <v>381</v>
      </c>
      <c r="E226" s="3" t="s">
        <v>382</v>
      </c>
      <c r="F226" s="16" t="n">
        <v>24</v>
      </c>
      <c r="G226" s="15" t="n">
        <v>0</v>
      </c>
      <c r="H226" s="16" t="n">
        <v>17</v>
      </c>
      <c r="I226" s="33" t="n">
        <v>144469.92</v>
      </c>
      <c r="J226" s="33" t="n">
        <v>144469.92</v>
      </c>
    </row>
    <row r="227" customFormat="false" ht="15" hidden="false" customHeight="false" outlineLevel="0" collapsed="false">
      <c r="A227" s="3" t="s">
        <v>616</v>
      </c>
      <c r="B227" s="3" t="s">
        <v>281</v>
      </c>
      <c r="C227" s="3" t="s">
        <v>384</v>
      </c>
      <c r="D227" s="3" t="s">
        <v>381</v>
      </c>
      <c r="E227" s="3" t="s">
        <v>385</v>
      </c>
      <c r="F227" s="16" t="n">
        <v>12</v>
      </c>
      <c r="G227" s="15" t="n">
        <v>0</v>
      </c>
      <c r="H227" s="16" t="n">
        <v>7</v>
      </c>
      <c r="I227" s="33" t="n">
        <v>144093.12</v>
      </c>
      <c r="J227" s="33" t="n">
        <v>144093.12</v>
      </c>
    </row>
    <row r="228" customFormat="false" ht="15" hidden="false" customHeight="false" outlineLevel="0" collapsed="false">
      <c r="A228" s="3" t="s">
        <v>617</v>
      </c>
      <c r="B228" s="3" t="s">
        <v>281</v>
      </c>
      <c r="C228" s="3" t="s">
        <v>396</v>
      </c>
      <c r="D228" s="3" t="s">
        <v>381</v>
      </c>
      <c r="E228" s="3" t="s">
        <v>385</v>
      </c>
      <c r="F228" s="16" t="n">
        <v>12</v>
      </c>
      <c r="G228" s="15" t="n">
        <v>0</v>
      </c>
      <c r="H228" s="16" t="n">
        <v>5</v>
      </c>
      <c r="I228" s="33" t="n">
        <v>143245.8</v>
      </c>
      <c r="J228" s="33" t="n">
        <v>143245.8</v>
      </c>
    </row>
    <row r="229" customFormat="false" ht="15" hidden="false" customHeight="false" outlineLevel="0" collapsed="false">
      <c r="A229" s="3" t="s">
        <v>618</v>
      </c>
      <c r="B229" s="3" t="s">
        <v>282</v>
      </c>
      <c r="C229" s="3" t="s">
        <v>401</v>
      </c>
      <c r="D229" s="3" t="s">
        <v>392</v>
      </c>
      <c r="E229" s="3" t="s">
        <v>385</v>
      </c>
      <c r="F229" s="16" t="n">
        <v>12</v>
      </c>
      <c r="G229" s="15" t="n">
        <v>0</v>
      </c>
      <c r="H229" s="16" t="n">
        <v>9</v>
      </c>
      <c r="I229" s="33" t="n">
        <v>143200.08</v>
      </c>
      <c r="J229" s="33" t="n">
        <v>143200.08</v>
      </c>
    </row>
    <row r="230" customFormat="false" ht="15" hidden="false" customHeight="false" outlineLevel="0" collapsed="false">
      <c r="A230" s="3" t="s">
        <v>619</v>
      </c>
      <c r="B230" s="3" t="s">
        <v>281</v>
      </c>
      <c r="C230" s="3" t="s">
        <v>405</v>
      </c>
      <c r="D230" s="3" t="s">
        <v>381</v>
      </c>
      <c r="E230" s="3" t="s">
        <v>398</v>
      </c>
      <c r="F230" s="16" t="n">
        <v>36</v>
      </c>
      <c r="G230" s="15" t="n">
        <v>0</v>
      </c>
      <c r="H230" s="16" t="n">
        <v>34</v>
      </c>
      <c r="I230" s="33" t="n">
        <v>143052.6</v>
      </c>
      <c r="J230" s="33" t="n">
        <v>143052.6</v>
      </c>
    </row>
    <row r="231" customFormat="false" ht="15" hidden="false" customHeight="false" outlineLevel="0" collapsed="false">
      <c r="A231" s="3" t="s">
        <v>620</v>
      </c>
      <c r="B231" s="3" t="s">
        <v>281</v>
      </c>
      <c r="C231" s="3" t="s">
        <v>396</v>
      </c>
      <c r="D231" s="3" t="s">
        <v>381</v>
      </c>
      <c r="E231" s="3" t="s">
        <v>398</v>
      </c>
      <c r="F231" s="16" t="n">
        <v>24</v>
      </c>
      <c r="G231" s="15" t="n">
        <v>0.15</v>
      </c>
      <c r="H231" s="16" t="n">
        <v>12</v>
      </c>
      <c r="I231" s="33" t="n">
        <v>142744.8</v>
      </c>
      <c r="J231" s="33" t="n">
        <v>167935.08</v>
      </c>
    </row>
    <row r="232" customFormat="false" ht="15" hidden="false" customHeight="false" outlineLevel="0" collapsed="false">
      <c r="A232" s="3" t="s">
        <v>621</v>
      </c>
      <c r="B232" s="3" t="s">
        <v>281</v>
      </c>
      <c r="C232" s="3" t="s">
        <v>396</v>
      </c>
      <c r="D232" s="3" t="s">
        <v>388</v>
      </c>
      <c r="E232" s="3" t="s">
        <v>398</v>
      </c>
      <c r="F232" s="16" t="n">
        <v>12</v>
      </c>
      <c r="G232" s="15" t="n">
        <v>0.15</v>
      </c>
      <c r="H232" s="16" t="n">
        <v>6</v>
      </c>
      <c r="I232" s="33" t="n">
        <v>142741.68</v>
      </c>
      <c r="J232" s="33" t="n">
        <v>167931.36</v>
      </c>
    </row>
    <row r="233" customFormat="false" ht="15" hidden="false" customHeight="false" outlineLevel="0" collapsed="false">
      <c r="A233" s="3" t="s">
        <v>622</v>
      </c>
      <c r="B233" s="3" t="s">
        <v>281</v>
      </c>
      <c r="C233" s="3" t="s">
        <v>384</v>
      </c>
      <c r="D233" s="3" t="s">
        <v>381</v>
      </c>
      <c r="E233" s="3" t="s">
        <v>385</v>
      </c>
      <c r="F233" s="16" t="n">
        <v>24</v>
      </c>
      <c r="G233" s="15" t="n">
        <v>0.05</v>
      </c>
      <c r="H233" s="16" t="n">
        <v>14</v>
      </c>
      <c r="I233" s="33" t="n">
        <v>142424.4</v>
      </c>
      <c r="J233" s="33" t="n">
        <v>149920.44</v>
      </c>
    </row>
    <row r="234" customFormat="false" ht="15" hidden="false" customHeight="false" outlineLevel="0" collapsed="false">
      <c r="A234" s="3" t="s">
        <v>623</v>
      </c>
      <c r="B234" s="3" t="s">
        <v>281</v>
      </c>
      <c r="C234" s="3" t="s">
        <v>384</v>
      </c>
      <c r="D234" s="3" t="s">
        <v>418</v>
      </c>
      <c r="E234" s="3" t="s">
        <v>385</v>
      </c>
      <c r="F234" s="16" t="n">
        <v>12</v>
      </c>
      <c r="G234" s="15" t="n">
        <v>0</v>
      </c>
      <c r="H234" s="16" t="n">
        <v>8</v>
      </c>
      <c r="I234" s="33" t="n">
        <v>141764.4</v>
      </c>
      <c r="J234" s="33" t="n">
        <v>141764.4</v>
      </c>
    </row>
    <row r="235" customFormat="false" ht="15" hidden="false" customHeight="false" outlineLevel="0" collapsed="false">
      <c r="A235" s="3" t="s">
        <v>624</v>
      </c>
      <c r="B235" s="3" t="s">
        <v>281</v>
      </c>
      <c r="C235" s="3" t="s">
        <v>380</v>
      </c>
      <c r="D235" s="3" t="s">
        <v>381</v>
      </c>
      <c r="E235" s="3" t="s">
        <v>398</v>
      </c>
      <c r="F235" s="16" t="n">
        <v>12</v>
      </c>
      <c r="G235" s="15" t="n">
        <v>0</v>
      </c>
      <c r="H235" s="16" t="n">
        <v>10</v>
      </c>
      <c r="I235" s="33" t="n">
        <v>141538.32</v>
      </c>
      <c r="J235" s="33" t="n">
        <v>141538.32</v>
      </c>
    </row>
    <row r="236" customFormat="false" ht="15" hidden="false" customHeight="false" outlineLevel="0" collapsed="false">
      <c r="A236" s="3" t="s">
        <v>625</v>
      </c>
      <c r="B236" s="3" t="s">
        <v>281</v>
      </c>
      <c r="C236" s="3" t="s">
        <v>387</v>
      </c>
      <c r="D236" s="3" t="s">
        <v>392</v>
      </c>
      <c r="E236" s="3" t="s">
        <v>398</v>
      </c>
      <c r="F236" s="16" t="n">
        <v>36</v>
      </c>
      <c r="G236" s="15" t="n">
        <v>0.075</v>
      </c>
      <c r="H236" s="16" t="n">
        <v>23</v>
      </c>
      <c r="I236" s="33" t="n">
        <v>140878.56</v>
      </c>
      <c r="J236" s="33" t="n">
        <v>152301.12</v>
      </c>
    </row>
    <row r="237" customFormat="false" ht="15" hidden="false" customHeight="false" outlineLevel="0" collapsed="false">
      <c r="A237" s="3" t="s">
        <v>626</v>
      </c>
      <c r="B237" s="3" t="s">
        <v>282</v>
      </c>
      <c r="C237" s="3" t="s">
        <v>387</v>
      </c>
      <c r="D237" s="3" t="s">
        <v>392</v>
      </c>
      <c r="E237" s="3" t="s">
        <v>382</v>
      </c>
      <c r="F237" s="16" t="n">
        <v>12</v>
      </c>
      <c r="G237" s="15" t="n">
        <v>0.15</v>
      </c>
      <c r="H237" s="16" t="n">
        <v>5</v>
      </c>
      <c r="I237" s="33" t="n">
        <v>140410.08</v>
      </c>
      <c r="J237" s="33" t="n">
        <v>165188.28</v>
      </c>
    </row>
    <row r="238" customFormat="false" ht="15" hidden="false" customHeight="false" outlineLevel="0" collapsed="false">
      <c r="A238" s="3" t="s">
        <v>627</v>
      </c>
      <c r="B238" s="3" t="s">
        <v>281</v>
      </c>
      <c r="C238" s="3" t="s">
        <v>401</v>
      </c>
      <c r="D238" s="3" t="s">
        <v>381</v>
      </c>
      <c r="E238" s="3" t="s">
        <v>385</v>
      </c>
      <c r="F238" s="16" t="n">
        <v>24</v>
      </c>
      <c r="G238" s="15" t="n">
        <v>0</v>
      </c>
      <c r="H238" s="16" t="n">
        <v>12</v>
      </c>
      <c r="I238" s="33" t="n">
        <v>140300.28</v>
      </c>
      <c r="J238" s="33" t="n">
        <v>140300.28</v>
      </c>
    </row>
    <row r="239" customFormat="false" ht="15" hidden="false" customHeight="false" outlineLevel="0" collapsed="false">
      <c r="A239" s="3" t="s">
        <v>628</v>
      </c>
      <c r="B239" s="3" t="s">
        <v>281</v>
      </c>
      <c r="C239" s="3" t="s">
        <v>401</v>
      </c>
      <c r="D239" s="3" t="s">
        <v>381</v>
      </c>
      <c r="E239" s="3" t="s">
        <v>385</v>
      </c>
      <c r="F239" s="16" t="n">
        <v>12</v>
      </c>
      <c r="G239" s="15" t="n">
        <v>0.1</v>
      </c>
      <c r="H239" s="16" t="n">
        <v>3</v>
      </c>
      <c r="I239" s="33" t="n">
        <v>140088.48</v>
      </c>
      <c r="J239" s="33" t="n">
        <v>155653.92</v>
      </c>
    </row>
    <row r="240" customFormat="false" ht="15" hidden="false" customHeight="false" outlineLevel="0" collapsed="false">
      <c r="A240" s="3" t="s">
        <v>629</v>
      </c>
      <c r="B240" s="3" t="s">
        <v>281</v>
      </c>
      <c r="C240" s="3" t="s">
        <v>405</v>
      </c>
      <c r="D240" s="3" t="s">
        <v>381</v>
      </c>
      <c r="E240" s="3" t="s">
        <v>385</v>
      </c>
      <c r="F240" s="16" t="n">
        <v>36</v>
      </c>
      <c r="G240" s="15" t="n">
        <v>0</v>
      </c>
      <c r="H240" s="16" t="n">
        <v>13</v>
      </c>
      <c r="I240" s="33" t="n">
        <v>139060.8</v>
      </c>
      <c r="J240" s="33" t="n">
        <v>139060.8</v>
      </c>
    </row>
    <row r="241" customFormat="false" ht="15" hidden="false" customHeight="false" outlineLevel="0" collapsed="false">
      <c r="A241" s="3" t="s">
        <v>630</v>
      </c>
      <c r="B241" s="3" t="s">
        <v>281</v>
      </c>
      <c r="C241" s="3" t="s">
        <v>405</v>
      </c>
      <c r="D241" s="3" t="s">
        <v>381</v>
      </c>
      <c r="E241" s="3" t="s">
        <v>382</v>
      </c>
      <c r="F241" s="16" t="n">
        <v>24</v>
      </c>
      <c r="G241" s="15" t="n">
        <v>0</v>
      </c>
      <c r="H241" s="16" t="n">
        <v>7</v>
      </c>
      <c r="I241" s="33" t="n">
        <v>139027.68</v>
      </c>
      <c r="J241" s="33" t="n">
        <v>139027.68</v>
      </c>
    </row>
    <row r="242" customFormat="false" ht="15" hidden="false" customHeight="false" outlineLevel="0" collapsed="false">
      <c r="A242" s="3" t="s">
        <v>631</v>
      </c>
      <c r="B242" s="3" t="s">
        <v>281</v>
      </c>
      <c r="C242" s="3" t="s">
        <v>380</v>
      </c>
      <c r="D242" s="3" t="s">
        <v>381</v>
      </c>
      <c r="E242" s="3" t="s">
        <v>385</v>
      </c>
      <c r="F242" s="16" t="n">
        <v>36</v>
      </c>
      <c r="G242" s="15" t="n">
        <v>0</v>
      </c>
      <c r="H242" s="16" t="n">
        <v>18</v>
      </c>
      <c r="I242" s="33" t="n">
        <v>138592.56</v>
      </c>
      <c r="J242" s="33" t="n">
        <v>138592.56</v>
      </c>
    </row>
    <row r="243" customFormat="false" ht="15" hidden="false" customHeight="false" outlineLevel="0" collapsed="false">
      <c r="A243" s="3" t="s">
        <v>632</v>
      </c>
      <c r="B243" s="3" t="s">
        <v>281</v>
      </c>
      <c r="C243" s="3" t="s">
        <v>405</v>
      </c>
      <c r="D243" s="3" t="s">
        <v>388</v>
      </c>
      <c r="E243" s="3" t="s">
        <v>382</v>
      </c>
      <c r="F243" s="16" t="n">
        <v>24</v>
      </c>
      <c r="G243" s="15" t="n">
        <v>0</v>
      </c>
      <c r="H243" s="16" t="n">
        <v>9</v>
      </c>
      <c r="I243" s="33" t="n">
        <v>137875.08</v>
      </c>
      <c r="J243" s="33" t="n">
        <v>137875.08</v>
      </c>
    </row>
    <row r="244" customFormat="false" ht="15" hidden="false" customHeight="false" outlineLevel="0" collapsed="false">
      <c r="A244" s="3" t="s">
        <v>633</v>
      </c>
      <c r="B244" s="3" t="s">
        <v>281</v>
      </c>
      <c r="C244" s="3" t="s">
        <v>396</v>
      </c>
      <c r="D244" s="3" t="s">
        <v>388</v>
      </c>
      <c r="E244" s="3" t="s">
        <v>385</v>
      </c>
      <c r="F244" s="16" t="n">
        <v>12</v>
      </c>
      <c r="G244" s="15" t="n">
        <v>0.1</v>
      </c>
      <c r="H244" s="16" t="n">
        <v>6</v>
      </c>
      <c r="I244" s="33" t="n">
        <v>137832.84</v>
      </c>
      <c r="J244" s="33" t="n">
        <v>153147.6</v>
      </c>
    </row>
    <row r="245" customFormat="false" ht="15" hidden="false" customHeight="false" outlineLevel="0" collapsed="false">
      <c r="A245" s="3" t="s">
        <v>634</v>
      </c>
      <c r="B245" s="3" t="s">
        <v>281</v>
      </c>
      <c r="C245" s="3" t="s">
        <v>405</v>
      </c>
      <c r="D245" s="3" t="s">
        <v>381</v>
      </c>
      <c r="E245" s="3" t="s">
        <v>398</v>
      </c>
      <c r="F245" s="16" t="n">
        <v>36</v>
      </c>
      <c r="G245" s="15" t="n">
        <v>0</v>
      </c>
      <c r="H245" s="16" t="n">
        <v>30</v>
      </c>
      <c r="I245" s="33" t="n">
        <v>137491.68</v>
      </c>
      <c r="J245" s="33" t="n">
        <v>137491.68</v>
      </c>
    </row>
    <row r="246" customFormat="false" ht="15" hidden="false" customHeight="false" outlineLevel="0" collapsed="false">
      <c r="A246" s="3" t="s">
        <v>635</v>
      </c>
      <c r="B246" s="3" t="s">
        <v>281</v>
      </c>
      <c r="C246" s="3" t="s">
        <v>380</v>
      </c>
      <c r="D246" s="3" t="s">
        <v>392</v>
      </c>
      <c r="E246" s="3" t="s">
        <v>398</v>
      </c>
      <c r="F246" s="16" t="n">
        <v>24</v>
      </c>
      <c r="G246" s="15" t="n">
        <v>0</v>
      </c>
      <c r="H246" s="16" t="n">
        <v>14</v>
      </c>
      <c r="I246" s="33" t="n">
        <v>136678.8</v>
      </c>
      <c r="J246" s="33" t="n">
        <v>136678.8</v>
      </c>
    </row>
    <row r="247" customFormat="false" ht="15" hidden="false" customHeight="false" outlineLevel="0" collapsed="false">
      <c r="A247" s="3" t="s">
        <v>636</v>
      </c>
      <c r="B247" s="3" t="s">
        <v>281</v>
      </c>
      <c r="C247" s="3" t="s">
        <v>403</v>
      </c>
      <c r="D247" s="3" t="s">
        <v>392</v>
      </c>
      <c r="E247" s="3" t="s">
        <v>398</v>
      </c>
      <c r="F247" s="16" t="n">
        <v>12</v>
      </c>
      <c r="G247" s="15" t="n">
        <v>0.25</v>
      </c>
      <c r="H247" s="16" t="n">
        <v>10</v>
      </c>
      <c r="I247" s="33" t="n">
        <v>136454.64</v>
      </c>
      <c r="J247" s="33" t="n">
        <v>181939.56</v>
      </c>
    </row>
    <row r="248" customFormat="false" ht="15" hidden="false" customHeight="false" outlineLevel="0" collapsed="false">
      <c r="A248" s="3" t="s">
        <v>637</v>
      </c>
      <c r="B248" s="3" t="s">
        <v>281</v>
      </c>
      <c r="C248" s="3" t="s">
        <v>403</v>
      </c>
      <c r="D248" s="3" t="s">
        <v>381</v>
      </c>
      <c r="E248" s="3" t="s">
        <v>398</v>
      </c>
      <c r="F248" s="16" t="n">
        <v>36</v>
      </c>
      <c r="G248" s="15" t="n">
        <v>0</v>
      </c>
      <c r="H248" s="16" t="n">
        <v>34</v>
      </c>
      <c r="I248" s="33" t="n">
        <v>136302.12</v>
      </c>
      <c r="J248" s="33" t="n">
        <v>136302.12</v>
      </c>
    </row>
    <row r="249" customFormat="false" ht="15" hidden="false" customHeight="false" outlineLevel="0" collapsed="false">
      <c r="A249" s="3" t="s">
        <v>638</v>
      </c>
      <c r="B249" s="3" t="s">
        <v>281</v>
      </c>
      <c r="C249" s="3" t="s">
        <v>380</v>
      </c>
      <c r="D249" s="3" t="s">
        <v>388</v>
      </c>
      <c r="E249" s="3" t="s">
        <v>398</v>
      </c>
      <c r="F249" s="16" t="n">
        <v>24</v>
      </c>
      <c r="G249" s="15" t="n">
        <v>0</v>
      </c>
      <c r="H249" s="16" t="n">
        <v>17</v>
      </c>
      <c r="I249" s="33" t="n">
        <v>133643.4</v>
      </c>
      <c r="J249" s="33" t="n">
        <v>133643.4</v>
      </c>
    </row>
    <row r="250" customFormat="false" ht="15" hidden="false" customHeight="false" outlineLevel="0" collapsed="false">
      <c r="A250" s="3" t="s">
        <v>639</v>
      </c>
      <c r="B250" s="3" t="s">
        <v>281</v>
      </c>
      <c r="C250" s="3" t="s">
        <v>401</v>
      </c>
      <c r="D250" s="3" t="s">
        <v>381</v>
      </c>
      <c r="E250" s="3" t="s">
        <v>398</v>
      </c>
      <c r="F250" s="16" t="n">
        <v>12</v>
      </c>
      <c r="G250" s="15" t="n">
        <v>0</v>
      </c>
      <c r="H250" s="16" t="n">
        <v>7</v>
      </c>
      <c r="I250" s="33" t="n">
        <v>132853.2</v>
      </c>
      <c r="J250" s="33" t="n">
        <v>132853.2</v>
      </c>
    </row>
    <row r="251" customFormat="false" ht="15" hidden="false" customHeight="false" outlineLevel="0" collapsed="false">
      <c r="A251" s="3" t="s">
        <v>640</v>
      </c>
      <c r="B251" s="3" t="s">
        <v>281</v>
      </c>
      <c r="C251" s="3" t="s">
        <v>387</v>
      </c>
      <c r="D251" s="3" t="s">
        <v>392</v>
      </c>
      <c r="E251" s="3" t="s">
        <v>382</v>
      </c>
      <c r="F251" s="16" t="n">
        <v>12</v>
      </c>
      <c r="G251" s="15" t="n">
        <v>0</v>
      </c>
      <c r="H251" s="16" t="n">
        <v>3</v>
      </c>
      <c r="I251" s="33" t="n">
        <v>132428.16</v>
      </c>
      <c r="J251" s="33" t="n">
        <v>132428.16</v>
      </c>
    </row>
    <row r="252" customFormat="false" ht="15" hidden="false" customHeight="false" outlineLevel="0" collapsed="false">
      <c r="A252" s="3" t="s">
        <v>641</v>
      </c>
      <c r="B252" s="3" t="s">
        <v>281</v>
      </c>
      <c r="C252" s="3" t="s">
        <v>396</v>
      </c>
      <c r="D252" s="3" t="s">
        <v>392</v>
      </c>
      <c r="E252" s="3" t="s">
        <v>385</v>
      </c>
      <c r="F252" s="16" t="n">
        <v>24</v>
      </c>
      <c r="G252" s="15" t="n">
        <v>0.3</v>
      </c>
      <c r="H252" s="16" t="n">
        <v>22</v>
      </c>
      <c r="I252" s="33" t="n">
        <v>132363.24</v>
      </c>
      <c r="J252" s="33" t="n">
        <v>189090.24</v>
      </c>
    </row>
    <row r="253" customFormat="false" ht="15" hidden="false" customHeight="false" outlineLevel="0" collapsed="false">
      <c r="A253" s="3" t="s">
        <v>642</v>
      </c>
      <c r="B253" s="3" t="s">
        <v>281</v>
      </c>
      <c r="C253" s="3" t="s">
        <v>403</v>
      </c>
      <c r="D253" s="3" t="s">
        <v>381</v>
      </c>
      <c r="E253" s="3" t="s">
        <v>382</v>
      </c>
      <c r="F253" s="16" t="n">
        <v>36</v>
      </c>
      <c r="G253" s="15" t="n">
        <v>0</v>
      </c>
      <c r="H253" s="16" t="n">
        <v>2</v>
      </c>
      <c r="I253" s="33" t="n">
        <v>132235.68</v>
      </c>
      <c r="J253" s="33" t="n">
        <v>132235.68</v>
      </c>
    </row>
    <row r="254" customFormat="false" ht="15" hidden="false" customHeight="false" outlineLevel="0" collapsed="false">
      <c r="A254" s="3" t="s">
        <v>643</v>
      </c>
      <c r="B254" s="3" t="s">
        <v>282</v>
      </c>
      <c r="C254" s="3" t="s">
        <v>405</v>
      </c>
      <c r="D254" s="3" t="s">
        <v>392</v>
      </c>
      <c r="E254" s="3" t="s">
        <v>382</v>
      </c>
      <c r="F254" s="16" t="n">
        <v>12</v>
      </c>
      <c r="G254" s="15" t="n">
        <v>0</v>
      </c>
      <c r="H254" s="16" t="n">
        <v>8</v>
      </c>
      <c r="I254" s="33" t="n">
        <v>131492.52</v>
      </c>
      <c r="J254" s="33" t="n">
        <v>131492.52</v>
      </c>
    </row>
    <row r="255" customFormat="false" ht="15" hidden="false" customHeight="false" outlineLevel="0" collapsed="false">
      <c r="A255" s="3" t="s">
        <v>644</v>
      </c>
      <c r="B255" s="3" t="s">
        <v>282</v>
      </c>
      <c r="C255" s="3" t="s">
        <v>387</v>
      </c>
      <c r="D255" s="3" t="s">
        <v>418</v>
      </c>
      <c r="E255" s="3" t="s">
        <v>385</v>
      </c>
      <c r="F255" s="16" t="n">
        <v>12</v>
      </c>
      <c r="G255" s="15" t="n">
        <v>0</v>
      </c>
      <c r="H255" s="16" t="n">
        <v>3</v>
      </c>
      <c r="I255" s="33" t="n">
        <v>131021.52</v>
      </c>
      <c r="J255" s="33" t="n">
        <v>131021.52</v>
      </c>
    </row>
    <row r="256" customFormat="false" ht="15" hidden="false" customHeight="false" outlineLevel="0" collapsed="false">
      <c r="A256" s="3" t="s">
        <v>645</v>
      </c>
      <c r="B256" s="3" t="s">
        <v>281</v>
      </c>
      <c r="C256" s="3" t="s">
        <v>396</v>
      </c>
      <c r="D256" s="3" t="s">
        <v>381</v>
      </c>
      <c r="E256" s="3" t="s">
        <v>398</v>
      </c>
      <c r="F256" s="16" t="n">
        <v>36</v>
      </c>
      <c r="G256" s="15" t="n">
        <v>0</v>
      </c>
      <c r="H256" s="16" t="n">
        <v>32</v>
      </c>
      <c r="I256" s="33" t="n">
        <v>130829.4</v>
      </c>
      <c r="J256" s="33" t="n">
        <v>130829.4</v>
      </c>
    </row>
    <row r="257" customFormat="false" ht="15" hidden="false" customHeight="false" outlineLevel="0" collapsed="false">
      <c r="A257" s="3" t="s">
        <v>646</v>
      </c>
      <c r="B257" s="3" t="s">
        <v>281</v>
      </c>
      <c r="C257" s="3" t="s">
        <v>403</v>
      </c>
      <c r="D257" s="3" t="s">
        <v>392</v>
      </c>
      <c r="E257" s="3" t="s">
        <v>382</v>
      </c>
      <c r="F257" s="16" t="n">
        <v>24</v>
      </c>
      <c r="G257" s="15" t="n">
        <v>0</v>
      </c>
      <c r="H257" s="16" t="n">
        <v>24</v>
      </c>
      <c r="I257" s="33" t="n">
        <v>130686.6</v>
      </c>
      <c r="J257" s="33" t="n">
        <v>130686.6</v>
      </c>
    </row>
    <row r="258" customFormat="false" ht="15" hidden="false" customHeight="false" outlineLevel="0" collapsed="false">
      <c r="A258" s="3" t="s">
        <v>647</v>
      </c>
      <c r="B258" s="3" t="s">
        <v>281</v>
      </c>
      <c r="C258" s="3" t="s">
        <v>384</v>
      </c>
      <c r="D258" s="3" t="s">
        <v>388</v>
      </c>
      <c r="E258" s="3" t="s">
        <v>382</v>
      </c>
      <c r="F258" s="16" t="n">
        <v>36</v>
      </c>
      <c r="G258" s="15" t="n">
        <v>0.05</v>
      </c>
      <c r="H258" s="16" t="n">
        <v>22</v>
      </c>
      <c r="I258" s="33" t="n">
        <v>130549.32</v>
      </c>
      <c r="J258" s="33" t="n">
        <v>137420.28</v>
      </c>
    </row>
    <row r="259" customFormat="false" ht="15" hidden="false" customHeight="false" outlineLevel="0" collapsed="false">
      <c r="A259" s="3" t="s">
        <v>648</v>
      </c>
      <c r="B259" s="3" t="s">
        <v>282</v>
      </c>
      <c r="C259" s="3" t="s">
        <v>396</v>
      </c>
      <c r="D259" s="3" t="s">
        <v>392</v>
      </c>
      <c r="E259" s="3" t="s">
        <v>398</v>
      </c>
      <c r="F259" s="16" t="n">
        <v>12</v>
      </c>
      <c r="G259" s="15" t="n">
        <v>0</v>
      </c>
      <c r="H259" s="16" t="n">
        <v>8</v>
      </c>
      <c r="I259" s="33" t="n">
        <v>130270.68</v>
      </c>
      <c r="J259" s="33" t="n">
        <v>130270.68</v>
      </c>
    </row>
    <row r="260" customFormat="false" ht="15" hidden="false" customHeight="false" outlineLevel="0" collapsed="false">
      <c r="A260" s="3" t="s">
        <v>649</v>
      </c>
      <c r="B260" s="3" t="s">
        <v>281</v>
      </c>
      <c r="C260" s="3" t="s">
        <v>401</v>
      </c>
      <c r="D260" s="3" t="s">
        <v>381</v>
      </c>
      <c r="E260" s="3" t="s">
        <v>385</v>
      </c>
      <c r="F260" s="16" t="n">
        <v>36</v>
      </c>
      <c r="G260" s="15" t="n">
        <v>0</v>
      </c>
      <c r="H260" s="16" t="n">
        <v>35</v>
      </c>
      <c r="I260" s="33" t="n">
        <v>130246.44</v>
      </c>
      <c r="J260" s="33" t="n">
        <v>130246.44</v>
      </c>
    </row>
    <row r="261" customFormat="false" ht="15" hidden="false" customHeight="false" outlineLevel="0" collapsed="false">
      <c r="A261" s="3" t="s">
        <v>650</v>
      </c>
      <c r="B261" s="3" t="s">
        <v>281</v>
      </c>
      <c r="C261" s="3" t="s">
        <v>384</v>
      </c>
      <c r="D261" s="3" t="s">
        <v>381</v>
      </c>
      <c r="E261" s="3" t="s">
        <v>398</v>
      </c>
      <c r="F261" s="16" t="n">
        <v>36</v>
      </c>
      <c r="G261" s="15" t="n">
        <v>0</v>
      </c>
      <c r="H261" s="16" t="n">
        <v>27</v>
      </c>
      <c r="I261" s="33" t="n">
        <v>130226.64</v>
      </c>
      <c r="J261" s="33" t="n">
        <v>130226.64</v>
      </c>
    </row>
    <row r="262" customFormat="false" ht="15" hidden="false" customHeight="false" outlineLevel="0" collapsed="false">
      <c r="A262" s="3" t="s">
        <v>651</v>
      </c>
      <c r="B262" s="3" t="s">
        <v>281</v>
      </c>
      <c r="C262" s="3" t="s">
        <v>396</v>
      </c>
      <c r="D262" s="3" t="s">
        <v>381</v>
      </c>
      <c r="E262" s="3" t="s">
        <v>385</v>
      </c>
      <c r="F262" s="16" t="n">
        <v>12</v>
      </c>
      <c r="G262" s="15" t="n">
        <v>0</v>
      </c>
      <c r="H262" s="16" t="n">
        <v>12</v>
      </c>
      <c r="I262" s="33" t="n">
        <v>130145.4</v>
      </c>
      <c r="J262" s="33" t="n">
        <v>130145.4</v>
      </c>
    </row>
    <row r="263" customFormat="false" ht="15" hidden="false" customHeight="false" outlineLevel="0" collapsed="false">
      <c r="A263" s="3" t="s">
        <v>652</v>
      </c>
      <c r="B263" s="3" t="s">
        <v>281</v>
      </c>
      <c r="C263" s="3" t="s">
        <v>387</v>
      </c>
      <c r="D263" s="3" t="s">
        <v>381</v>
      </c>
      <c r="E263" s="3" t="s">
        <v>398</v>
      </c>
      <c r="F263" s="16" t="n">
        <v>24</v>
      </c>
      <c r="G263" s="15" t="n">
        <v>0</v>
      </c>
      <c r="H263" s="16" t="n">
        <v>16</v>
      </c>
      <c r="I263" s="33" t="n">
        <v>129535.92</v>
      </c>
      <c r="J263" s="33" t="n">
        <v>129535.92</v>
      </c>
    </row>
    <row r="264" customFormat="false" ht="15" hidden="false" customHeight="false" outlineLevel="0" collapsed="false">
      <c r="A264" s="3" t="s">
        <v>653</v>
      </c>
      <c r="B264" s="3" t="s">
        <v>281</v>
      </c>
      <c r="C264" s="3" t="s">
        <v>387</v>
      </c>
      <c r="D264" s="3" t="s">
        <v>388</v>
      </c>
      <c r="E264" s="3" t="s">
        <v>398</v>
      </c>
      <c r="F264" s="16" t="n">
        <v>24</v>
      </c>
      <c r="G264" s="15" t="n">
        <v>0</v>
      </c>
      <c r="H264" s="16" t="n">
        <v>8</v>
      </c>
      <c r="I264" s="33" t="n">
        <v>128720.4</v>
      </c>
      <c r="J264" s="33" t="n">
        <v>128720.4</v>
      </c>
    </row>
    <row r="265" customFormat="false" ht="15" hidden="false" customHeight="false" outlineLevel="0" collapsed="false">
      <c r="A265" s="3" t="s">
        <v>654</v>
      </c>
      <c r="B265" s="3" t="s">
        <v>281</v>
      </c>
      <c r="C265" s="3" t="s">
        <v>387</v>
      </c>
      <c r="D265" s="3" t="s">
        <v>392</v>
      </c>
      <c r="E265" s="3" t="s">
        <v>398</v>
      </c>
      <c r="F265" s="16" t="n">
        <v>12</v>
      </c>
      <c r="G265" s="15" t="n">
        <v>0.15</v>
      </c>
      <c r="H265" s="16" t="n">
        <v>2</v>
      </c>
      <c r="I265" s="33" t="n">
        <v>128203.92</v>
      </c>
      <c r="J265" s="33" t="n">
        <v>150828.12</v>
      </c>
    </row>
    <row r="266" customFormat="false" ht="15" hidden="false" customHeight="false" outlineLevel="0" collapsed="false">
      <c r="A266" s="3" t="s">
        <v>655</v>
      </c>
      <c r="B266" s="3" t="s">
        <v>281</v>
      </c>
      <c r="C266" s="3" t="s">
        <v>387</v>
      </c>
      <c r="D266" s="3" t="s">
        <v>392</v>
      </c>
      <c r="E266" s="3" t="s">
        <v>385</v>
      </c>
      <c r="F266" s="16" t="n">
        <v>24</v>
      </c>
      <c r="G266" s="15" t="n">
        <v>0</v>
      </c>
      <c r="H266" s="16" t="n">
        <v>8</v>
      </c>
      <c r="I266" s="33" t="n">
        <v>127941.12</v>
      </c>
      <c r="J266" s="33" t="n">
        <v>127941.12</v>
      </c>
    </row>
    <row r="267" customFormat="false" ht="15" hidden="false" customHeight="false" outlineLevel="0" collapsed="false">
      <c r="A267" s="3" t="s">
        <v>656</v>
      </c>
      <c r="B267" s="3" t="s">
        <v>282</v>
      </c>
      <c r="C267" s="3" t="s">
        <v>396</v>
      </c>
      <c r="D267" s="3" t="s">
        <v>392</v>
      </c>
      <c r="E267" s="3" t="s">
        <v>382</v>
      </c>
      <c r="F267" s="16" t="n">
        <v>12</v>
      </c>
      <c r="G267" s="15" t="n">
        <v>0</v>
      </c>
      <c r="H267" s="16" t="n">
        <v>6</v>
      </c>
      <c r="I267" s="33" t="n">
        <v>127660.32</v>
      </c>
      <c r="J267" s="33" t="n">
        <v>127660.32</v>
      </c>
    </row>
    <row r="268" customFormat="false" ht="15" hidden="false" customHeight="false" outlineLevel="0" collapsed="false">
      <c r="A268" s="3" t="s">
        <v>657</v>
      </c>
      <c r="B268" s="3" t="s">
        <v>281</v>
      </c>
      <c r="C268" s="3" t="s">
        <v>405</v>
      </c>
      <c r="D268" s="3" t="s">
        <v>388</v>
      </c>
      <c r="E268" s="3" t="s">
        <v>398</v>
      </c>
      <c r="F268" s="16" t="n">
        <v>24</v>
      </c>
      <c r="G268" s="15" t="n">
        <v>0</v>
      </c>
      <c r="H268" s="16" t="n">
        <v>21</v>
      </c>
      <c r="I268" s="33" t="n">
        <v>127314.6</v>
      </c>
      <c r="J268" s="33" t="n">
        <v>127314.6</v>
      </c>
    </row>
    <row r="269" customFormat="false" ht="15" hidden="false" customHeight="false" outlineLevel="0" collapsed="false">
      <c r="A269" s="3" t="s">
        <v>658</v>
      </c>
      <c r="B269" s="3" t="s">
        <v>281</v>
      </c>
      <c r="C269" s="3" t="s">
        <v>403</v>
      </c>
      <c r="D269" s="3" t="s">
        <v>392</v>
      </c>
      <c r="E269" s="3" t="s">
        <v>382</v>
      </c>
      <c r="F269" s="16" t="n">
        <v>12</v>
      </c>
      <c r="G269" s="15" t="n">
        <v>0.25</v>
      </c>
      <c r="H269" s="16" t="n">
        <v>5</v>
      </c>
      <c r="I269" s="33" t="n">
        <v>127298.64</v>
      </c>
      <c r="J269" s="33" t="n">
        <v>169731.6</v>
      </c>
    </row>
    <row r="270" customFormat="false" ht="15" hidden="false" customHeight="false" outlineLevel="0" collapsed="false">
      <c r="A270" s="3" t="s">
        <v>659</v>
      </c>
      <c r="B270" s="3" t="s">
        <v>281</v>
      </c>
      <c r="C270" s="3" t="s">
        <v>405</v>
      </c>
      <c r="D270" s="3" t="s">
        <v>381</v>
      </c>
      <c r="E270" s="3" t="s">
        <v>398</v>
      </c>
      <c r="F270" s="16" t="n">
        <v>24</v>
      </c>
      <c r="G270" s="15" t="n">
        <v>0</v>
      </c>
      <c r="H270" s="16" t="n">
        <v>20</v>
      </c>
      <c r="I270" s="33" t="n">
        <v>126316.32</v>
      </c>
      <c r="J270" s="33" t="n">
        <v>126316.32</v>
      </c>
    </row>
    <row r="271" customFormat="false" ht="15" hidden="false" customHeight="false" outlineLevel="0" collapsed="false">
      <c r="A271" s="3" t="s">
        <v>660</v>
      </c>
      <c r="B271" s="3" t="s">
        <v>281</v>
      </c>
      <c r="C271" s="3" t="s">
        <v>384</v>
      </c>
      <c r="D271" s="3" t="s">
        <v>392</v>
      </c>
      <c r="E271" s="3" t="s">
        <v>385</v>
      </c>
      <c r="F271" s="16" t="n">
        <v>12</v>
      </c>
      <c r="G271" s="15" t="n">
        <v>0.15</v>
      </c>
      <c r="H271" s="16" t="n">
        <v>5</v>
      </c>
      <c r="I271" s="33" t="n">
        <v>125805.96</v>
      </c>
      <c r="J271" s="33" t="n">
        <v>148007.04</v>
      </c>
    </row>
    <row r="272" customFormat="false" ht="15" hidden="false" customHeight="false" outlineLevel="0" collapsed="false">
      <c r="A272" s="3" t="s">
        <v>661</v>
      </c>
      <c r="B272" s="3" t="s">
        <v>281</v>
      </c>
      <c r="C272" s="3" t="s">
        <v>401</v>
      </c>
      <c r="D272" s="3" t="s">
        <v>381</v>
      </c>
      <c r="E272" s="3" t="s">
        <v>382</v>
      </c>
      <c r="F272" s="16" t="n">
        <v>24</v>
      </c>
      <c r="G272" s="15" t="n">
        <v>0</v>
      </c>
      <c r="H272" s="16" t="n">
        <v>10</v>
      </c>
      <c r="I272" s="33" t="n">
        <v>125646.72</v>
      </c>
      <c r="J272" s="33" t="n">
        <v>125646.72</v>
      </c>
    </row>
    <row r="273" customFormat="false" ht="15" hidden="false" customHeight="false" outlineLevel="0" collapsed="false">
      <c r="A273" s="3" t="s">
        <v>662</v>
      </c>
      <c r="B273" s="3" t="s">
        <v>281</v>
      </c>
      <c r="C273" s="3" t="s">
        <v>380</v>
      </c>
      <c r="D273" s="3" t="s">
        <v>392</v>
      </c>
      <c r="E273" s="3" t="s">
        <v>382</v>
      </c>
      <c r="F273" s="16" t="n">
        <v>12</v>
      </c>
      <c r="G273" s="15" t="n">
        <v>0</v>
      </c>
      <c r="H273" s="16" t="n">
        <v>2</v>
      </c>
      <c r="I273" s="33" t="n">
        <v>124510.56</v>
      </c>
      <c r="J273" s="33" t="n">
        <v>124510.56</v>
      </c>
    </row>
    <row r="274" customFormat="false" ht="15" hidden="false" customHeight="false" outlineLevel="0" collapsed="false">
      <c r="A274" s="3" t="s">
        <v>663</v>
      </c>
      <c r="B274" s="3" t="s">
        <v>281</v>
      </c>
      <c r="C274" s="3" t="s">
        <v>405</v>
      </c>
      <c r="D274" s="3" t="s">
        <v>381</v>
      </c>
      <c r="E274" s="3" t="s">
        <v>385</v>
      </c>
      <c r="F274" s="16" t="n">
        <v>36</v>
      </c>
      <c r="G274" s="15" t="n">
        <v>0</v>
      </c>
      <c r="H274" s="16" t="n">
        <v>1</v>
      </c>
      <c r="I274" s="33" t="n">
        <v>124217.04</v>
      </c>
      <c r="J274" s="33" t="n">
        <v>124217.04</v>
      </c>
    </row>
    <row r="275" customFormat="false" ht="15" hidden="false" customHeight="false" outlineLevel="0" collapsed="false">
      <c r="A275" s="3" t="s">
        <v>664</v>
      </c>
      <c r="B275" s="3" t="s">
        <v>281</v>
      </c>
      <c r="C275" s="3" t="s">
        <v>405</v>
      </c>
      <c r="D275" s="3" t="s">
        <v>388</v>
      </c>
      <c r="E275" s="3" t="s">
        <v>398</v>
      </c>
      <c r="F275" s="16" t="n">
        <v>24</v>
      </c>
      <c r="G275" s="15" t="n">
        <v>0</v>
      </c>
      <c r="H275" s="16" t="n">
        <v>12</v>
      </c>
      <c r="I275" s="33" t="n">
        <v>123272.52</v>
      </c>
      <c r="J275" s="33" t="n">
        <v>123272.52</v>
      </c>
    </row>
    <row r="276" customFormat="false" ht="15" hidden="false" customHeight="false" outlineLevel="0" collapsed="false">
      <c r="A276" s="3" t="s">
        <v>665</v>
      </c>
      <c r="B276" s="3" t="s">
        <v>282</v>
      </c>
      <c r="C276" s="3" t="s">
        <v>396</v>
      </c>
      <c r="D276" s="3" t="s">
        <v>418</v>
      </c>
      <c r="E276" s="3" t="s">
        <v>398</v>
      </c>
      <c r="F276" s="16" t="n">
        <v>12</v>
      </c>
      <c r="G276" s="15" t="n">
        <v>0</v>
      </c>
      <c r="H276" s="16" t="n">
        <v>4</v>
      </c>
      <c r="I276" s="33" t="n">
        <v>123213.24</v>
      </c>
      <c r="J276" s="33" t="n">
        <v>123213.24</v>
      </c>
    </row>
    <row r="277" customFormat="false" ht="15" hidden="false" customHeight="false" outlineLevel="0" collapsed="false">
      <c r="A277" s="3" t="s">
        <v>666</v>
      </c>
      <c r="B277" s="3" t="s">
        <v>281</v>
      </c>
      <c r="C277" s="3" t="s">
        <v>401</v>
      </c>
      <c r="D277" s="3" t="s">
        <v>418</v>
      </c>
      <c r="E277" s="3" t="s">
        <v>398</v>
      </c>
      <c r="F277" s="16" t="n">
        <v>12</v>
      </c>
      <c r="G277" s="15" t="n">
        <v>0</v>
      </c>
      <c r="H277" s="16" t="n">
        <v>7</v>
      </c>
      <c r="I277" s="33" t="n">
        <v>122842.32</v>
      </c>
      <c r="J277" s="33" t="n">
        <v>122842.32</v>
      </c>
    </row>
    <row r="278" customFormat="false" ht="15" hidden="false" customHeight="false" outlineLevel="0" collapsed="false">
      <c r="A278" s="3" t="s">
        <v>667</v>
      </c>
      <c r="B278" s="3" t="s">
        <v>281</v>
      </c>
      <c r="C278" s="3" t="s">
        <v>396</v>
      </c>
      <c r="D278" s="3" t="s">
        <v>392</v>
      </c>
      <c r="E278" s="3" t="s">
        <v>382</v>
      </c>
      <c r="F278" s="16" t="n">
        <v>12</v>
      </c>
      <c r="G278" s="15" t="n">
        <v>0</v>
      </c>
      <c r="H278" s="16" t="n">
        <v>5</v>
      </c>
      <c r="I278" s="33" t="n">
        <v>122705.52</v>
      </c>
      <c r="J278" s="33" t="n">
        <v>122705.52</v>
      </c>
    </row>
    <row r="279" customFormat="false" ht="15" hidden="false" customHeight="false" outlineLevel="0" collapsed="false">
      <c r="A279" s="3" t="s">
        <v>668</v>
      </c>
      <c r="B279" s="3" t="s">
        <v>281</v>
      </c>
      <c r="C279" s="3" t="s">
        <v>384</v>
      </c>
      <c r="D279" s="3" t="s">
        <v>381</v>
      </c>
      <c r="E279" s="3" t="s">
        <v>398</v>
      </c>
      <c r="F279" s="16" t="n">
        <v>24</v>
      </c>
      <c r="G279" s="15" t="n">
        <v>0.15</v>
      </c>
      <c r="H279" s="16" t="n">
        <v>24</v>
      </c>
      <c r="I279" s="33" t="n">
        <v>122137.8</v>
      </c>
      <c r="J279" s="33" t="n">
        <v>143691.6</v>
      </c>
    </row>
    <row r="280" customFormat="false" ht="15" hidden="false" customHeight="false" outlineLevel="0" collapsed="false">
      <c r="A280" s="3" t="s">
        <v>669</v>
      </c>
      <c r="B280" s="3" t="s">
        <v>281</v>
      </c>
      <c r="C280" s="3" t="s">
        <v>405</v>
      </c>
      <c r="D280" s="3" t="s">
        <v>392</v>
      </c>
      <c r="E280" s="3" t="s">
        <v>382</v>
      </c>
      <c r="F280" s="16" t="n">
        <v>24</v>
      </c>
      <c r="G280" s="15" t="n">
        <v>0</v>
      </c>
      <c r="H280" s="16" t="n">
        <v>3</v>
      </c>
      <c r="I280" s="33" t="n">
        <v>121986.72</v>
      </c>
      <c r="J280" s="33" t="n">
        <v>121986.72</v>
      </c>
    </row>
    <row r="281" customFormat="false" ht="15" hidden="false" customHeight="false" outlineLevel="0" collapsed="false">
      <c r="A281" s="3" t="s">
        <v>670</v>
      </c>
      <c r="B281" s="3" t="s">
        <v>282</v>
      </c>
      <c r="C281" s="3" t="s">
        <v>384</v>
      </c>
      <c r="D281" s="3" t="s">
        <v>381</v>
      </c>
      <c r="E281" s="3" t="s">
        <v>382</v>
      </c>
      <c r="F281" s="16" t="n">
        <v>12</v>
      </c>
      <c r="G281" s="15" t="n">
        <v>0</v>
      </c>
      <c r="H281" s="16" t="n">
        <v>5</v>
      </c>
      <c r="I281" s="33" t="n">
        <v>121755.84</v>
      </c>
      <c r="J281" s="33" t="n">
        <v>121755.84</v>
      </c>
    </row>
    <row r="282" customFormat="false" ht="15" hidden="false" customHeight="false" outlineLevel="0" collapsed="false">
      <c r="A282" s="3" t="s">
        <v>671</v>
      </c>
      <c r="B282" s="3" t="s">
        <v>281</v>
      </c>
      <c r="C282" s="3" t="s">
        <v>387</v>
      </c>
      <c r="D282" s="3" t="s">
        <v>381</v>
      </c>
      <c r="E282" s="3" t="s">
        <v>385</v>
      </c>
      <c r="F282" s="16" t="n">
        <v>12</v>
      </c>
      <c r="G282" s="15" t="n">
        <v>0</v>
      </c>
      <c r="H282" s="16" t="n">
        <v>1</v>
      </c>
      <c r="I282" s="33" t="n">
        <v>121593.48</v>
      </c>
      <c r="J282" s="33" t="n">
        <v>121593.48</v>
      </c>
    </row>
    <row r="283" customFormat="false" ht="15" hidden="false" customHeight="false" outlineLevel="0" collapsed="false">
      <c r="A283" s="3" t="s">
        <v>672</v>
      </c>
      <c r="B283" s="3" t="s">
        <v>281</v>
      </c>
      <c r="C283" s="3" t="s">
        <v>401</v>
      </c>
      <c r="D283" s="3" t="s">
        <v>381</v>
      </c>
      <c r="E283" s="3" t="s">
        <v>382</v>
      </c>
      <c r="F283" s="16" t="n">
        <v>36</v>
      </c>
      <c r="G283" s="15" t="n">
        <v>0</v>
      </c>
      <c r="H283" s="16" t="n">
        <v>28</v>
      </c>
      <c r="I283" s="33" t="n">
        <v>121315.44</v>
      </c>
      <c r="J283" s="33" t="n">
        <v>121315.44</v>
      </c>
    </row>
    <row r="284" customFormat="false" ht="15" hidden="false" customHeight="false" outlineLevel="0" collapsed="false">
      <c r="A284" s="3" t="s">
        <v>673</v>
      </c>
      <c r="B284" s="3" t="s">
        <v>281</v>
      </c>
      <c r="C284" s="3" t="s">
        <v>403</v>
      </c>
      <c r="D284" s="3" t="s">
        <v>381</v>
      </c>
      <c r="E284" s="3" t="s">
        <v>398</v>
      </c>
      <c r="F284" s="16" t="n">
        <v>36</v>
      </c>
      <c r="G284" s="15" t="n">
        <v>0</v>
      </c>
      <c r="H284" s="16" t="n">
        <v>2</v>
      </c>
      <c r="I284" s="33" t="n">
        <v>121035.36</v>
      </c>
      <c r="J284" s="33" t="n">
        <v>121035.36</v>
      </c>
    </row>
    <row r="285" customFormat="false" ht="15" hidden="false" customHeight="false" outlineLevel="0" collapsed="false">
      <c r="A285" s="3" t="s">
        <v>674</v>
      </c>
      <c r="B285" s="3" t="s">
        <v>281</v>
      </c>
      <c r="C285" s="3" t="s">
        <v>387</v>
      </c>
      <c r="D285" s="3" t="s">
        <v>388</v>
      </c>
      <c r="E285" s="3" t="s">
        <v>385</v>
      </c>
      <c r="F285" s="16" t="n">
        <v>12</v>
      </c>
      <c r="G285" s="15" t="n">
        <v>0</v>
      </c>
      <c r="H285" s="16" t="n">
        <v>5</v>
      </c>
      <c r="I285" s="33" t="n">
        <v>120811.92</v>
      </c>
      <c r="J285" s="33" t="n">
        <v>120811.92</v>
      </c>
    </row>
    <row r="286" customFormat="false" ht="15" hidden="false" customHeight="false" outlineLevel="0" collapsed="false">
      <c r="A286" s="3" t="s">
        <v>675</v>
      </c>
      <c r="B286" s="3" t="s">
        <v>281</v>
      </c>
      <c r="C286" s="3" t="s">
        <v>403</v>
      </c>
      <c r="D286" s="3" t="s">
        <v>388</v>
      </c>
      <c r="E286" s="3" t="s">
        <v>382</v>
      </c>
      <c r="F286" s="16" t="n">
        <v>36</v>
      </c>
      <c r="G286" s="15" t="n">
        <v>0</v>
      </c>
      <c r="H286" s="16" t="n">
        <v>18</v>
      </c>
      <c r="I286" s="33" t="n">
        <v>120508.32</v>
      </c>
      <c r="J286" s="33" t="n">
        <v>120508.32</v>
      </c>
    </row>
    <row r="287" customFormat="false" ht="15" hidden="false" customHeight="false" outlineLevel="0" collapsed="false">
      <c r="A287" s="3" t="s">
        <v>676</v>
      </c>
      <c r="B287" s="3" t="s">
        <v>281</v>
      </c>
      <c r="C287" s="3" t="s">
        <v>380</v>
      </c>
      <c r="D287" s="3" t="s">
        <v>388</v>
      </c>
      <c r="E287" s="3" t="s">
        <v>385</v>
      </c>
      <c r="F287" s="16" t="n">
        <v>24</v>
      </c>
      <c r="G287" s="15" t="n">
        <v>0.2</v>
      </c>
      <c r="H287" s="16" t="n">
        <v>22</v>
      </c>
      <c r="I287" s="33" t="n">
        <v>120246.84</v>
      </c>
      <c r="J287" s="33" t="n">
        <v>150308.64</v>
      </c>
    </row>
    <row r="288" customFormat="false" ht="15" hidden="false" customHeight="false" outlineLevel="0" collapsed="false">
      <c r="A288" s="3" t="s">
        <v>677</v>
      </c>
      <c r="B288" s="3" t="s">
        <v>281</v>
      </c>
      <c r="C288" s="3" t="s">
        <v>396</v>
      </c>
      <c r="D288" s="3" t="s">
        <v>381</v>
      </c>
      <c r="E288" s="3" t="s">
        <v>398</v>
      </c>
      <c r="F288" s="16" t="n">
        <v>24</v>
      </c>
      <c r="G288" s="15" t="n">
        <v>0</v>
      </c>
      <c r="H288" s="16" t="n">
        <v>9</v>
      </c>
      <c r="I288" s="33" t="n">
        <v>118971.96</v>
      </c>
      <c r="J288" s="33" t="n">
        <v>118971.96</v>
      </c>
    </row>
    <row r="289" customFormat="false" ht="15" hidden="false" customHeight="false" outlineLevel="0" collapsed="false">
      <c r="A289" s="3" t="s">
        <v>678</v>
      </c>
      <c r="B289" s="3" t="s">
        <v>281</v>
      </c>
      <c r="C289" s="3" t="s">
        <v>384</v>
      </c>
      <c r="D289" s="3" t="s">
        <v>381</v>
      </c>
      <c r="E289" s="3" t="s">
        <v>382</v>
      </c>
      <c r="F289" s="16" t="n">
        <v>12</v>
      </c>
      <c r="G289" s="15" t="n">
        <v>0</v>
      </c>
      <c r="H289" s="16" t="n">
        <v>6</v>
      </c>
      <c r="I289" s="33" t="n">
        <v>118469.04</v>
      </c>
      <c r="J289" s="33" t="n">
        <v>118469.04</v>
      </c>
    </row>
    <row r="290" customFormat="false" ht="15" hidden="false" customHeight="false" outlineLevel="0" collapsed="false">
      <c r="A290" s="3" t="s">
        <v>679</v>
      </c>
      <c r="B290" s="3" t="s">
        <v>281</v>
      </c>
      <c r="C290" s="3" t="s">
        <v>380</v>
      </c>
      <c r="D290" s="3" t="s">
        <v>392</v>
      </c>
      <c r="E290" s="3" t="s">
        <v>385</v>
      </c>
      <c r="F290" s="16" t="n">
        <v>12</v>
      </c>
      <c r="G290" s="15" t="n">
        <v>0.025</v>
      </c>
      <c r="H290" s="16" t="n">
        <v>12</v>
      </c>
      <c r="I290" s="33" t="n">
        <v>118010.4</v>
      </c>
      <c r="J290" s="33" t="n">
        <v>121036.32</v>
      </c>
    </row>
    <row r="291" customFormat="false" ht="15" hidden="false" customHeight="false" outlineLevel="0" collapsed="false">
      <c r="A291" s="3" t="s">
        <v>680</v>
      </c>
      <c r="B291" s="3" t="s">
        <v>281</v>
      </c>
      <c r="C291" s="3" t="s">
        <v>380</v>
      </c>
      <c r="D291" s="3" t="s">
        <v>381</v>
      </c>
      <c r="E291" s="3" t="s">
        <v>398</v>
      </c>
      <c r="F291" s="16" t="n">
        <v>12</v>
      </c>
      <c r="G291" s="15" t="n">
        <v>0.25</v>
      </c>
      <c r="H291" s="16" t="n">
        <v>3</v>
      </c>
      <c r="I291" s="33" t="n">
        <v>116948.28</v>
      </c>
      <c r="J291" s="33" t="n">
        <v>155931</v>
      </c>
    </row>
    <row r="292" customFormat="false" ht="15" hidden="false" customHeight="false" outlineLevel="0" collapsed="false">
      <c r="A292" s="3" t="s">
        <v>681</v>
      </c>
      <c r="B292" s="3" t="s">
        <v>282</v>
      </c>
      <c r="C292" s="3" t="s">
        <v>387</v>
      </c>
      <c r="D292" s="3" t="s">
        <v>418</v>
      </c>
      <c r="E292" s="3" t="s">
        <v>385</v>
      </c>
      <c r="F292" s="16" t="n">
        <v>12</v>
      </c>
      <c r="G292" s="15" t="n">
        <v>0.1</v>
      </c>
      <c r="H292" s="16" t="n">
        <v>7</v>
      </c>
      <c r="I292" s="33" t="n">
        <v>116861.04</v>
      </c>
      <c r="J292" s="33" t="n">
        <v>129845.64</v>
      </c>
    </row>
    <row r="293" customFormat="false" ht="15" hidden="false" customHeight="false" outlineLevel="0" collapsed="false">
      <c r="A293" s="3" t="s">
        <v>682</v>
      </c>
      <c r="B293" s="3" t="s">
        <v>281</v>
      </c>
      <c r="C293" s="3" t="s">
        <v>396</v>
      </c>
      <c r="D293" s="3" t="s">
        <v>388</v>
      </c>
      <c r="E293" s="3" t="s">
        <v>385</v>
      </c>
      <c r="F293" s="16" t="n">
        <v>36</v>
      </c>
      <c r="G293" s="15" t="n">
        <v>0.35</v>
      </c>
      <c r="H293" s="16" t="n">
        <v>27</v>
      </c>
      <c r="I293" s="33" t="n">
        <v>116632.2</v>
      </c>
      <c r="J293" s="33" t="n">
        <v>179434.08</v>
      </c>
    </row>
    <row r="294" customFormat="false" ht="15" hidden="false" customHeight="false" outlineLevel="0" collapsed="false">
      <c r="A294" s="3" t="s">
        <v>683</v>
      </c>
      <c r="B294" s="3" t="s">
        <v>281</v>
      </c>
      <c r="C294" s="3" t="s">
        <v>396</v>
      </c>
      <c r="D294" s="3" t="s">
        <v>381</v>
      </c>
      <c r="E294" s="3" t="s">
        <v>398</v>
      </c>
      <c r="F294" s="16" t="n">
        <v>36</v>
      </c>
      <c r="G294" s="15" t="n">
        <v>0.15</v>
      </c>
      <c r="H294" s="16" t="n">
        <v>5</v>
      </c>
      <c r="I294" s="33" t="n">
        <v>116178.84</v>
      </c>
      <c r="J294" s="33" t="n">
        <v>136680.96</v>
      </c>
    </row>
    <row r="295" customFormat="false" ht="15" hidden="false" customHeight="false" outlineLevel="0" collapsed="false">
      <c r="A295" s="3" t="s">
        <v>684</v>
      </c>
      <c r="B295" s="3" t="s">
        <v>281</v>
      </c>
      <c r="C295" s="3" t="s">
        <v>403</v>
      </c>
      <c r="D295" s="3" t="s">
        <v>381</v>
      </c>
      <c r="E295" s="3" t="s">
        <v>382</v>
      </c>
      <c r="F295" s="16" t="n">
        <v>24</v>
      </c>
      <c r="G295" s="15" t="n">
        <v>0.05</v>
      </c>
      <c r="H295" s="16" t="n">
        <v>12</v>
      </c>
      <c r="I295" s="33" t="n">
        <v>115942.8</v>
      </c>
      <c r="J295" s="33" t="n">
        <v>122045.04</v>
      </c>
    </row>
    <row r="296" customFormat="false" ht="15" hidden="false" customHeight="false" outlineLevel="0" collapsed="false">
      <c r="A296" s="3" t="s">
        <v>685</v>
      </c>
      <c r="B296" s="3" t="s">
        <v>281</v>
      </c>
      <c r="C296" s="3" t="s">
        <v>380</v>
      </c>
      <c r="D296" s="3" t="s">
        <v>381</v>
      </c>
      <c r="E296" s="3" t="s">
        <v>398</v>
      </c>
      <c r="F296" s="16" t="n">
        <v>12</v>
      </c>
      <c r="G296" s="15" t="n">
        <v>0</v>
      </c>
      <c r="H296" s="16" t="n">
        <v>5</v>
      </c>
      <c r="I296" s="33" t="n">
        <v>115649.28</v>
      </c>
      <c r="J296" s="33" t="n">
        <v>115649.28</v>
      </c>
    </row>
    <row r="297" customFormat="false" ht="15" hidden="false" customHeight="false" outlineLevel="0" collapsed="false">
      <c r="A297" s="3" t="s">
        <v>686</v>
      </c>
      <c r="B297" s="3" t="s">
        <v>282</v>
      </c>
      <c r="C297" s="3" t="s">
        <v>401</v>
      </c>
      <c r="D297" s="3" t="s">
        <v>381</v>
      </c>
      <c r="E297" s="3" t="s">
        <v>382</v>
      </c>
      <c r="F297" s="16" t="n">
        <v>12</v>
      </c>
      <c r="G297" s="15" t="n">
        <v>0.1</v>
      </c>
      <c r="H297" s="16" t="n">
        <v>7</v>
      </c>
      <c r="I297" s="33" t="n">
        <v>115490.04</v>
      </c>
      <c r="J297" s="33" t="n">
        <v>128322.36</v>
      </c>
    </row>
    <row r="298" customFormat="false" ht="15" hidden="false" customHeight="false" outlineLevel="0" collapsed="false">
      <c r="A298" s="3" t="s">
        <v>687</v>
      </c>
      <c r="B298" s="3" t="s">
        <v>281</v>
      </c>
      <c r="C298" s="3" t="s">
        <v>401</v>
      </c>
      <c r="D298" s="3" t="s">
        <v>388</v>
      </c>
      <c r="E298" s="3" t="s">
        <v>398</v>
      </c>
      <c r="F298" s="16" t="n">
        <v>12</v>
      </c>
      <c r="G298" s="15" t="n">
        <v>0.15</v>
      </c>
      <c r="H298" s="16" t="n">
        <v>5</v>
      </c>
      <c r="I298" s="33" t="n">
        <v>114805.2</v>
      </c>
      <c r="J298" s="33" t="n">
        <v>135064.92</v>
      </c>
    </row>
    <row r="299" customFormat="false" ht="15" hidden="false" customHeight="false" outlineLevel="0" collapsed="false">
      <c r="A299" s="3" t="s">
        <v>688</v>
      </c>
      <c r="B299" s="3" t="s">
        <v>282</v>
      </c>
      <c r="C299" s="3" t="s">
        <v>405</v>
      </c>
      <c r="D299" s="3" t="s">
        <v>392</v>
      </c>
      <c r="E299" s="3" t="s">
        <v>398</v>
      </c>
      <c r="F299" s="16" t="n">
        <v>12</v>
      </c>
      <c r="G299" s="15" t="n">
        <v>0</v>
      </c>
      <c r="H299" s="16" t="n">
        <v>2</v>
      </c>
      <c r="I299" s="33" t="n">
        <v>114241.08</v>
      </c>
      <c r="J299" s="33" t="n">
        <v>114241.08</v>
      </c>
    </row>
    <row r="300" customFormat="false" ht="15" hidden="false" customHeight="false" outlineLevel="0" collapsed="false">
      <c r="A300" s="3" t="s">
        <v>689</v>
      </c>
      <c r="B300" s="3" t="s">
        <v>281</v>
      </c>
      <c r="C300" s="3" t="s">
        <v>384</v>
      </c>
      <c r="D300" s="3" t="s">
        <v>381</v>
      </c>
      <c r="E300" s="3" t="s">
        <v>398</v>
      </c>
      <c r="F300" s="16" t="n">
        <v>12</v>
      </c>
      <c r="G300" s="15" t="n">
        <v>0</v>
      </c>
      <c r="H300" s="16" t="n">
        <v>12</v>
      </c>
      <c r="I300" s="33" t="n">
        <v>114139.56</v>
      </c>
      <c r="J300" s="33" t="n">
        <v>114139.56</v>
      </c>
    </row>
    <row r="301" customFormat="false" ht="15" hidden="false" customHeight="false" outlineLevel="0" collapsed="false">
      <c r="A301" s="3" t="s">
        <v>690</v>
      </c>
      <c r="B301" s="3" t="s">
        <v>281</v>
      </c>
      <c r="C301" s="3" t="s">
        <v>387</v>
      </c>
      <c r="D301" s="3" t="s">
        <v>388</v>
      </c>
      <c r="E301" s="3" t="s">
        <v>382</v>
      </c>
      <c r="F301" s="16" t="n">
        <v>36</v>
      </c>
      <c r="G301" s="15" t="n">
        <v>0</v>
      </c>
      <c r="H301" s="16" t="n">
        <v>7</v>
      </c>
      <c r="I301" s="33" t="n">
        <v>114065.04</v>
      </c>
      <c r="J301" s="33" t="n">
        <v>114065.04</v>
      </c>
    </row>
    <row r="302" customFormat="false" ht="15" hidden="false" customHeight="false" outlineLevel="0" collapsed="false">
      <c r="A302" s="3" t="s">
        <v>691</v>
      </c>
      <c r="B302" s="3" t="s">
        <v>282</v>
      </c>
      <c r="C302" s="3" t="s">
        <v>380</v>
      </c>
      <c r="D302" s="3" t="s">
        <v>692</v>
      </c>
      <c r="E302" s="3" t="s">
        <v>385</v>
      </c>
      <c r="F302" s="16" t="n">
        <v>12</v>
      </c>
      <c r="G302" s="15" t="n">
        <v>0</v>
      </c>
      <c r="H302" s="16" t="n">
        <v>12</v>
      </c>
      <c r="I302" s="33" t="n">
        <v>113487.48</v>
      </c>
      <c r="J302" s="33" t="n">
        <v>113487.48</v>
      </c>
    </row>
    <row r="303" customFormat="false" ht="15" hidden="false" customHeight="false" outlineLevel="0" collapsed="false">
      <c r="A303" s="3" t="s">
        <v>693</v>
      </c>
      <c r="B303" s="3" t="s">
        <v>281</v>
      </c>
      <c r="C303" s="3" t="s">
        <v>403</v>
      </c>
      <c r="D303" s="3" t="s">
        <v>388</v>
      </c>
      <c r="E303" s="3" t="s">
        <v>382</v>
      </c>
      <c r="F303" s="16" t="n">
        <v>12</v>
      </c>
      <c r="G303" s="15" t="n">
        <v>0</v>
      </c>
      <c r="H303" s="16" t="n">
        <v>8</v>
      </c>
      <c r="I303" s="33" t="n">
        <v>113306.76</v>
      </c>
      <c r="J303" s="33" t="n">
        <v>113306.76</v>
      </c>
    </row>
    <row r="304" customFormat="false" ht="15" hidden="false" customHeight="false" outlineLevel="0" collapsed="false">
      <c r="A304" s="3" t="s">
        <v>694</v>
      </c>
      <c r="B304" s="3" t="s">
        <v>281</v>
      </c>
      <c r="C304" s="3" t="s">
        <v>401</v>
      </c>
      <c r="D304" s="3" t="s">
        <v>381</v>
      </c>
      <c r="E304" s="3" t="s">
        <v>385</v>
      </c>
      <c r="F304" s="16" t="n">
        <v>36</v>
      </c>
      <c r="G304" s="15" t="n">
        <v>0.05</v>
      </c>
      <c r="H304" s="16" t="n">
        <v>28</v>
      </c>
      <c r="I304" s="33" t="n">
        <v>113204.28</v>
      </c>
      <c r="J304" s="33" t="n">
        <v>119162.4</v>
      </c>
    </row>
    <row r="305" customFormat="false" ht="15" hidden="false" customHeight="false" outlineLevel="0" collapsed="false">
      <c r="A305" s="3" t="s">
        <v>695</v>
      </c>
      <c r="B305" s="3" t="s">
        <v>281</v>
      </c>
      <c r="C305" s="3" t="s">
        <v>401</v>
      </c>
      <c r="D305" s="3" t="s">
        <v>418</v>
      </c>
      <c r="E305" s="3" t="s">
        <v>385</v>
      </c>
      <c r="F305" s="16" t="n">
        <v>36</v>
      </c>
      <c r="G305" s="15" t="n">
        <v>0.1</v>
      </c>
      <c r="H305" s="16" t="n">
        <v>30</v>
      </c>
      <c r="I305" s="33" t="n">
        <v>113032.68</v>
      </c>
      <c r="J305" s="33" t="n">
        <v>125591.76</v>
      </c>
    </row>
    <row r="306" customFormat="false" ht="15" hidden="false" customHeight="false" outlineLevel="0" collapsed="false">
      <c r="A306" s="3" t="s">
        <v>696</v>
      </c>
      <c r="B306" s="3" t="s">
        <v>281</v>
      </c>
      <c r="C306" s="3" t="s">
        <v>380</v>
      </c>
      <c r="D306" s="3" t="s">
        <v>381</v>
      </c>
      <c r="E306" s="3" t="s">
        <v>385</v>
      </c>
      <c r="F306" s="16" t="n">
        <v>24</v>
      </c>
      <c r="G306" s="15" t="n">
        <v>0.25</v>
      </c>
      <c r="H306" s="16" t="n">
        <v>24</v>
      </c>
      <c r="I306" s="33" t="n">
        <v>112504.68</v>
      </c>
      <c r="J306" s="33" t="n">
        <v>150006.12</v>
      </c>
    </row>
    <row r="307" customFormat="false" ht="15" hidden="false" customHeight="false" outlineLevel="0" collapsed="false">
      <c r="A307" s="3" t="s">
        <v>697</v>
      </c>
      <c r="B307" s="3" t="s">
        <v>281</v>
      </c>
      <c r="C307" s="3" t="s">
        <v>396</v>
      </c>
      <c r="D307" s="3" t="s">
        <v>381</v>
      </c>
      <c r="E307" s="3" t="s">
        <v>398</v>
      </c>
      <c r="F307" s="16" t="n">
        <v>36</v>
      </c>
      <c r="G307" s="15" t="n">
        <v>0.175</v>
      </c>
      <c r="H307" s="16" t="n">
        <v>27</v>
      </c>
      <c r="I307" s="33" t="n">
        <v>112167.72</v>
      </c>
      <c r="J307" s="33" t="n">
        <v>135960.84</v>
      </c>
    </row>
    <row r="308" customFormat="false" ht="15" hidden="false" customHeight="false" outlineLevel="0" collapsed="false">
      <c r="A308" s="3" t="s">
        <v>698</v>
      </c>
      <c r="B308" s="3" t="s">
        <v>281</v>
      </c>
      <c r="C308" s="3" t="s">
        <v>396</v>
      </c>
      <c r="D308" s="3" t="s">
        <v>388</v>
      </c>
      <c r="E308" s="3" t="s">
        <v>382</v>
      </c>
      <c r="F308" s="16" t="n">
        <v>36</v>
      </c>
      <c r="G308" s="15" t="n">
        <v>0</v>
      </c>
      <c r="H308" s="16" t="n">
        <v>8</v>
      </c>
      <c r="I308" s="33" t="n">
        <v>111476.4</v>
      </c>
      <c r="J308" s="33" t="n">
        <v>111476.4</v>
      </c>
    </row>
    <row r="309" customFormat="false" ht="15" hidden="false" customHeight="false" outlineLevel="0" collapsed="false">
      <c r="A309" s="3" t="s">
        <v>699</v>
      </c>
      <c r="B309" s="3" t="s">
        <v>281</v>
      </c>
      <c r="C309" s="3" t="s">
        <v>387</v>
      </c>
      <c r="D309" s="3" t="s">
        <v>381</v>
      </c>
      <c r="E309" s="3" t="s">
        <v>385</v>
      </c>
      <c r="F309" s="16" t="n">
        <v>24</v>
      </c>
      <c r="G309" s="15" t="n">
        <v>0.1</v>
      </c>
      <c r="H309" s="16" t="n">
        <v>24</v>
      </c>
      <c r="I309" s="33" t="n">
        <v>111465.96</v>
      </c>
      <c r="J309" s="33" t="n">
        <v>123851.04</v>
      </c>
    </row>
    <row r="310" customFormat="false" ht="15" hidden="false" customHeight="false" outlineLevel="0" collapsed="false">
      <c r="A310" s="3" t="s">
        <v>700</v>
      </c>
      <c r="B310" s="3" t="s">
        <v>281</v>
      </c>
      <c r="C310" s="3" t="s">
        <v>387</v>
      </c>
      <c r="D310" s="3" t="s">
        <v>381</v>
      </c>
      <c r="E310" s="3" t="s">
        <v>382</v>
      </c>
      <c r="F310" s="16" t="n">
        <v>12</v>
      </c>
      <c r="G310" s="15" t="n">
        <v>0.2</v>
      </c>
      <c r="H310" s="16" t="n">
        <v>2</v>
      </c>
      <c r="I310" s="33" t="n">
        <v>110965.32</v>
      </c>
      <c r="J310" s="33" t="n">
        <v>138706.68</v>
      </c>
    </row>
    <row r="311" customFormat="false" ht="15" hidden="false" customHeight="false" outlineLevel="0" collapsed="false">
      <c r="A311" s="3" t="s">
        <v>701</v>
      </c>
      <c r="B311" s="3" t="s">
        <v>281</v>
      </c>
      <c r="C311" s="3" t="s">
        <v>401</v>
      </c>
      <c r="D311" s="3" t="s">
        <v>381</v>
      </c>
      <c r="E311" s="3" t="s">
        <v>382</v>
      </c>
      <c r="F311" s="16" t="n">
        <v>36</v>
      </c>
      <c r="G311" s="15" t="n">
        <v>0</v>
      </c>
      <c r="H311" s="16" t="n">
        <v>2</v>
      </c>
      <c r="I311" s="33" t="n">
        <v>109992.96</v>
      </c>
      <c r="J311" s="33" t="n">
        <v>109992.96</v>
      </c>
    </row>
    <row r="312" customFormat="false" ht="15" hidden="false" customHeight="false" outlineLevel="0" collapsed="false">
      <c r="A312" s="3" t="s">
        <v>702</v>
      </c>
      <c r="B312" s="3" t="s">
        <v>282</v>
      </c>
      <c r="C312" s="3" t="s">
        <v>380</v>
      </c>
      <c r="D312" s="3" t="s">
        <v>381</v>
      </c>
      <c r="E312" s="3" t="s">
        <v>382</v>
      </c>
      <c r="F312" s="16" t="n">
        <v>24</v>
      </c>
      <c r="G312" s="15" t="n">
        <v>0.05</v>
      </c>
      <c r="H312" s="16" t="n">
        <v>23</v>
      </c>
      <c r="I312" s="33" t="n">
        <v>109869.48</v>
      </c>
      <c r="J312" s="33" t="n">
        <v>115652.04</v>
      </c>
    </row>
    <row r="313" customFormat="false" ht="15" hidden="false" customHeight="false" outlineLevel="0" collapsed="false">
      <c r="A313" s="3" t="s">
        <v>703</v>
      </c>
      <c r="B313" s="3" t="s">
        <v>281</v>
      </c>
      <c r="C313" s="3" t="s">
        <v>403</v>
      </c>
      <c r="D313" s="3" t="s">
        <v>381</v>
      </c>
      <c r="E313" s="3" t="s">
        <v>398</v>
      </c>
      <c r="F313" s="16" t="n">
        <v>12</v>
      </c>
      <c r="G313" s="15" t="n">
        <v>0</v>
      </c>
      <c r="H313" s="16" t="n">
        <v>10</v>
      </c>
      <c r="I313" s="33" t="n">
        <v>109830.12</v>
      </c>
      <c r="J313" s="33" t="n">
        <v>109830.12</v>
      </c>
    </row>
    <row r="314" customFormat="false" ht="15" hidden="false" customHeight="false" outlineLevel="0" collapsed="false">
      <c r="A314" s="3" t="s">
        <v>704</v>
      </c>
      <c r="B314" s="3" t="s">
        <v>281</v>
      </c>
      <c r="C314" s="3" t="s">
        <v>405</v>
      </c>
      <c r="D314" s="3" t="s">
        <v>381</v>
      </c>
      <c r="E314" s="3" t="s">
        <v>382</v>
      </c>
      <c r="F314" s="16" t="n">
        <v>24</v>
      </c>
      <c r="G314" s="15" t="n">
        <v>0.15</v>
      </c>
      <c r="H314" s="16" t="n">
        <v>11</v>
      </c>
      <c r="I314" s="33" t="n">
        <v>109363.32</v>
      </c>
      <c r="J314" s="33" t="n">
        <v>128662.68</v>
      </c>
    </row>
    <row r="315" customFormat="false" ht="15" hidden="false" customHeight="false" outlineLevel="0" collapsed="false">
      <c r="A315" s="3" t="s">
        <v>705</v>
      </c>
      <c r="B315" s="3" t="s">
        <v>281</v>
      </c>
      <c r="C315" s="3" t="s">
        <v>401</v>
      </c>
      <c r="D315" s="3" t="s">
        <v>381</v>
      </c>
      <c r="E315" s="3" t="s">
        <v>382</v>
      </c>
      <c r="F315" s="16" t="n">
        <v>24</v>
      </c>
      <c r="G315" s="15" t="n">
        <v>0</v>
      </c>
      <c r="H315" s="16" t="n">
        <v>16</v>
      </c>
      <c r="I315" s="33" t="n">
        <v>109036.2</v>
      </c>
      <c r="J315" s="33" t="n">
        <v>109036.2</v>
      </c>
    </row>
    <row r="316" customFormat="false" ht="15" hidden="false" customHeight="false" outlineLevel="0" collapsed="false">
      <c r="A316" s="3" t="s">
        <v>706</v>
      </c>
      <c r="B316" s="3" t="s">
        <v>281</v>
      </c>
      <c r="C316" s="3" t="s">
        <v>401</v>
      </c>
      <c r="D316" s="3" t="s">
        <v>392</v>
      </c>
      <c r="E316" s="3" t="s">
        <v>382</v>
      </c>
      <c r="F316" s="16" t="n">
        <v>12</v>
      </c>
      <c r="G316" s="15" t="n">
        <v>0.15</v>
      </c>
      <c r="H316" s="16" t="n">
        <v>7</v>
      </c>
      <c r="I316" s="33" t="n">
        <v>108461.52</v>
      </c>
      <c r="J316" s="33" t="n">
        <v>127601.76</v>
      </c>
    </row>
    <row r="317" customFormat="false" ht="15" hidden="false" customHeight="false" outlineLevel="0" collapsed="false">
      <c r="A317" s="3" t="s">
        <v>707</v>
      </c>
      <c r="B317" s="3" t="s">
        <v>281</v>
      </c>
      <c r="C317" s="3" t="s">
        <v>405</v>
      </c>
      <c r="D317" s="3" t="s">
        <v>418</v>
      </c>
      <c r="E317" s="3" t="s">
        <v>385</v>
      </c>
      <c r="F317" s="16" t="n">
        <v>12</v>
      </c>
      <c r="G317" s="15" t="n">
        <v>0</v>
      </c>
      <c r="H317" s="16" t="n">
        <v>10</v>
      </c>
      <c r="I317" s="33" t="n">
        <v>107750.52</v>
      </c>
      <c r="J317" s="33" t="n">
        <v>107750.52</v>
      </c>
    </row>
    <row r="318" customFormat="false" ht="15" hidden="false" customHeight="false" outlineLevel="0" collapsed="false">
      <c r="A318" s="3" t="s">
        <v>708</v>
      </c>
      <c r="B318" s="3" t="s">
        <v>281</v>
      </c>
      <c r="C318" s="3" t="s">
        <v>405</v>
      </c>
      <c r="D318" s="3" t="s">
        <v>392</v>
      </c>
      <c r="E318" s="3" t="s">
        <v>398</v>
      </c>
      <c r="F318" s="16" t="n">
        <v>24</v>
      </c>
      <c r="G318" s="15" t="n">
        <v>0</v>
      </c>
      <c r="H318" s="16" t="n">
        <v>7</v>
      </c>
      <c r="I318" s="33" t="n">
        <v>106991.88</v>
      </c>
      <c r="J318" s="33" t="n">
        <v>106991.88</v>
      </c>
    </row>
    <row r="319" customFormat="false" ht="15" hidden="false" customHeight="false" outlineLevel="0" collapsed="false">
      <c r="A319" s="3" t="s">
        <v>709</v>
      </c>
      <c r="B319" s="3" t="s">
        <v>282</v>
      </c>
      <c r="C319" s="3" t="s">
        <v>401</v>
      </c>
      <c r="D319" s="3" t="s">
        <v>381</v>
      </c>
      <c r="E319" s="3" t="s">
        <v>398</v>
      </c>
      <c r="F319" s="16" t="n">
        <v>12</v>
      </c>
      <c r="G319" s="15" t="n">
        <v>0.2</v>
      </c>
      <c r="H319" s="16" t="n">
        <v>6</v>
      </c>
      <c r="I319" s="33" t="n">
        <v>106892.16</v>
      </c>
      <c r="J319" s="33" t="n">
        <v>133615.2</v>
      </c>
    </row>
    <row r="320" customFormat="false" ht="15" hidden="false" customHeight="false" outlineLevel="0" collapsed="false">
      <c r="A320" s="3" t="s">
        <v>710</v>
      </c>
      <c r="B320" s="3" t="s">
        <v>282</v>
      </c>
      <c r="C320" s="3" t="s">
        <v>387</v>
      </c>
      <c r="D320" s="3" t="s">
        <v>381</v>
      </c>
      <c r="E320" s="3" t="s">
        <v>398</v>
      </c>
      <c r="F320" s="16" t="n">
        <v>12</v>
      </c>
      <c r="G320" s="15" t="n">
        <v>0</v>
      </c>
      <c r="H320" s="16" t="n">
        <v>7</v>
      </c>
      <c r="I320" s="33" t="n">
        <v>106657.44</v>
      </c>
      <c r="J320" s="33" t="n">
        <v>106657.44</v>
      </c>
    </row>
    <row r="321" customFormat="false" ht="15" hidden="false" customHeight="false" outlineLevel="0" collapsed="false">
      <c r="A321" s="3" t="s">
        <v>711</v>
      </c>
      <c r="B321" s="3" t="s">
        <v>282</v>
      </c>
      <c r="C321" s="3" t="s">
        <v>401</v>
      </c>
      <c r="D321" s="3" t="s">
        <v>388</v>
      </c>
      <c r="E321" s="3" t="s">
        <v>385</v>
      </c>
      <c r="F321" s="16" t="n">
        <v>12</v>
      </c>
      <c r="G321" s="15" t="n">
        <v>0</v>
      </c>
      <c r="H321" s="16" t="n">
        <v>12</v>
      </c>
      <c r="I321" s="33" t="n">
        <v>106592.64</v>
      </c>
      <c r="J321" s="33" t="n">
        <v>106592.64</v>
      </c>
    </row>
    <row r="322" customFormat="false" ht="15" hidden="false" customHeight="false" outlineLevel="0" collapsed="false">
      <c r="A322" s="3" t="s">
        <v>712</v>
      </c>
      <c r="B322" s="3" t="s">
        <v>281</v>
      </c>
      <c r="C322" s="3" t="s">
        <v>387</v>
      </c>
      <c r="D322" s="3" t="s">
        <v>388</v>
      </c>
      <c r="E322" s="3" t="s">
        <v>382</v>
      </c>
      <c r="F322" s="16" t="n">
        <v>36</v>
      </c>
      <c r="G322" s="15" t="n">
        <v>0</v>
      </c>
      <c r="H322" s="16" t="n">
        <v>2</v>
      </c>
      <c r="I322" s="33" t="n">
        <v>106168.32</v>
      </c>
      <c r="J322" s="33" t="n">
        <v>106168.32</v>
      </c>
    </row>
    <row r="323" customFormat="false" ht="15" hidden="false" customHeight="false" outlineLevel="0" collapsed="false">
      <c r="A323" s="3" t="s">
        <v>713</v>
      </c>
      <c r="B323" s="3" t="s">
        <v>281</v>
      </c>
      <c r="C323" s="3" t="s">
        <v>401</v>
      </c>
      <c r="D323" s="3" t="s">
        <v>381</v>
      </c>
      <c r="E323" s="3" t="s">
        <v>382</v>
      </c>
      <c r="F323" s="16" t="n">
        <v>12</v>
      </c>
      <c r="G323" s="15" t="n">
        <v>0</v>
      </c>
      <c r="H323" s="16" t="n">
        <v>3</v>
      </c>
      <c r="I323" s="33" t="n">
        <v>106162.2</v>
      </c>
      <c r="J323" s="33" t="n">
        <v>106162.2</v>
      </c>
    </row>
    <row r="324" customFormat="false" ht="15" hidden="false" customHeight="false" outlineLevel="0" collapsed="false">
      <c r="A324" s="3" t="s">
        <v>714</v>
      </c>
      <c r="B324" s="3" t="s">
        <v>281</v>
      </c>
      <c r="C324" s="3" t="s">
        <v>396</v>
      </c>
      <c r="D324" s="3" t="s">
        <v>392</v>
      </c>
      <c r="E324" s="3" t="s">
        <v>398</v>
      </c>
      <c r="F324" s="16" t="n">
        <v>12</v>
      </c>
      <c r="G324" s="15" t="n">
        <v>0.075</v>
      </c>
      <c r="H324" s="16" t="n">
        <v>11</v>
      </c>
      <c r="I324" s="33" t="n">
        <v>106019.52</v>
      </c>
      <c r="J324" s="33" t="n">
        <v>114615.72</v>
      </c>
    </row>
    <row r="325" customFormat="false" ht="15" hidden="false" customHeight="false" outlineLevel="0" collapsed="false">
      <c r="A325" s="3" t="s">
        <v>715</v>
      </c>
      <c r="B325" s="3" t="s">
        <v>281</v>
      </c>
      <c r="C325" s="3" t="s">
        <v>387</v>
      </c>
      <c r="D325" s="3" t="s">
        <v>381</v>
      </c>
      <c r="E325" s="3" t="s">
        <v>385</v>
      </c>
      <c r="F325" s="16" t="n">
        <v>36</v>
      </c>
      <c r="G325" s="15" t="n">
        <v>0.1</v>
      </c>
      <c r="H325" s="16" t="n">
        <v>31</v>
      </c>
      <c r="I325" s="33" t="n">
        <v>105196.08</v>
      </c>
      <c r="J325" s="33" t="n">
        <v>116884.56</v>
      </c>
    </row>
    <row r="326" customFormat="false" ht="15" hidden="false" customHeight="false" outlineLevel="0" collapsed="false">
      <c r="A326" s="3" t="s">
        <v>716</v>
      </c>
      <c r="B326" s="3" t="s">
        <v>281</v>
      </c>
      <c r="C326" s="3" t="s">
        <v>403</v>
      </c>
      <c r="D326" s="3" t="s">
        <v>381</v>
      </c>
      <c r="E326" s="3" t="s">
        <v>385</v>
      </c>
      <c r="F326" s="16" t="n">
        <v>24</v>
      </c>
      <c r="G326" s="15" t="n">
        <v>0.35</v>
      </c>
      <c r="H326" s="16" t="n">
        <v>1</v>
      </c>
      <c r="I326" s="33" t="n">
        <v>104975.28</v>
      </c>
      <c r="J326" s="33" t="n">
        <v>161500.44</v>
      </c>
    </row>
    <row r="327" customFormat="false" ht="15" hidden="false" customHeight="false" outlineLevel="0" collapsed="false">
      <c r="A327" s="3" t="s">
        <v>717</v>
      </c>
      <c r="B327" s="3" t="s">
        <v>282</v>
      </c>
      <c r="C327" s="3" t="s">
        <v>403</v>
      </c>
      <c r="D327" s="3" t="s">
        <v>381</v>
      </c>
      <c r="E327" s="3" t="s">
        <v>385</v>
      </c>
      <c r="F327" s="16" t="n">
        <v>12</v>
      </c>
      <c r="G327" s="15" t="n">
        <v>0.2</v>
      </c>
      <c r="H327" s="16" t="n">
        <v>9</v>
      </c>
      <c r="I327" s="33" t="n">
        <v>104800.8</v>
      </c>
      <c r="J327" s="33" t="n">
        <v>131001</v>
      </c>
    </row>
    <row r="328" customFormat="false" ht="15" hidden="false" customHeight="false" outlineLevel="0" collapsed="false">
      <c r="A328" s="3" t="s">
        <v>718</v>
      </c>
      <c r="B328" s="3" t="s">
        <v>282</v>
      </c>
      <c r="C328" s="3" t="s">
        <v>380</v>
      </c>
      <c r="D328" s="3" t="s">
        <v>388</v>
      </c>
      <c r="E328" s="3" t="s">
        <v>382</v>
      </c>
      <c r="F328" s="16" t="n">
        <v>24</v>
      </c>
      <c r="G328" s="15" t="n">
        <v>0</v>
      </c>
      <c r="H328" s="16" t="n">
        <v>19</v>
      </c>
      <c r="I328" s="33" t="n">
        <v>104779.32</v>
      </c>
      <c r="J328" s="33" t="n">
        <v>104779.32</v>
      </c>
    </row>
    <row r="329" customFormat="false" ht="15" hidden="false" customHeight="false" outlineLevel="0" collapsed="false">
      <c r="A329" s="3" t="s">
        <v>719</v>
      </c>
      <c r="B329" s="3" t="s">
        <v>281</v>
      </c>
      <c r="C329" s="3" t="s">
        <v>384</v>
      </c>
      <c r="D329" s="3" t="s">
        <v>381</v>
      </c>
      <c r="E329" s="3" t="s">
        <v>385</v>
      </c>
      <c r="F329" s="16" t="n">
        <v>24</v>
      </c>
      <c r="G329" s="15" t="n">
        <v>0.2</v>
      </c>
      <c r="H329" s="16" t="n">
        <v>23</v>
      </c>
      <c r="I329" s="33" t="n">
        <v>104469.96</v>
      </c>
      <c r="J329" s="33" t="n">
        <v>130587.36</v>
      </c>
    </row>
    <row r="330" customFormat="false" ht="15" hidden="false" customHeight="false" outlineLevel="0" collapsed="false">
      <c r="A330" s="3" t="s">
        <v>720</v>
      </c>
      <c r="B330" s="3" t="s">
        <v>281</v>
      </c>
      <c r="C330" s="3" t="s">
        <v>387</v>
      </c>
      <c r="D330" s="3" t="s">
        <v>381</v>
      </c>
      <c r="E330" s="3" t="s">
        <v>385</v>
      </c>
      <c r="F330" s="16" t="n">
        <v>36</v>
      </c>
      <c r="G330" s="15" t="n">
        <v>0</v>
      </c>
      <c r="H330" s="16" t="n">
        <v>27</v>
      </c>
      <c r="I330" s="33" t="n">
        <v>104455.56</v>
      </c>
      <c r="J330" s="33" t="n">
        <v>104455.56</v>
      </c>
    </row>
    <row r="331" customFormat="false" ht="15" hidden="false" customHeight="false" outlineLevel="0" collapsed="false">
      <c r="A331" s="3" t="s">
        <v>721</v>
      </c>
      <c r="B331" s="3" t="s">
        <v>282</v>
      </c>
      <c r="C331" s="3" t="s">
        <v>384</v>
      </c>
      <c r="D331" s="3" t="s">
        <v>692</v>
      </c>
      <c r="E331" s="3" t="s">
        <v>398</v>
      </c>
      <c r="F331" s="16" t="n">
        <v>12</v>
      </c>
      <c r="G331" s="15" t="n">
        <v>0</v>
      </c>
      <c r="H331" s="16" t="n">
        <v>9</v>
      </c>
      <c r="I331" s="33" t="n">
        <v>104266.44</v>
      </c>
      <c r="J331" s="33" t="n">
        <v>104266.44</v>
      </c>
    </row>
    <row r="332" customFormat="false" ht="15" hidden="false" customHeight="false" outlineLevel="0" collapsed="false">
      <c r="A332" s="3" t="s">
        <v>722</v>
      </c>
      <c r="B332" s="3" t="s">
        <v>282</v>
      </c>
      <c r="C332" s="3" t="s">
        <v>380</v>
      </c>
      <c r="D332" s="3" t="s">
        <v>392</v>
      </c>
      <c r="E332" s="3" t="s">
        <v>385</v>
      </c>
      <c r="F332" s="16" t="n">
        <v>12</v>
      </c>
      <c r="G332" s="15" t="n">
        <v>0</v>
      </c>
      <c r="H332" s="16" t="n">
        <v>11</v>
      </c>
      <c r="I332" s="33" t="n">
        <v>104199.36</v>
      </c>
      <c r="J332" s="33" t="n">
        <v>104199.36</v>
      </c>
    </row>
    <row r="333" customFormat="false" ht="15" hidden="false" customHeight="false" outlineLevel="0" collapsed="false">
      <c r="A333" s="3" t="s">
        <v>723</v>
      </c>
      <c r="B333" s="3" t="s">
        <v>282</v>
      </c>
      <c r="C333" s="3" t="s">
        <v>380</v>
      </c>
      <c r="D333" s="3" t="s">
        <v>692</v>
      </c>
      <c r="E333" s="3" t="s">
        <v>382</v>
      </c>
      <c r="F333" s="16" t="n">
        <v>12</v>
      </c>
      <c r="G333" s="15" t="n">
        <v>0</v>
      </c>
      <c r="H333" s="16" t="n">
        <v>3</v>
      </c>
      <c r="I333" s="33" t="n">
        <v>103744.92</v>
      </c>
      <c r="J333" s="33" t="n">
        <v>103744.92</v>
      </c>
    </row>
    <row r="334" customFormat="false" ht="15" hidden="false" customHeight="false" outlineLevel="0" collapsed="false">
      <c r="A334" s="3" t="s">
        <v>724</v>
      </c>
      <c r="B334" s="3" t="s">
        <v>281</v>
      </c>
      <c r="C334" s="3" t="s">
        <v>384</v>
      </c>
      <c r="D334" s="3" t="s">
        <v>388</v>
      </c>
      <c r="E334" s="3" t="s">
        <v>385</v>
      </c>
      <c r="F334" s="16" t="n">
        <v>24</v>
      </c>
      <c r="G334" s="15" t="n">
        <v>0</v>
      </c>
      <c r="H334" s="16" t="n">
        <v>24</v>
      </c>
      <c r="I334" s="33" t="n">
        <v>103166.88</v>
      </c>
      <c r="J334" s="33" t="n">
        <v>103166.88</v>
      </c>
    </row>
    <row r="335" customFormat="false" ht="15" hidden="false" customHeight="false" outlineLevel="0" collapsed="false">
      <c r="A335" s="3" t="s">
        <v>725</v>
      </c>
      <c r="B335" s="3" t="s">
        <v>281</v>
      </c>
      <c r="C335" s="3" t="s">
        <v>401</v>
      </c>
      <c r="D335" s="3" t="s">
        <v>381</v>
      </c>
      <c r="E335" s="3" t="s">
        <v>385</v>
      </c>
      <c r="F335" s="16" t="n">
        <v>24</v>
      </c>
      <c r="G335" s="15" t="n">
        <v>0</v>
      </c>
      <c r="H335" s="16" t="n">
        <v>15</v>
      </c>
      <c r="I335" s="33" t="n">
        <v>103111.32</v>
      </c>
      <c r="J335" s="33" t="n">
        <v>103111.32</v>
      </c>
    </row>
    <row r="336" customFormat="false" ht="15" hidden="false" customHeight="false" outlineLevel="0" collapsed="false">
      <c r="A336" s="3" t="s">
        <v>726</v>
      </c>
      <c r="B336" s="3" t="s">
        <v>282</v>
      </c>
      <c r="C336" s="3" t="s">
        <v>396</v>
      </c>
      <c r="D336" s="3" t="s">
        <v>381</v>
      </c>
      <c r="E336" s="3" t="s">
        <v>382</v>
      </c>
      <c r="F336" s="16" t="n">
        <v>24</v>
      </c>
      <c r="G336" s="15" t="n">
        <v>0.15</v>
      </c>
      <c r="H336" s="16" t="n">
        <v>22</v>
      </c>
      <c r="I336" s="33" t="n">
        <v>102668.16</v>
      </c>
      <c r="J336" s="33" t="n">
        <v>120786.12</v>
      </c>
    </row>
    <row r="337" customFormat="false" ht="15" hidden="false" customHeight="false" outlineLevel="0" collapsed="false">
      <c r="A337" s="3" t="s">
        <v>727</v>
      </c>
      <c r="B337" s="3" t="s">
        <v>281</v>
      </c>
      <c r="C337" s="3" t="s">
        <v>387</v>
      </c>
      <c r="D337" s="3" t="s">
        <v>381</v>
      </c>
      <c r="E337" s="3" t="s">
        <v>385</v>
      </c>
      <c r="F337" s="16" t="n">
        <v>36</v>
      </c>
      <c r="G337" s="15" t="n">
        <v>0.125</v>
      </c>
      <c r="H337" s="16" t="n">
        <v>21</v>
      </c>
      <c r="I337" s="33" t="n">
        <v>102421.56</v>
      </c>
      <c r="J337" s="33" t="n">
        <v>117053.28</v>
      </c>
    </row>
    <row r="338" customFormat="false" ht="15" hidden="false" customHeight="false" outlineLevel="0" collapsed="false">
      <c r="A338" s="3" t="s">
        <v>728</v>
      </c>
      <c r="B338" s="3" t="s">
        <v>281</v>
      </c>
      <c r="C338" s="3" t="s">
        <v>387</v>
      </c>
      <c r="D338" s="3" t="s">
        <v>388</v>
      </c>
      <c r="E338" s="3" t="s">
        <v>385</v>
      </c>
      <c r="F338" s="16" t="n">
        <v>36</v>
      </c>
      <c r="G338" s="15" t="n">
        <v>0</v>
      </c>
      <c r="H338" s="16" t="n">
        <v>1</v>
      </c>
      <c r="I338" s="33" t="n">
        <v>101308.08</v>
      </c>
      <c r="J338" s="33" t="n">
        <v>101308.08</v>
      </c>
    </row>
    <row r="339" customFormat="false" ht="15" hidden="false" customHeight="false" outlineLevel="0" collapsed="false">
      <c r="A339" s="3" t="s">
        <v>729</v>
      </c>
      <c r="B339" s="3" t="s">
        <v>281</v>
      </c>
      <c r="C339" s="3" t="s">
        <v>401</v>
      </c>
      <c r="D339" s="3" t="s">
        <v>381</v>
      </c>
      <c r="E339" s="3" t="s">
        <v>382</v>
      </c>
      <c r="F339" s="16" t="n">
        <v>12</v>
      </c>
      <c r="G339" s="15" t="n">
        <v>0</v>
      </c>
      <c r="H339" s="16" t="n">
        <v>3</v>
      </c>
      <c r="I339" s="33" t="n">
        <v>101081.76</v>
      </c>
      <c r="J339" s="33" t="n">
        <v>101081.76</v>
      </c>
    </row>
    <row r="340" customFormat="false" ht="15" hidden="false" customHeight="false" outlineLevel="0" collapsed="false">
      <c r="A340" s="3" t="s">
        <v>730</v>
      </c>
      <c r="B340" s="3" t="s">
        <v>282</v>
      </c>
      <c r="C340" s="3" t="s">
        <v>396</v>
      </c>
      <c r="D340" s="3" t="s">
        <v>381</v>
      </c>
      <c r="E340" s="3" t="s">
        <v>398</v>
      </c>
      <c r="F340" s="16" t="n">
        <v>12</v>
      </c>
      <c r="G340" s="15" t="n">
        <v>0.1</v>
      </c>
      <c r="H340" s="16" t="n">
        <v>11</v>
      </c>
      <c r="I340" s="33" t="n">
        <v>100465.56</v>
      </c>
      <c r="J340" s="33" t="n">
        <v>111628.44</v>
      </c>
    </row>
    <row r="341" customFormat="false" ht="15" hidden="false" customHeight="false" outlineLevel="0" collapsed="false">
      <c r="A341" s="3" t="s">
        <v>731</v>
      </c>
      <c r="B341" s="3" t="s">
        <v>282</v>
      </c>
      <c r="C341" s="3" t="s">
        <v>401</v>
      </c>
      <c r="D341" s="3" t="s">
        <v>381</v>
      </c>
      <c r="E341" s="3" t="s">
        <v>398</v>
      </c>
      <c r="F341" s="16" t="n">
        <v>12</v>
      </c>
      <c r="G341" s="15" t="n">
        <v>0.15</v>
      </c>
      <c r="H341" s="16" t="n">
        <v>8</v>
      </c>
      <c r="I341" s="33" t="n">
        <v>100091.4</v>
      </c>
      <c r="J341" s="33" t="n">
        <v>117754.56</v>
      </c>
    </row>
    <row r="342" customFormat="false" ht="15" hidden="false" customHeight="false" outlineLevel="0" collapsed="false">
      <c r="A342" s="3" t="s">
        <v>732</v>
      </c>
      <c r="B342" s="3" t="s">
        <v>282</v>
      </c>
      <c r="C342" s="3" t="s">
        <v>405</v>
      </c>
      <c r="D342" s="3" t="s">
        <v>381</v>
      </c>
      <c r="E342" s="3" t="s">
        <v>398</v>
      </c>
      <c r="F342" s="16" t="n">
        <v>12</v>
      </c>
      <c r="G342" s="15" t="n">
        <v>0</v>
      </c>
      <c r="H342" s="16" t="n">
        <v>4</v>
      </c>
      <c r="I342" s="33" t="n">
        <v>100012.68</v>
      </c>
      <c r="J342" s="33" t="n">
        <v>100012.68</v>
      </c>
    </row>
    <row r="343" customFormat="false" ht="15" hidden="false" customHeight="false" outlineLevel="0" collapsed="false">
      <c r="A343" s="3" t="s">
        <v>733</v>
      </c>
      <c r="B343" s="3" t="s">
        <v>282</v>
      </c>
      <c r="C343" s="3" t="s">
        <v>396</v>
      </c>
      <c r="D343" s="3" t="s">
        <v>418</v>
      </c>
      <c r="E343" s="3" t="s">
        <v>385</v>
      </c>
      <c r="F343" s="16" t="n">
        <v>12</v>
      </c>
      <c r="G343" s="15" t="n">
        <v>0</v>
      </c>
      <c r="H343" s="16" t="n">
        <v>11</v>
      </c>
      <c r="I343" s="33" t="n">
        <v>99865.2</v>
      </c>
      <c r="J343" s="33" t="n">
        <v>99865.2</v>
      </c>
    </row>
    <row r="344" customFormat="false" ht="15" hidden="false" customHeight="false" outlineLevel="0" collapsed="false">
      <c r="A344" s="3" t="s">
        <v>734</v>
      </c>
      <c r="B344" s="3" t="s">
        <v>281</v>
      </c>
      <c r="C344" s="3" t="s">
        <v>403</v>
      </c>
      <c r="D344" s="3" t="s">
        <v>381</v>
      </c>
      <c r="E344" s="3" t="s">
        <v>398</v>
      </c>
      <c r="F344" s="16" t="n">
        <v>24</v>
      </c>
      <c r="G344" s="15" t="n">
        <v>0</v>
      </c>
      <c r="H344" s="16" t="n">
        <v>8</v>
      </c>
      <c r="I344" s="33" t="n">
        <v>99759</v>
      </c>
      <c r="J344" s="33" t="n">
        <v>99759</v>
      </c>
    </row>
    <row r="345" customFormat="false" ht="15" hidden="false" customHeight="false" outlineLevel="0" collapsed="false">
      <c r="A345" s="3" t="s">
        <v>735</v>
      </c>
      <c r="B345" s="3" t="s">
        <v>281</v>
      </c>
      <c r="C345" s="3" t="s">
        <v>396</v>
      </c>
      <c r="D345" s="3" t="s">
        <v>388</v>
      </c>
      <c r="E345" s="3" t="s">
        <v>398</v>
      </c>
      <c r="F345" s="16" t="n">
        <v>24</v>
      </c>
      <c r="G345" s="15" t="n">
        <v>0</v>
      </c>
      <c r="H345" s="16" t="n">
        <v>24</v>
      </c>
      <c r="I345" s="33" t="n">
        <v>99725.4</v>
      </c>
      <c r="J345" s="33" t="n">
        <v>99725.4</v>
      </c>
    </row>
    <row r="346" customFormat="false" ht="15" hidden="false" customHeight="false" outlineLevel="0" collapsed="false">
      <c r="A346" s="3" t="s">
        <v>736</v>
      </c>
      <c r="B346" s="3" t="s">
        <v>281</v>
      </c>
      <c r="C346" s="3" t="s">
        <v>401</v>
      </c>
      <c r="D346" s="3" t="s">
        <v>392</v>
      </c>
      <c r="E346" s="3" t="s">
        <v>382</v>
      </c>
      <c r="F346" s="16" t="n">
        <v>12</v>
      </c>
      <c r="G346" s="15" t="n">
        <v>0</v>
      </c>
      <c r="H346" s="16" t="n">
        <v>9</v>
      </c>
      <c r="I346" s="33" t="n">
        <v>99536.76</v>
      </c>
      <c r="J346" s="33" t="n">
        <v>99536.76</v>
      </c>
    </row>
    <row r="347" customFormat="false" ht="15" hidden="false" customHeight="false" outlineLevel="0" collapsed="false">
      <c r="A347" s="3" t="s">
        <v>737</v>
      </c>
      <c r="B347" s="3" t="s">
        <v>282</v>
      </c>
      <c r="C347" s="3" t="s">
        <v>403</v>
      </c>
      <c r="D347" s="3" t="s">
        <v>418</v>
      </c>
      <c r="E347" s="3" t="s">
        <v>385</v>
      </c>
      <c r="F347" s="16" t="n">
        <v>12</v>
      </c>
      <c r="G347" s="15" t="n">
        <v>0</v>
      </c>
      <c r="H347" s="16" t="n">
        <v>10</v>
      </c>
      <c r="I347" s="33" t="n">
        <v>99454.8</v>
      </c>
      <c r="J347" s="33" t="n">
        <v>99454.8</v>
      </c>
    </row>
    <row r="348" customFormat="false" ht="15" hidden="false" customHeight="false" outlineLevel="0" collapsed="false">
      <c r="A348" s="3" t="s">
        <v>738</v>
      </c>
      <c r="B348" s="3" t="s">
        <v>282</v>
      </c>
      <c r="C348" s="3" t="s">
        <v>396</v>
      </c>
      <c r="D348" s="3" t="s">
        <v>388</v>
      </c>
      <c r="E348" s="3" t="s">
        <v>398</v>
      </c>
      <c r="F348" s="16" t="n">
        <v>12</v>
      </c>
      <c r="G348" s="15" t="n">
        <v>0</v>
      </c>
      <c r="H348" s="16" t="n">
        <v>7</v>
      </c>
      <c r="I348" s="33" t="n">
        <v>99430.32</v>
      </c>
      <c r="J348" s="33" t="n">
        <v>99430.32</v>
      </c>
    </row>
    <row r="349" customFormat="false" ht="15" hidden="false" customHeight="false" outlineLevel="0" collapsed="false">
      <c r="A349" s="3" t="s">
        <v>739</v>
      </c>
      <c r="B349" s="3" t="s">
        <v>281</v>
      </c>
      <c r="C349" s="3" t="s">
        <v>396</v>
      </c>
      <c r="D349" s="3" t="s">
        <v>381</v>
      </c>
      <c r="E349" s="3" t="s">
        <v>382</v>
      </c>
      <c r="F349" s="16" t="n">
        <v>24</v>
      </c>
      <c r="G349" s="15" t="n">
        <v>0.2</v>
      </c>
      <c r="H349" s="16" t="n">
        <v>18</v>
      </c>
      <c r="I349" s="33" t="n">
        <v>98773.08</v>
      </c>
      <c r="J349" s="33" t="n">
        <v>123466.32</v>
      </c>
    </row>
    <row r="350" customFormat="false" ht="15" hidden="false" customHeight="false" outlineLevel="0" collapsed="false">
      <c r="A350" s="3" t="s">
        <v>740</v>
      </c>
      <c r="B350" s="3" t="s">
        <v>281</v>
      </c>
      <c r="C350" s="3" t="s">
        <v>405</v>
      </c>
      <c r="D350" s="3" t="s">
        <v>388</v>
      </c>
      <c r="E350" s="3" t="s">
        <v>385</v>
      </c>
      <c r="F350" s="16" t="n">
        <v>24</v>
      </c>
      <c r="G350" s="15" t="n">
        <v>0</v>
      </c>
      <c r="H350" s="16" t="n">
        <v>5</v>
      </c>
      <c r="I350" s="33" t="n">
        <v>98270.28</v>
      </c>
      <c r="J350" s="33" t="n">
        <v>98270.28</v>
      </c>
    </row>
    <row r="351" customFormat="false" ht="15" hidden="false" customHeight="false" outlineLevel="0" collapsed="false">
      <c r="A351" s="3" t="s">
        <v>741</v>
      </c>
      <c r="B351" s="3" t="s">
        <v>281</v>
      </c>
      <c r="C351" s="3" t="s">
        <v>387</v>
      </c>
      <c r="D351" s="3" t="s">
        <v>388</v>
      </c>
      <c r="E351" s="3" t="s">
        <v>382</v>
      </c>
      <c r="F351" s="16" t="n">
        <v>24</v>
      </c>
      <c r="G351" s="15" t="n">
        <v>0</v>
      </c>
      <c r="H351" s="16" t="n">
        <v>17</v>
      </c>
      <c r="I351" s="33" t="n">
        <v>98243.4</v>
      </c>
      <c r="J351" s="33" t="n">
        <v>98243.4</v>
      </c>
    </row>
    <row r="352" customFormat="false" ht="15" hidden="false" customHeight="false" outlineLevel="0" collapsed="false">
      <c r="A352" s="3" t="s">
        <v>742</v>
      </c>
      <c r="B352" s="3" t="s">
        <v>281</v>
      </c>
      <c r="C352" s="3" t="s">
        <v>401</v>
      </c>
      <c r="D352" s="3" t="s">
        <v>388</v>
      </c>
      <c r="E352" s="3" t="s">
        <v>385</v>
      </c>
      <c r="F352" s="16" t="n">
        <v>12</v>
      </c>
      <c r="G352" s="15" t="n">
        <v>0</v>
      </c>
      <c r="H352" s="16" t="n">
        <v>2</v>
      </c>
      <c r="I352" s="33" t="n">
        <v>97946.64</v>
      </c>
      <c r="J352" s="33" t="n">
        <v>97946.64</v>
      </c>
    </row>
    <row r="353" customFormat="false" ht="15" hidden="false" customHeight="false" outlineLevel="0" collapsed="false">
      <c r="A353" s="3" t="s">
        <v>743</v>
      </c>
      <c r="B353" s="3" t="s">
        <v>282</v>
      </c>
      <c r="C353" s="3" t="s">
        <v>384</v>
      </c>
      <c r="D353" s="3" t="s">
        <v>392</v>
      </c>
      <c r="E353" s="3" t="s">
        <v>398</v>
      </c>
      <c r="F353" s="16" t="n">
        <v>12</v>
      </c>
      <c r="G353" s="15" t="n">
        <v>0</v>
      </c>
      <c r="H353" s="16" t="n">
        <v>7</v>
      </c>
      <c r="I353" s="33" t="n">
        <v>97874.28</v>
      </c>
      <c r="J353" s="33" t="n">
        <v>97874.28</v>
      </c>
    </row>
    <row r="354" customFormat="false" ht="15" hidden="false" customHeight="false" outlineLevel="0" collapsed="false">
      <c r="A354" s="3" t="s">
        <v>744</v>
      </c>
      <c r="B354" s="3" t="s">
        <v>282</v>
      </c>
      <c r="C354" s="3" t="s">
        <v>405</v>
      </c>
      <c r="D354" s="3" t="s">
        <v>388</v>
      </c>
      <c r="E354" s="3" t="s">
        <v>385</v>
      </c>
      <c r="F354" s="16" t="n">
        <v>24</v>
      </c>
      <c r="G354" s="15" t="n">
        <v>0</v>
      </c>
      <c r="H354" s="16" t="n">
        <v>3</v>
      </c>
      <c r="I354" s="33" t="n">
        <v>97463.28</v>
      </c>
      <c r="J354" s="33" t="n">
        <v>97463.28</v>
      </c>
    </row>
    <row r="355" customFormat="false" ht="15" hidden="false" customHeight="false" outlineLevel="0" collapsed="false">
      <c r="A355" s="3" t="s">
        <v>745</v>
      </c>
      <c r="B355" s="3" t="s">
        <v>281</v>
      </c>
      <c r="C355" s="3" t="s">
        <v>401</v>
      </c>
      <c r="D355" s="3" t="s">
        <v>381</v>
      </c>
      <c r="E355" s="3" t="s">
        <v>385</v>
      </c>
      <c r="F355" s="16" t="n">
        <v>36</v>
      </c>
      <c r="G355" s="15" t="n">
        <v>0.2</v>
      </c>
      <c r="H355" s="16" t="n">
        <v>12</v>
      </c>
      <c r="I355" s="33" t="n">
        <v>97167</v>
      </c>
      <c r="J355" s="33" t="n">
        <v>121458.84</v>
      </c>
    </row>
    <row r="356" customFormat="false" ht="15" hidden="false" customHeight="false" outlineLevel="0" collapsed="false">
      <c r="A356" s="3" t="s">
        <v>746</v>
      </c>
      <c r="B356" s="3" t="s">
        <v>281</v>
      </c>
      <c r="C356" s="3" t="s">
        <v>387</v>
      </c>
      <c r="D356" s="3" t="s">
        <v>392</v>
      </c>
      <c r="E356" s="3" t="s">
        <v>398</v>
      </c>
      <c r="F356" s="16" t="n">
        <v>36</v>
      </c>
      <c r="G356" s="15" t="n">
        <v>0.25</v>
      </c>
      <c r="H356" s="16" t="n">
        <v>1</v>
      </c>
      <c r="I356" s="33" t="n">
        <v>97054.32</v>
      </c>
      <c r="J356" s="33" t="n">
        <v>129405.72</v>
      </c>
    </row>
    <row r="357" customFormat="false" ht="15" hidden="false" customHeight="false" outlineLevel="0" collapsed="false">
      <c r="A357" s="3" t="s">
        <v>747</v>
      </c>
      <c r="B357" s="3" t="s">
        <v>281</v>
      </c>
      <c r="C357" s="3" t="s">
        <v>401</v>
      </c>
      <c r="D357" s="3" t="s">
        <v>381</v>
      </c>
      <c r="E357" s="3" t="s">
        <v>382</v>
      </c>
      <c r="F357" s="16" t="n">
        <v>36</v>
      </c>
      <c r="G357" s="15" t="n">
        <v>0</v>
      </c>
      <c r="H357" s="16" t="n">
        <v>23</v>
      </c>
      <c r="I357" s="33" t="n">
        <v>96987.24</v>
      </c>
      <c r="J357" s="33" t="n">
        <v>96987.24</v>
      </c>
    </row>
    <row r="358" customFormat="false" ht="15" hidden="false" customHeight="false" outlineLevel="0" collapsed="false">
      <c r="A358" s="3" t="s">
        <v>748</v>
      </c>
      <c r="B358" s="3" t="s">
        <v>282</v>
      </c>
      <c r="C358" s="3" t="s">
        <v>380</v>
      </c>
      <c r="D358" s="3" t="s">
        <v>381</v>
      </c>
      <c r="E358" s="3" t="s">
        <v>398</v>
      </c>
      <c r="F358" s="16" t="n">
        <v>12</v>
      </c>
      <c r="G358" s="15" t="n">
        <v>0</v>
      </c>
      <c r="H358" s="16" t="n">
        <v>10</v>
      </c>
      <c r="I358" s="33" t="n">
        <v>96949.08</v>
      </c>
      <c r="J358" s="33" t="n">
        <v>96949.08</v>
      </c>
    </row>
    <row r="359" customFormat="false" ht="15" hidden="false" customHeight="false" outlineLevel="0" collapsed="false">
      <c r="A359" s="3" t="s">
        <v>749</v>
      </c>
      <c r="B359" s="3" t="s">
        <v>282</v>
      </c>
      <c r="C359" s="3" t="s">
        <v>384</v>
      </c>
      <c r="D359" s="3" t="s">
        <v>418</v>
      </c>
      <c r="E359" s="3" t="s">
        <v>385</v>
      </c>
      <c r="F359" s="16" t="n">
        <v>12</v>
      </c>
      <c r="G359" s="15" t="n">
        <v>0</v>
      </c>
      <c r="H359" s="16" t="n">
        <v>11</v>
      </c>
      <c r="I359" s="33" t="n">
        <v>96826.8</v>
      </c>
      <c r="J359" s="33" t="n">
        <v>96826.8</v>
      </c>
    </row>
    <row r="360" customFormat="false" ht="15" hidden="false" customHeight="false" outlineLevel="0" collapsed="false">
      <c r="A360" s="3" t="s">
        <v>750</v>
      </c>
      <c r="B360" s="3" t="s">
        <v>281</v>
      </c>
      <c r="C360" s="3" t="s">
        <v>401</v>
      </c>
      <c r="D360" s="3" t="s">
        <v>388</v>
      </c>
      <c r="E360" s="3" t="s">
        <v>385</v>
      </c>
      <c r="F360" s="16" t="n">
        <v>12</v>
      </c>
      <c r="G360" s="15" t="n">
        <v>0</v>
      </c>
      <c r="H360" s="16" t="n">
        <v>1</v>
      </c>
      <c r="I360" s="33" t="n">
        <v>96624.6</v>
      </c>
      <c r="J360" s="33" t="n">
        <v>96624.6</v>
      </c>
    </row>
    <row r="361" customFormat="false" ht="15" hidden="false" customHeight="false" outlineLevel="0" collapsed="false">
      <c r="A361" s="3" t="s">
        <v>751</v>
      </c>
      <c r="B361" s="3" t="s">
        <v>281</v>
      </c>
      <c r="C361" s="3" t="s">
        <v>405</v>
      </c>
      <c r="D361" s="3" t="s">
        <v>381</v>
      </c>
      <c r="E361" s="3" t="s">
        <v>382</v>
      </c>
      <c r="F361" s="16" t="n">
        <v>12</v>
      </c>
      <c r="G361" s="15" t="n">
        <v>0.1</v>
      </c>
      <c r="H361" s="16" t="n">
        <v>5</v>
      </c>
      <c r="I361" s="33" t="n">
        <v>96351.12</v>
      </c>
      <c r="J361" s="33" t="n">
        <v>107056.8</v>
      </c>
    </row>
    <row r="362" customFormat="false" ht="15" hidden="false" customHeight="false" outlineLevel="0" collapsed="false">
      <c r="A362" s="3" t="s">
        <v>752</v>
      </c>
      <c r="B362" s="3" t="s">
        <v>282</v>
      </c>
      <c r="C362" s="3" t="s">
        <v>396</v>
      </c>
      <c r="D362" s="3" t="s">
        <v>388</v>
      </c>
      <c r="E362" s="3" t="s">
        <v>398</v>
      </c>
      <c r="F362" s="16" t="n">
        <v>24</v>
      </c>
      <c r="G362" s="15" t="n">
        <v>0</v>
      </c>
      <c r="H362" s="16" t="n">
        <v>7</v>
      </c>
      <c r="I362" s="33" t="n">
        <v>96172.32</v>
      </c>
      <c r="J362" s="33" t="n">
        <v>96172.32</v>
      </c>
    </row>
    <row r="363" customFormat="false" ht="15" hidden="false" customHeight="false" outlineLevel="0" collapsed="false">
      <c r="A363" s="3" t="s">
        <v>753</v>
      </c>
      <c r="B363" s="3" t="s">
        <v>282</v>
      </c>
      <c r="C363" s="3" t="s">
        <v>403</v>
      </c>
      <c r="D363" s="3" t="s">
        <v>418</v>
      </c>
      <c r="E363" s="3" t="s">
        <v>398</v>
      </c>
      <c r="F363" s="16" t="n">
        <v>12</v>
      </c>
      <c r="G363" s="15" t="n">
        <v>0</v>
      </c>
      <c r="H363" s="16" t="n">
        <v>9</v>
      </c>
      <c r="I363" s="33" t="n">
        <v>95791.32</v>
      </c>
      <c r="J363" s="33" t="n">
        <v>95791.32</v>
      </c>
    </row>
    <row r="364" customFormat="false" ht="15" hidden="false" customHeight="false" outlineLevel="0" collapsed="false">
      <c r="A364" s="3" t="s">
        <v>754</v>
      </c>
      <c r="B364" s="3" t="s">
        <v>281</v>
      </c>
      <c r="C364" s="3" t="s">
        <v>403</v>
      </c>
      <c r="D364" s="3" t="s">
        <v>388</v>
      </c>
      <c r="E364" s="3" t="s">
        <v>385</v>
      </c>
      <c r="F364" s="16" t="n">
        <v>24</v>
      </c>
      <c r="G364" s="15" t="n">
        <v>0.15</v>
      </c>
      <c r="H364" s="16" t="n">
        <v>18</v>
      </c>
      <c r="I364" s="33" t="n">
        <v>95657.28</v>
      </c>
      <c r="J364" s="33" t="n">
        <v>112538.04</v>
      </c>
    </row>
    <row r="365" customFormat="false" ht="15" hidden="false" customHeight="false" outlineLevel="0" collapsed="false">
      <c r="A365" s="3" t="s">
        <v>755</v>
      </c>
      <c r="B365" s="3" t="s">
        <v>281</v>
      </c>
      <c r="C365" s="3" t="s">
        <v>401</v>
      </c>
      <c r="D365" s="3" t="s">
        <v>381</v>
      </c>
      <c r="E365" s="3" t="s">
        <v>385</v>
      </c>
      <c r="F365" s="16" t="n">
        <v>36</v>
      </c>
      <c r="G365" s="15" t="n">
        <v>0</v>
      </c>
      <c r="H365" s="16" t="n">
        <v>26</v>
      </c>
      <c r="I365" s="33" t="n">
        <v>95432.76</v>
      </c>
      <c r="J365" s="33" t="n">
        <v>95432.76</v>
      </c>
    </row>
    <row r="366" customFormat="false" ht="15" hidden="false" customHeight="false" outlineLevel="0" collapsed="false">
      <c r="A366" s="3" t="s">
        <v>756</v>
      </c>
      <c r="B366" s="3" t="s">
        <v>281</v>
      </c>
      <c r="C366" s="3" t="s">
        <v>401</v>
      </c>
      <c r="D366" s="3" t="s">
        <v>381</v>
      </c>
      <c r="E366" s="3" t="s">
        <v>398</v>
      </c>
      <c r="F366" s="16" t="n">
        <v>12</v>
      </c>
      <c r="G366" s="15" t="n">
        <v>0.1</v>
      </c>
      <c r="H366" s="16" t="n">
        <v>9</v>
      </c>
      <c r="I366" s="33" t="n">
        <v>95271.48</v>
      </c>
      <c r="J366" s="33" t="n">
        <v>105857.16</v>
      </c>
    </row>
    <row r="367" customFormat="false" ht="15" hidden="false" customHeight="false" outlineLevel="0" collapsed="false">
      <c r="A367" s="3" t="s">
        <v>757</v>
      </c>
      <c r="B367" s="3" t="s">
        <v>282</v>
      </c>
      <c r="C367" s="3" t="s">
        <v>403</v>
      </c>
      <c r="D367" s="3" t="s">
        <v>381</v>
      </c>
      <c r="E367" s="3" t="s">
        <v>382</v>
      </c>
      <c r="F367" s="16" t="n">
        <v>24</v>
      </c>
      <c r="G367" s="15" t="n">
        <v>0</v>
      </c>
      <c r="H367" s="16" t="n">
        <v>2</v>
      </c>
      <c r="I367" s="33" t="n">
        <v>95256.24</v>
      </c>
      <c r="J367" s="33" t="n">
        <v>95256.24</v>
      </c>
    </row>
    <row r="368" customFormat="false" ht="15" hidden="false" customHeight="false" outlineLevel="0" collapsed="false">
      <c r="A368" s="3" t="s">
        <v>758</v>
      </c>
      <c r="B368" s="3" t="s">
        <v>282</v>
      </c>
      <c r="C368" s="3" t="s">
        <v>401</v>
      </c>
      <c r="D368" s="3" t="s">
        <v>388</v>
      </c>
      <c r="E368" s="3" t="s">
        <v>398</v>
      </c>
      <c r="F368" s="16" t="n">
        <v>12</v>
      </c>
      <c r="G368" s="15" t="n">
        <v>0</v>
      </c>
      <c r="H368" s="16" t="n">
        <v>8</v>
      </c>
      <c r="I368" s="33" t="n">
        <v>95178.48</v>
      </c>
      <c r="J368" s="33" t="n">
        <v>95178.48</v>
      </c>
    </row>
    <row r="369" customFormat="false" ht="15" hidden="false" customHeight="false" outlineLevel="0" collapsed="false">
      <c r="A369" s="3" t="s">
        <v>759</v>
      </c>
      <c r="B369" s="3" t="s">
        <v>281</v>
      </c>
      <c r="C369" s="3" t="s">
        <v>403</v>
      </c>
      <c r="D369" s="3" t="s">
        <v>388</v>
      </c>
      <c r="E369" s="3" t="s">
        <v>385</v>
      </c>
      <c r="F369" s="16" t="n">
        <v>12</v>
      </c>
      <c r="G369" s="15" t="n">
        <v>0</v>
      </c>
      <c r="H369" s="16" t="n">
        <v>4</v>
      </c>
      <c r="I369" s="33" t="n">
        <v>95176.8</v>
      </c>
      <c r="J369" s="33" t="n">
        <v>95176.8</v>
      </c>
    </row>
    <row r="370" customFormat="false" ht="15" hidden="false" customHeight="false" outlineLevel="0" collapsed="false">
      <c r="A370" s="3" t="s">
        <v>760</v>
      </c>
      <c r="B370" s="3" t="s">
        <v>282</v>
      </c>
      <c r="C370" s="3" t="s">
        <v>384</v>
      </c>
      <c r="D370" s="3" t="s">
        <v>392</v>
      </c>
      <c r="E370" s="3" t="s">
        <v>382</v>
      </c>
      <c r="F370" s="16" t="n">
        <v>12</v>
      </c>
      <c r="G370" s="15" t="n">
        <v>0</v>
      </c>
      <c r="H370" s="16" t="n">
        <v>2</v>
      </c>
      <c r="I370" s="33" t="n">
        <v>95123.52</v>
      </c>
      <c r="J370" s="33" t="n">
        <v>95123.52</v>
      </c>
    </row>
    <row r="371" customFormat="false" ht="15" hidden="false" customHeight="false" outlineLevel="0" collapsed="false">
      <c r="A371" s="3" t="s">
        <v>761</v>
      </c>
      <c r="B371" s="3" t="s">
        <v>281</v>
      </c>
      <c r="C371" s="3" t="s">
        <v>380</v>
      </c>
      <c r="D371" s="3" t="s">
        <v>381</v>
      </c>
      <c r="E371" s="3" t="s">
        <v>385</v>
      </c>
      <c r="F371" s="16" t="n">
        <v>12</v>
      </c>
      <c r="G371" s="15" t="n">
        <v>0</v>
      </c>
      <c r="H371" s="16" t="n">
        <v>9</v>
      </c>
      <c r="I371" s="33" t="n">
        <v>94998.84</v>
      </c>
      <c r="J371" s="33" t="n">
        <v>94998.84</v>
      </c>
    </row>
    <row r="372" customFormat="false" ht="15" hidden="false" customHeight="false" outlineLevel="0" collapsed="false">
      <c r="A372" s="3" t="s">
        <v>762</v>
      </c>
      <c r="B372" s="3" t="s">
        <v>282</v>
      </c>
      <c r="C372" s="3" t="s">
        <v>405</v>
      </c>
      <c r="D372" s="3" t="s">
        <v>392</v>
      </c>
      <c r="E372" s="3" t="s">
        <v>385</v>
      </c>
      <c r="F372" s="16" t="n">
        <v>24</v>
      </c>
      <c r="G372" s="15" t="n">
        <v>0</v>
      </c>
      <c r="H372" s="16" t="n">
        <v>23</v>
      </c>
      <c r="I372" s="33" t="n">
        <v>94926</v>
      </c>
      <c r="J372" s="33" t="n">
        <v>94926</v>
      </c>
    </row>
    <row r="373" customFormat="false" ht="15" hidden="false" customHeight="false" outlineLevel="0" collapsed="false">
      <c r="A373" s="3" t="s">
        <v>763</v>
      </c>
      <c r="B373" s="3" t="s">
        <v>281</v>
      </c>
      <c r="C373" s="3" t="s">
        <v>401</v>
      </c>
      <c r="D373" s="3" t="s">
        <v>381</v>
      </c>
      <c r="E373" s="3" t="s">
        <v>398</v>
      </c>
      <c r="F373" s="16" t="n">
        <v>36</v>
      </c>
      <c r="G373" s="15" t="n">
        <v>0.15</v>
      </c>
      <c r="H373" s="16" t="n">
        <v>4</v>
      </c>
      <c r="I373" s="33" t="n">
        <v>94672.08</v>
      </c>
      <c r="J373" s="33" t="n">
        <v>111378.96</v>
      </c>
    </row>
    <row r="374" customFormat="false" ht="15" hidden="false" customHeight="false" outlineLevel="0" collapsed="false">
      <c r="A374" s="3" t="s">
        <v>764</v>
      </c>
      <c r="B374" s="3" t="s">
        <v>281</v>
      </c>
      <c r="C374" s="3" t="s">
        <v>401</v>
      </c>
      <c r="D374" s="3" t="s">
        <v>381</v>
      </c>
      <c r="E374" s="3" t="s">
        <v>385</v>
      </c>
      <c r="F374" s="16" t="n">
        <v>36</v>
      </c>
      <c r="G374" s="15" t="n">
        <v>0</v>
      </c>
      <c r="H374" s="16" t="n">
        <v>35</v>
      </c>
      <c r="I374" s="33" t="n">
        <v>94432.68</v>
      </c>
      <c r="J374" s="33" t="n">
        <v>94432.68</v>
      </c>
    </row>
    <row r="375" customFormat="false" ht="15" hidden="false" customHeight="false" outlineLevel="0" collapsed="false">
      <c r="A375" s="3" t="s">
        <v>765</v>
      </c>
      <c r="B375" s="3" t="s">
        <v>282</v>
      </c>
      <c r="C375" s="3" t="s">
        <v>403</v>
      </c>
      <c r="D375" s="3" t="s">
        <v>392</v>
      </c>
      <c r="E375" s="3" t="s">
        <v>385</v>
      </c>
      <c r="F375" s="16" t="n">
        <v>12</v>
      </c>
      <c r="G375" s="15" t="n">
        <v>0</v>
      </c>
      <c r="H375" s="16" t="n">
        <v>7</v>
      </c>
      <c r="I375" s="33" t="n">
        <v>94121.4</v>
      </c>
      <c r="J375" s="33" t="n">
        <v>94121.4</v>
      </c>
    </row>
    <row r="376" customFormat="false" ht="15" hidden="false" customHeight="false" outlineLevel="0" collapsed="false">
      <c r="A376" s="3" t="s">
        <v>766</v>
      </c>
      <c r="B376" s="3" t="s">
        <v>281</v>
      </c>
      <c r="C376" s="3" t="s">
        <v>384</v>
      </c>
      <c r="D376" s="3" t="s">
        <v>381</v>
      </c>
      <c r="E376" s="3" t="s">
        <v>398</v>
      </c>
      <c r="F376" s="16" t="n">
        <v>24</v>
      </c>
      <c r="G376" s="15" t="n">
        <v>0</v>
      </c>
      <c r="H376" s="16" t="n">
        <v>20</v>
      </c>
      <c r="I376" s="33" t="n">
        <v>94039.92</v>
      </c>
      <c r="J376" s="33" t="n">
        <v>94039.92</v>
      </c>
    </row>
    <row r="377" customFormat="false" ht="15" hidden="false" customHeight="false" outlineLevel="0" collapsed="false">
      <c r="A377" s="3" t="s">
        <v>767</v>
      </c>
      <c r="B377" s="3" t="s">
        <v>281</v>
      </c>
      <c r="C377" s="3" t="s">
        <v>387</v>
      </c>
      <c r="D377" s="3" t="s">
        <v>388</v>
      </c>
      <c r="E377" s="3" t="s">
        <v>385</v>
      </c>
      <c r="F377" s="16" t="n">
        <v>24</v>
      </c>
      <c r="G377" s="15" t="n">
        <v>0.1</v>
      </c>
      <c r="H377" s="16" t="n">
        <v>15</v>
      </c>
      <c r="I377" s="33" t="n">
        <v>94024.44</v>
      </c>
      <c r="J377" s="33" t="n">
        <v>104471.52</v>
      </c>
    </row>
    <row r="378" customFormat="false" ht="15" hidden="false" customHeight="false" outlineLevel="0" collapsed="false">
      <c r="A378" s="3" t="s">
        <v>768</v>
      </c>
      <c r="B378" s="3" t="s">
        <v>282</v>
      </c>
      <c r="C378" s="3" t="s">
        <v>401</v>
      </c>
      <c r="D378" s="3" t="s">
        <v>381</v>
      </c>
      <c r="E378" s="3" t="s">
        <v>382</v>
      </c>
      <c r="F378" s="16" t="n">
        <v>12</v>
      </c>
      <c r="G378" s="15" t="n">
        <v>0</v>
      </c>
      <c r="H378" s="16" t="n">
        <v>12</v>
      </c>
      <c r="I378" s="33" t="n">
        <v>93817.32</v>
      </c>
      <c r="J378" s="33" t="n">
        <v>93817.32</v>
      </c>
    </row>
    <row r="379" customFormat="false" ht="15" hidden="false" customHeight="false" outlineLevel="0" collapsed="false">
      <c r="A379" s="3" t="s">
        <v>769</v>
      </c>
      <c r="B379" s="3" t="s">
        <v>282</v>
      </c>
      <c r="C379" s="3" t="s">
        <v>403</v>
      </c>
      <c r="D379" s="3" t="s">
        <v>392</v>
      </c>
      <c r="E379" s="3" t="s">
        <v>382</v>
      </c>
      <c r="F379" s="16" t="n">
        <v>12</v>
      </c>
      <c r="G379" s="15" t="n">
        <v>0</v>
      </c>
      <c r="H379" s="16" t="n">
        <v>1</v>
      </c>
      <c r="I379" s="33" t="n">
        <v>93713.52</v>
      </c>
      <c r="J379" s="33" t="n">
        <v>93713.52</v>
      </c>
    </row>
    <row r="380" customFormat="false" ht="15" hidden="false" customHeight="false" outlineLevel="0" collapsed="false">
      <c r="A380" s="3" t="s">
        <v>770</v>
      </c>
      <c r="B380" s="3" t="s">
        <v>281</v>
      </c>
      <c r="C380" s="3" t="s">
        <v>403</v>
      </c>
      <c r="D380" s="3" t="s">
        <v>388</v>
      </c>
      <c r="E380" s="3" t="s">
        <v>385</v>
      </c>
      <c r="F380" s="16" t="n">
        <v>24</v>
      </c>
      <c r="G380" s="15" t="n">
        <v>0</v>
      </c>
      <c r="H380" s="16" t="n">
        <v>7</v>
      </c>
      <c r="I380" s="33" t="n">
        <v>93554.04</v>
      </c>
      <c r="J380" s="33" t="n">
        <v>93554.04</v>
      </c>
    </row>
    <row r="381" customFormat="false" ht="15" hidden="false" customHeight="false" outlineLevel="0" collapsed="false">
      <c r="A381" s="3" t="s">
        <v>771</v>
      </c>
      <c r="B381" s="3" t="s">
        <v>282</v>
      </c>
      <c r="C381" s="3" t="s">
        <v>387</v>
      </c>
      <c r="D381" s="3" t="s">
        <v>392</v>
      </c>
      <c r="E381" s="3" t="s">
        <v>385</v>
      </c>
      <c r="F381" s="16" t="n">
        <v>12</v>
      </c>
      <c r="G381" s="15" t="n">
        <v>0</v>
      </c>
      <c r="H381" s="16" t="n">
        <v>2</v>
      </c>
      <c r="I381" s="33" t="n">
        <v>93220.08</v>
      </c>
      <c r="J381" s="33" t="n">
        <v>93220.08</v>
      </c>
    </row>
    <row r="382" customFormat="false" ht="15" hidden="false" customHeight="false" outlineLevel="0" collapsed="false">
      <c r="A382" s="3" t="s">
        <v>772</v>
      </c>
      <c r="B382" s="3" t="s">
        <v>282</v>
      </c>
      <c r="C382" s="3" t="s">
        <v>380</v>
      </c>
      <c r="D382" s="3" t="s">
        <v>388</v>
      </c>
      <c r="E382" s="3" t="s">
        <v>398</v>
      </c>
      <c r="F382" s="16" t="n">
        <v>24</v>
      </c>
      <c r="G382" s="15" t="n">
        <v>0</v>
      </c>
      <c r="H382" s="16" t="n">
        <v>23</v>
      </c>
      <c r="I382" s="33" t="n">
        <v>93156.6</v>
      </c>
      <c r="J382" s="33" t="n">
        <v>93156.6</v>
      </c>
    </row>
    <row r="383" customFormat="false" ht="15" hidden="false" customHeight="false" outlineLevel="0" collapsed="false">
      <c r="A383" s="3" t="s">
        <v>773</v>
      </c>
      <c r="B383" s="3" t="s">
        <v>281</v>
      </c>
      <c r="C383" s="3" t="s">
        <v>396</v>
      </c>
      <c r="D383" s="3" t="s">
        <v>388</v>
      </c>
      <c r="E383" s="3" t="s">
        <v>385</v>
      </c>
      <c r="F383" s="16" t="n">
        <v>12</v>
      </c>
      <c r="G383" s="15" t="n">
        <v>0</v>
      </c>
      <c r="H383" s="16" t="n">
        <v>5</v>
      </c>
      <c r="I383" s="33" t="n">
        <v>93145.44</v>
      </c>
      <c r="J383" s="33" t="n">
        <v>93145.44</v>
      </c>
    </row>
    <row r="384" customFormat="false" ht="15" hidden="false" customHeight="false" outlineLevel="0" collapsed="false">
      <c r="A384" s="3" t="s">
        <v>774</v>
      </c>
      <c r="B384" s="3" t="s">
        <v>282</v>
      </c>
      <c r="C384" s="3" t="s">
        <v>401</v>
      </c>
      <c r="D384" s="3" t="s">
        <v>388</v>
      </c>
      <c r="E384" s="3" t="s">
        <v>398</v>
      </c>
      <c r="F384" s="16" t="n">
        <v>12</v>
      </c>
      <c r="G384" s="15" t="n">
        <v>0.25</v>
      </c>
      <c r="H384" s="16" t="n">
        <v>8</v>
      </c>
      <c r="I384" s="33" t="n">
        <v>93125.88</v>
      </c>
      <c r="J384" s="33" t="n">
        <v>124167.84</v>
      </c>
    </row>
    <row r="385" customFormat="false" ht="15" hidden="false" customHeight="false" outlineLevel="0" collapsed="false">
      <c r="A385" s="3" t="s">
        <v>775</v>
      </c>
      <c r="B385" s="3" t="s">
        <v>281</v>
      </c>
      <c r="C385" s="3" t="s">
        <v>401</v>
      </c>
      <c r="D385" s="3" t="s">
        <v>381</v>
      </c>
      <c r="E385" s="3" t="s">
        <v>382</v>
      </c>
      <c r="F385" s="16" t="n">
        <v>36</v>
      </c>
      <c r="G385" s="15" t="n">
        <v>0.15</v>
      </c>
      <c r="H385" s="16" t="n">
        <v>23</v>
      </c>
      <c r="I385" s="33" t="n">
        <v>92566.8</v>
      </c>
      <c r="J385" s="33" t="n">
        <v>108902.04</v>
      </c>
    </row>
    <row r="386" customFormat="false" ht="15" hidden="false" customHeight="false" outlineLevel="0" collapsed="false">
      <c r="A386" s="3" t="s">
        <v>776</v>
      </c>
      <c r="B386" s="3" t="s">
        <v>281</v>
      </c>
      <c r="C386" s="3" t="s">
        <v>387</v>
      </c>
      <c r="D386" s="3" t="s">
        <v>381</v>
      </c>
      <c r="E386" s="3" t="s">
        <v>385</v>
      </c>
      <c r="F386" s="16" t="n">
        <v>24</v>
      </c>
      <c r="G386" s="15" t="n">
        <v>0.15</v>
      </c>
      <c r="H386" s="16" t="n">
        <v>19</v>
      </c>
      <c r="I386" s="33" t="n">
        <v>92516.88</v>
      </c>
      <c r="J386" s="33" t="n">
        <v>108843.36</v>
      </c>
    </row>
    <row r="387" customFormat="false" ht="15" hidden="false" customHeight="false" outlineLevel="0" collapsed="false">
      <c r="A387" s="3" t="s">
        <v>777</v>
      </c>
      <c r="B387" s="3" t="s">
        <v>281</v>
      </c>
      <c r="C387" s="3" t="s">
        <v>387</v>
      </c>
      <c r="D387" s="3" t="s">
        <v>388</v>
      </c>
      <c r="E387" s="3" t="s">
        <v>382</v>
      </c>
      <c r="F387" s="16" t="n">
        <v>12</v>
      </c>
      <c r="G387" s="15" t="n">
        <v>0.1</v>
      </c>
      <c r="H387" s="16" t="n">
        <v>4</v>
      </c>
      <c r="I387" s="33" t="n">
        <v>92457</v>
      </c>
      <c r="J387" s="33" t="n">
        <v>102730.08</v>
      </c>
    </row>
    <row r="388" customFormat="false" ht="15" hidden="false" customHeight="false" outlineLevel="0" collapsed="false">
      <c r="A388" s="3" t="s">
        <v>778</v>
      </c>
      <c r="B388" s="3" t="s">
        <v>282</v>
      </c>
      <c r="C388" s="3" t="s">
        <v>380</v>
      </c>
      <c r="D388" s="3" t="s">
        <v>381</v>
      </c>
      <c r="E388" s="3" t="s">
        <v>398</v>
      </c>
      <c r="F388" s="16" t="n">
        <v>12</v>
      </c>
      <c r="G388" s="15" t="n">
        <v>0.1</v>
      </c>
      <c r="H388" s="16" t="n">
        <v>11</v>
      </c>
      <c r="I388" s="33" t="n">
        <v>92450.64</v>
      </c>
      <c r="J388" s="33" t="n">
        <v>102722.88</v>
      </c>
    </row>
    <row r="389" customFormat="false" ht="15" hidden="false" customHeight="false" outlineLevel="0" collapsed="false">
      <c r="A389" s="3" t="s">
        <v>779</v>
      </c>
      <c r="B389" s="3" t="s">
        <v>282</v>
      </c>
      <c r="C389" s="3" t="s">
        <v>405</v>
      </c>
      <c r="D389" s="3" t="s">
        <v>392</v>
      </c>
      <c r="E389" s="3" t="s">
        <v>398</v>
      </c>
      <c r="F389" s="16" t="n">
        <v>12</v>
      </c>
      <c r="G389" s="15" t="n">
        <v>0.05</v>
      </c>
      <c r="H389" s="16" t="n">
        <v>1</v>
      </c>
      <c r="I389" s="33" t="n">
        <v>91960.92</v>
      </c>
      <c r="J389" s="33" t="n">
        <v>96801</v>
      </c>
    </row>
    <row r="390" customFormat="false" ht="15" hidden="false" customHeight="false" outlineLevel="0" collapsed="false">
      <c r="A390" s="3" t="s">
        <v>780</v>
      </c>
      <c r="B390" s="3" t="s">
        <v>282</v>
      </c>
      <c r="C390" s="3" t="s">
        <v>405</v>
      </c>
      <c r="D390" s="3" t="s">
        <v>388</v>
      </c>
      <c r="E390" s="3" t="s">
        <v>385</v>
      </c>
      <c r="F390" s="16" t="n">
        <v>12</v>
      </c>
      <c r="G390" s="15" t="n">
        <v>0</v>
      </c>
      <c r="H390" s="16" t="n">
        <v>12</v>
      </c>
      <c r="I390" s="33" t="n">
        <v>91904.76</v>
      </c>
      <c r="J390" s="33" t="n">
        <v>91904.76</v>
      </c>
    </row>
    <row r="391" customFormat="false" ht="15" hidden="false" customHeight="false" outlineLevel="0" collapsed="false">
      <c r="A391" s="3" t="s">
        <v>781</v>
      </c>
      <c r="B391" s="3" t="s">
        <v>281</v>
      </c>
      <c r="C391" s="3" t="s">
        <v>387</v>
      </c>
      <c r="D391" s="3" t="s">
        <v>381</v>
      </c>
      <c r="E391" s="3" t="s">
        <v>385</v>
      </c>
      <c r="F391" s="16" t="n">
        <v>12</v>
      </c>
      <c r="G391" s="15" t="n">
        <v>0</v>
      </c>
      <c r="H391" s="16" t="n">
        <v>2</v>
      </c>
      <c r="I391" s="33" t="n">
        <v>91714.92</v>
      </c>
      <c r="J391" s="33" t="n">
        <v>91714.92</v>
      </c>
    </row>
    <row r="392" customFormat="false" ht="15" hidden="false" customHeight="false" outlineLevel="0" collapsed="false">
      <c r="A392" s="3" t="s">
        <v>782</v>
      </c>
      <c r="B392" s="3" t="s">
        <v>282</v>
      </c>
      <c r="C392" s="3" t="s">
        <v>403</v>
      </c>
      <c r="D392" s="3" t="s">
        <v>392</v>
      </c>
      <c r="E392" s="3" t="s">
        <v>398</v>
      </c>
      <c r="F392" s="16" t="n">
        <v>12</v>
      </c>
      <c r="G392" s="15" t="n">
        <v>0</v>
      </c>
      <c r="H392" s="16" t="n">
        <v>10</v>
      </c>
      <c r="I392" s="33" t="n">
        <v>91519.68</v>
      </c>
      <c r="J392" s="33" t="n">
        <v>91519.68</v>
      </c>
    </row>
    <row r="393" customFormat="false" ht="15" hidden="false" customHeight="false" outlineLevel="0" collapsed="false">
      <c r="A393" s="3" t="s">
        <v>783</v>
      </c>
      <c r="B393" s="3" t="s">
        <v>282</v>
      </c>
      <c r="C393" s="3" t="s">
        <v>405</v>
      </c>
      <c r="D393" s="3" t="s">
        <v>392</v>
      </c>
      <c r="E393" s="3" t="s">
        <v>382</v>
      </c>
      <c r="F393" s="16" t="n">
        <v>12</v>
      </c>
      <c r="G393" s="15" t="n">
        <v>0.1</v>
      </c>
      <c r="H393" s="16" t="n">
        <v>1</v>
      </c>
      <c r="I393" s="33" t="n">
        <v>91234.2</v>
      </c>
      <c r="J393" s="33" t="n">
        <v>101371.44</v>
      </c>
    </row>
    <row r="394" customFormat="false" ht="15" hidden="false" customHeight="false" outlineLevel="0" collapsed="false">
      <c r="A394" s="3" t="s">
        <v>784</v>
      </c>
      <c r="B394" s="3" t="s">
        <v>281</v>
      </c>
      <c r="C394" s="3" t="s">
        <v>387</v>
      </c>
      <c r="D394" s="3" t="s">
        <v>381</v>
      </c>
      <c r="E394" s="3" t="s">
        <v>398</v>
      </c>
      <c r="F394" s="16" t="n">
        <v>24</v>
      </c>
      <c r="G394" s="15" t="n">
        <v>0.3</v>
      </c>
      <c r="H394" s="16" t="n">
        <v>16</v>
      </c>
      <c r="I394" s="33" t="n">
        <v>91206.84</v>
      </c>
      <c r="J394" s="33" t="n">
        <v>130295.52</v>
      </c>
    </row>
    <row r="395" customFormat="false" ht="15" hidden="false" customHeight="false" outlineLevel="0" collapsed="false">
      <c r="A395" s="3" t="s">
        <v>785</v>
      </c>
      <c r="B395" s="3" t="s">
        <v>281</v>
      </c>
      <c r="C395" s="3" t="s">
        <v>405</v>
      </c>
      <c r="D395" s="3" t="s">
        <v>388</v>
      </c>
      <c r="E395" s="3" t="s">
        <v>398</v>
      </c>
      <c r="F395" s="16" t="n">
        <v>36</v>
      </c>
      <c r="G395" s="15" t="n">
        <v>0</v>
      </c>
      <c r="H395" s="16" t="n">
        <v>26</v>
      </c>
      <c r="I395" s="33" t="n">
        <v>90555.84</v>
      </c>
      <c r="J395" s="33" t="n">
        <v>90555.84</v>
      </c>
    </row>
    <row r="396" customFormat="false" ht="15" hidden="false" customHeight="false" outlineLevel="0" collapsed="false">
      <c r="A396" s="3" t="s">
        <v>786</v>
      </c>
      <c r="B396" s="3" t="s">
        <v>282</v>
      </c>
      <c r="C396" s="3" t="s">
        <v>380</v>
      </c>
      <c r="D396" s="3" t="s">
        <v>692</v>
      </c>
      <c r="E396" s="3" t="s">
        <v>398</v>
      </c>
      <c r="F396" s="16" t="n">
        <v>12</v>
      </c>
      <c r="G396" s="15" t="n">
        <v>0</v>
      </c>
      <c r="H396" s="16" t="n">
        <v>3</v>
      </c>
      <c r="I396" s="33" t="n">
        <v>90369.84</v>
      </c>
      <c r="J396" s="33" t="n">
        <v>90369.84</v>
      </c>
    </row>
    <row r="397" customFormat="false" ht="15" hidden="false" customHeight="false" outlineLevel="0" collapsed="false">
      <c r="A397" s="3" t="s">
        <v>787</v>
      </c>
      <c r="B397" s="3" t="s">
        <v>281</v>
      </c>
      <c r="C397" s="3" t="s">
        <v>401</v>
      </c>
      <c r="D397" s="3" t="s">
        <v>381</v>
      </c>
      <c r="E397" s="3" t="s">
        <v>385</v>
      </c>
      <c r="F397" s="16" t="n">
        <v>24</v>
      </c>
      <c r="G397" s="15" t="n">
        <v>0.075</v>
      </c>
      <c r="H397" s="16" t="n">
        <v>2</v>
      </c>
      <c r="I397" s="33" t="n">
        <v>90184.08</v>
      </c>
      <c r="J397" s="33" t="n">
        <v>97496.4</v>
      </c>
    </row>
    <row r="398" customFormat="false" ht="15" hidden="false" customHeight="false" outlineLevel="0" collapsed="false">
      <c r="A398" s="3" t="s">
        <v>788</v>
      </c>
      <c r="B398" s="3" t="s">
        <v>282</v>
      </c>
      <c r="C398" s="3" t="s">
        <v>396</v>
      </c>
      <c r="D398" s="3" t="s">
        <v>418</v>
      </c>
      <c r="E398" s="3" t="s">
        <v>398</v>
      </c>
      <c r="F398" s="16" t="n">
        <v>12</v>
      </c>
      <c r="G398" s="15" t="n">
        <v>0.15</v>
      </c>
      <c r="H398" s="16" t="n">
        <v>9</v>
      </c>
      <c r="I398" s="33" t="n">
        <v>90055.68</v>
      </c>
      <c r="J398" s="33" t="n">
        <v>105947.76</v>
      </c>
    </row>
    <row r="399" customFormat="false" ht="15" hidden="false" customHeight="false" outlineLevel="0" collapsed="false">
      <c r="A399" s="3" t="s">
        <v>789</v>
      </c>
      <c r="B399" s="3" t="s">
        <v>282</v>
      </c>
      <c r="C399" s="3" t="s">
        <v>401</v>
      </c>
      <c r="D399" s="3" t="s">
        <v>692</v>
      </c>
      <c r="E399" s="3" t="s">
        <v>398</v>
      </c>
      <c r="F399" s="16" t="n">
        <v>12</v>
      </c>
      <c r="G399" s="15" t="n">
        <v>0</v>
      </c>
      <c r="H399" s="16" t="n">
        <v>11</v>
      </c>
      <c r="I399" s="33" t="n">
        <v>89744.04</v>
      </c>
      <c r="J399" s="33" t="n">
        <v>89744.04</v>
      </c>
    </row>
    <row r="400" customFormat="false" ht="15" hidden="false" customHeight="false" outlineLevel="0" collapsed="false">
      <c r="A400" s="3" t="s">
        <v>790</v>
      </c>
      <c r="B400" s="3" t="s">
        <v>281</v>
      </c>
      <c r="C400" s="3" t="s">
        <v>405</v>
      </c>
      <c r="D400" s="3" t="s">
        <v>381</v>
      </c>
      <c r="E400" s="3" t="s">
        <v>382</v>
      </c>
      <c r="F400" s="16" t="n">
        <v>36</v>
      </c>
      <c r="G400" s="15" t="n">
        <v>0.1</v>
      </c>
      <c r="H400" s="16" t="n">
        <v>11</v>
      </c>
      <c r="I400" s="33" t="n">
        <v>89671.08</v>
      </c>
      <c r="J400" s="33" t="n">
        <v>99634.44</v>
      </c>
    </row>
    <row r="401" customFormat="false" ht="15" hidden="false" customHeight="false" outlineLevel="0" collapsed="false">
      <c r="A401" s="3" t="s">
        <v>791</v>
      </c>
      <c r="B401" s="3" t="s">
        <v>282</v>
      </c>
      <c r="C401" s="3" t="s">
        <v>403</v>
      </c>
      <c r="D401" s="3" t="s">
        <v>388</v>
      </c>
      <c r="E401" s="3" t="s">
        <v>382</v>
      </c>
      <c r="F401" s="16" t="n">
        <v>12</v>
      </c>
      <c r="G401" s="15" t="n">
        <v>0.1</v>
      </c>
      <c r="H401" s="16" t="n">
        <v>2</v>
      </c>
      <c r="I401" s="33" t="n">
        <v>89555.16</v>
      </c>
      <c r="J401" s="33" t="n">
        <v>99505.8</v>
      </c>
    </row>
    <row r="402" customFormat="false" ht="15" hidden="false" customHeight="false" outlineLevel="0" collapsed="false">
      <c r="A402" s="3" t="s">
        <v>792</v>
      </c>
      <c r="B402" s="3" t="s">
        <v>281</v>
      </c>
      <c r="C402" s="3" t="s">
        <v>401</v>
      </c>
      <c r="D402" s="3" t="s">
        <v>381</v>
      </c>
      <c r="E402" s="3" t="s">
        <v>398</v>
      </c>
      <c r="F402" s="16" t="n">
        <v>12</v>
      </c>
      <c r="G402" s="15" t="n">
        <v>0.075</v>
      </c>
      <c r="H402" s="16" t="n">
        <v>10</v>
      </c>
      <c r="I402" s="33" t="n">
        <v>89034.24</v>
      </c>
      <c r="J402" s="33" t="n">
        <v>96253.2</v>
      </c>
    </row>
    <row r="403" customFormat="false" ht="15" hidden="false" customHeight="false" outlineLevel="0" collapsed="false">
      <c r="A403" s="3" t="s">
        <v>793</v>
      </c>
      <c r="B403" s="3" t="s">
        <v>281</v>
      </c>
      <c r="C403" s="3" t="s">
        <v>380</v>
      </c>
      <c r="D403" s="3" t="s">
        <v>381</v>
      </c>
      <c r="E403" s="3" t="s">
        <v>385</v>
      </c>
      <c r="F403" s="16" t="n">
        <v>36</v>
      </c>
      <c r="G403" s="15" t="n">
        <v>0.35</v>
      </c>
      <c r="H403" s="16" t="n">
        <v>24</v>
      </c>
      <c r="I403" s="33" t="n">
        <v>88910.04</v>
      </c>
      <c r="J403" s="33" t="n">
        <v>136784.76</v>
      </c>
    </row>
    <row r="404" customFormat="false" ht="15" hidden="false" customHeight="false" outlineLevel="0" collapsed="false">
      <c r="A404" s="3" t="s">
        <v>794</v>
      </c>
      <c r="B404" s="3" t="s">
        <v>281</v>
      </c>
      <c r="C404" s="3" t="s">
        <v>384</v>
      </c>
      <c r="D404" s="3" t="s">
        <v>392</v>
      </c>
      <c r="E404" s="3" t="s">
        <v>398</v>
      </c>
      <c r="F404" s="16" t="n">
        <v>12</v>
      </c>
      <c r="G404" s="15" t="n">
        <v>0.1</v>
      </c>
      <c r="H404" s="16" t="n">
        <v>3</v>
      </c>
      <c r="I404" s="33" t="n">
        <v>88875.72</v>
      </c>
      <c r="J404" s="33" t="n">
        <v>98750.88</v>
      </c>
    </row>
    <row r="405" customFormat="false" ht="15" hidden="false" customHeight="false" outlineLevel="0" collapsed="false">
      <c r="A405" s="3" t="s">
        <v>795</v>
      </c>
      <c r="B405" s="3" t="s">
        <v>282</v>
      </c>
      <c r="C405" s="3" t="s">
        <v>380</v>
      </c>
      <c r="D405" s="3" t="s">
        <v>381</v>
      </c>
      <c r="E405" s="3" t="s">
        <v>385</v>
      </c>
      <c r="F405" s="16" t="n">
        <v>12</v>
      </c>
      <c r="G405" s="15" t="n">
        <v>0.05</v>
      </c>
      <c r="H405" s="16" t="n">
        <v>8</v>
      </c>
      <c r="I405" s="33" t="n">
        <v>87876.72</v>
      </c>
      <c r="J405" s="33" t="n">
        <v>92501.76</v>
      </c>
    </row>
    <row r="406" customFormat="false" ht="15" hidden="false" customHeight="false" outlineLevel="0" collapsed="false">
      <c r="A406" s="3" t="s">
        <v>796</v>
      </c>
      <c r="B406" s="3" t="s">
        <v>281</v>
      </c>
      <c r="C406" s="3" t="s">
        <v>405</v>
      </c>
      <c r="D406" s="3" t="s">
        <v>381</v>
      </c>
      <c r="E406" s="3" t="s">
        <v>382</v>
      </c>
      <c r="F406" s="16" t="n">
        <v>24</v>
      </c>
      <c r="G406" s="15" t="n">
        <v>0.25</v>
      </c>
      <c r="H406" s="16" t="n">
        <v>5</v>
      </c>
      <c r="I406" s="33" t="n">
        <v>87787.32</v>
      </c>
      <c r="J406" s="33" t="n">
        <v>117049.8</v>
      </c>
    </row>
    <row r="407" customFormat="false" ht="15" hidden="false" customHeight="false" outlineLevel="0" collapsed="false">
      <c r="A407" s="3" t="s">
        <v>797</v>
      </c>
      <c r="B407" s="3" t="s">
        <v>282</v>
      </c>
      <c r="C407" s="3" t="s">
        <v>396</v>
      </c>
      <c r="D407" s="3" t="s">
        <v>418</v>
      </c>
      <c r="E407" s="3" t="s">
        <v>382</v>
      </c>
      <c r="F407" s="16" t="n">
        <v>12</v>
      </c>
      <c r="G407" s="15" t="n">
        <v>0</v>
      </c>
      <c r="H407" s="16" t="n">
        <v>3</v>
      </c>
      <c r="I407" s="33" t="n">
        <v>87565.2</v>
      </c>
      <c r="J407" s="33" t="n">
        <v>87565.2</v>
      </c>
    </row>
    <row r="408" customFormat="false" ht="15" hidden="false" customHeight="false" outlineLevel="0" collapsed="false">
      <c r="A408" s="3" t="s">
        <v>798</v>
      </c>
      <c r="B408" s="3" t="s">
        <v>281</v>
      </c>
      <c r="C408" s="3" t="s">
        <v>380</v>
      </c>
      <c r="D408" s="3" t="s">
        <v>381</v>
      </c>
      <c r="E408" s="3" t="s">
        <v>385</v>
      </c>
      <c r="F408" s="16" t="n">
        <v>24</v>
      </c>
      <c r="G408" s="15" t="n">
        <v>0</v>
      </c>
      <c r="H408" s="16" t="n">
        <v>13</v>
      </c>
      <c r="I408" s="33" t="n">
        <v>87475.56</v>
      </c>
      <c r="J408" s="33" t="n">
        <v>87475.56</v>
      </c>
    </row>
    <row r="409" customFormat="false" ht="15" hidden="false" customHeight="false" outlineLevel="0" collapsed="false">
      <c r="A409" s="3" t="s">
        <v>799</v>
      </c>
      <c r="B409" s="3" t="s">
        <v>282</v>
      </c>
      <c r="C409" s="3" t="s">
        <v>396</v>
      </c>
      <c r="D409" s="3" t="s">
        <v>392</v>
      </c>
      <c r="E409" s="3" t="s">
        <v>398</v>
      </c>
      <c r="F409" s="16" t="n">
        <v>24</v>
      </c>
      <c r="G409" s="15" t="n">
        <v>0</v>
      </c>
      <c r="H409" s="16" t="n">
        <v>21</v>
      </c>
      <c r="I409" s="33" t="n">
        <v>87321.84</v>
      </c>
      <c r="J409" s="33" t="n">
        <v>87321.84</v>
      </c>
    </row>
    <row r="410" customFormat="false" ht="15" hidden="false" customHeight="false" outlineLevel="0" collapsed="false">
      <c r="A410" s="3" t="s">
        <v>800</v>
      </c>
      <c r="B410" s="3" t="s">
        <v>282</v>
      </c>
      <c r="C410" s="3" t="s">
        <v>384</v>
      </c>
      <c r="D410" s="3" t="s">
        <v>381</v>
      </c>
      <c r="E410" s="3" t="s">
        <v>382</v>
      </c>
      <c r="F410" s="16" t="n">
        <v>12</v>
      </c>
      <c r="G410" s="15" t="n">
        <v>0</v>
      </c>
      <c r="H410" s="16" t="n">
        <v>10</v>
      </c>
      <c r="I410" s="33" t="n">
        <v>87307.8</v>
      </c>
      <c r="J410" s="33" t="n">
        <v>87307.8</v>
      </c>
    </row>
    <row r="411" customFormat="false" ht="15" hidden="false" customHeight="false" outlineLevel="0" collapsed="false">
      <c r="A411" s="3" t="s">
        <v>801</v>
      </c>
      <c r="B411" s="3" t="s">
        <v>281</v>
      </c>
      <c r="C411" s="3" t="s">
        <v>401</v>
      </c>
      <c r="D411" s="3" t="s">
        <v>381</v>
      </c>
      <c r="E411" s="3" t="s">
        <v>385</v>
      </c>
      <c r="F411" s="16" t="n">
        <v>36</v>
      </c>
      <c r="G411" s="15" t="n">
        <v>0.15</v>
      </c>
      <c r="H411" s="16" t="n">
        <v>33</v>
      </c>
      <c r="I411" s="33" t="n">
        <v>87180.84</v>
      </c>
      <c r="J411" s="33" t="n">
        <v>102565.68</v>
      </c>
    </row>
    <row r="412" customFormat="false" ht="15" hidden="false" customHeight="false" outlineLevel="0" collapsed="false">
      <c r="A412" s="3" t="s">
        <v>802</v>
      </c>
      <c r="B412" s="3" t="s">
        <v>282</v>
      </c>
      <c r="C412" s="3" t="s">
        <v>396</v>
      </c>
      <c r="D412" s="3" t="s">
        <v>381</v>
      </c>
      <c r="E412" s="3" t="s">
        <v>385</v>
      </c>
      <c r="F412" s="16" t="n">
        <v>12</v>
      </c>
      <c r="G412" s="15" t="n">
        <v>0.1</v>
      </c>
      <c r="H412" s="16" t="n">
        <v>1</v>
      </c>
      <c r="I412" s="33" t="n">
        <v>86620.32</v>
      </c>
      <c r="J412" s="33" t="n">
        <v>96244.8</v>
      </c>
    </row>
    <row r="413" customFormat="false" ht="15" hidden="false" customHeight="false" outlineLevel="0" collapsed="false">
      <c r="A413" s="3" t="s">
        <v>803</v>
      </c>
      <c r="B413" s="3" t="s">
        <v>282</v>
      </c>
      <c r="C413" s="3" t="s">
        <v>396</v>
      </c>
      <c r="D413" s="3" t="s">
        <v>381</v>
      </c>
      <c r="E413" s="3" t="s">
        <v>385</v>
      </c>
      <c r="F413" s="16" t="n">
        <v>24</v>
      </c>
      <c r="G413" s="15" t="n">
        <v>0</v>
      </c>
      <c r="H413" s="16" t="n">
        <v>16</v>
      </c>
      <c r="I413" s="33" t="n">
        <v>86368.68</v>
      </c>
      <c r="J413" s="33" t="n">
        <v>86368.68</v>
      </c>
    </row>
    <row r="414" customFormat="false" ht="15" hidden="false" customHeight="false" outlineLevel="0" collapsed="false">
      <c r="A414" s="3" t="s">
        <v>804</v>
      </c>
      <c r="B414" s="3" t="s">
        <v>281</v>
      </c>
      <c r="C414" s="3" t="s">
        <v>401</v>
      </c>
      <c r="D414" s="3" t="s">
        <v>388</v>
      </c>
      <c r="E414" s="3" t="s">
        <v>398</v>
      </c>
      <c r="F414" s="16" t="n">
        <v>36</v>
      </c>
      <c r="G414" s="15" t="n">
        <v>0</v>
      </c>
      <c r="H414" s="16" t="n">
        <v>27</v>
      </c>
      <c r="I414" s="33" t="n">
        <v>86312.76</v>
      </c>
      <c r="J414" s="33" t="n">
        <v>86312.76</v>
      </c>
    </row>
    <row r="415" customFormat="false" ht="15" hidden="false" customHeight="false" outlineLevel="0" collapsed="false">
      <c r="A415" s="3" t="s">
        <v>805</v>
      </c>
      <c r="B415" s="3" t="s">
        <v>281</v>
      </c>
      <c r="C415" s="3" t="s">
        <v>384</v>
      </c>
      <c r="D415" s="3" t="s">
        <v>381</v>
      </c>
      <c r="E415" s="3" t="s">
        <v>385</v>
      </c>
      <c r="F415" s="16" t="n">
        <v>36</v>
      </c>
      <c r="G415" s="15" t="n">
        <v>0.15</v>
      </c>
      <c r="H415" s="16" t="n">
        <v>13</v>
      </c>
      <c r="I415" s="33" t="n">
        <v>86173.56</v>
      </c>
      <c r="J415" s="33" t="n">
        <v>101380.68</v>
      </c>
    </row>
    <row r="416" customFormat="false" ht="15" hidden="false" customHeight="false" outlineLevel="0" collapsed="false">
      <c r="A416" s="3" t="s">
        <v>806</v>
      </c>
      <c r="B416" s="3" t="s">
        <v>281</v>
      </c>
      <c r="C416" s="3" t="s">
        <v>401</v>
      </c>
      <c r="D416" s="3" t="s">
        <v>381</v>
      </c>
      <c r="E416" s="3" t="s">
        <v>398</v>
      </c>
      <c r="F416" s="16" t="n">
        <v>36</v>
      </c>
      <c r="G416" s="15" t="n">
        <v>0.05</v>
      </c>
      <c r="H416" s="16" t="n">
        <v>16</v>
      </c>
      <c r="I416" s="33" t="n">
        <v>85914.12</v>
      </c>
      <c r="J416" s="33" t="n">
        <v>90435.96</v>
      </c>
    </row>
    <row r="417" customFormat="false" ht="15" hidden="false" customHeight="false" outlineLevel="0" collapsed="false">
      <c r="A417" s="3" t="s">
        <v>807</v>
      </c>
      <c r="B417" s="3" t="s">
        <v>281</v>
      </c>
      <c r="C417" s="3" t="s">
        <v>384</v>
      </c>
      <c r="D417" s="3" t="s">
        <v>381</v>
      </c>
      <c r="E417" s="3" t="s">
        <v>398</v>
      </c>
      <c r="F417" s="16" t="n">
        <v>24</v>
      </c>
      <c r="G417" s="15" t="n">
        <v>0</v>
      </c>
      <c r="H417" s="16" t="n">
        <v>17</v>
      </c>
      <c r="I417" s="33" t="n">
        <v>85597.44</v>
      </c>
      <c r="J417" s="33" t="n">
        <v>85597.44</v>
      </c>
    </row>
    <row r="418" customFormat="false" ht="15" hidden="false" customHeight="false" outlineLevel="0" collapsed="false">
      <c r="A418" s="3" t="s">
        <v>808</v>
      </c>
      <c r="B418" s="3" t="s">
        <v>282</v>
      </c>
      <c r="C418" s="3" t="s">
        <v>380</v>
      </c>
      <c r="D418" s="3" t="s">
        <v>388</v>
      </c>
      <c r="E418" s="3" t="s">
        <v>385</v>
      </c>
      <c r="F418" s="16" t="n">
        <v>24</v>
      </c>
      <c r="G418" s="15" t="n">
        <v>0</v>
      </c>
      <c r="H418" s="16" t="n">
        <v>10</v>
      </c>
      <c r="I418" s="33" t="n">
        <v>85335.84</v>
      </c>
      <c r="J418" s="33" t="n">
        <v>85335.84</v>
      </c>
    </row>
    <row r="419" customFormat="false" ht="15" hidden="false" customHeight="false" outlineLevel="0" collapsed="false">
      <c r="A419" s="3" t="s">
        <v>809</v>
      </c>
      <c r="B419" s="3" t="s">
        <v>281</v>
      </c>
      <c r="C419" s="3" t="s">
        <v>380</v>
      </c>
      <c r="D419" s="3" t="s">
        <v>381</v>
      </c>
      <c r="E419" s="3" t="s">
        <v>398</v>
      </c>
      <c r="F419" s="16" t="n">
        <v>24</v>
      </c>
      <c r="G419" s="15" t="n">
        <v>0.1</v>
      </c>
      <c r="H419" s="16" t="n">
        <v>8</v>
      </c>
      <c r="I419" s="33" t="n">
        <v>85233.36</v>
      </c>
      <c r="J419" s="33" t="n">
        <v>94703.76</v>
      </c>
    </row>
    <row r="420" customFormat="false" ht="15" hidden="false" customHeight="false" outlineLevel="0" collapsed="false">
      <c r="A420" s="3" t="s">
        <v>810</v>
      </c>
      <c r="B420" s="3" t="s">
        <v>281</v>
      </c>
      <c r="C420" s="3" t="s">
        <v>405</v>
      </c>
      <c r="D420" s="3" t="s">
        <v>381</v>
      </c>
      <c r="E420" s="3" t="s">
        <v>382</v>
      </c>
      <c r="F420" s="16" t="n">
        <v>12</v>
      </c>
      <c r="G420" s="15" t="n">
        <v>0.05</v>
      </c>
      <c r="H420" s="16" t="n">
        <v>9</v>
      </c>
      <c r="I420" s="33" t="n">
        <v>85154.28</v>
      </c>
      <c r="J420" s="33" t="n">
        <v>89636.04</v>
      </c>
    </row>
    <row r="421" customFormat="false" ht="15" hidden="false" customHeight="false" outlineLevel="0" collapsed="false">
      <c r="A421" s="3" t="s">
        <v>811</v>
      </c>
      <c r="B421" s="3" t="s">
        <v>282</v>
      </c>
      <c r="C421" s="3" t="s">
        <v>384</v>
      </c>
      <c r="D421" s="3" t="s">
        <v>392</v>
      </c>
      <c r="E421" s="3" t="s">
        <v>398</v>
      </c>
      <c r="F421" s="16" t="n">
        <v>12</v>
      </c>
      <c r="G421" s="15" t="n">
        <v>0</v>
      </c>
      <c r="H421" s="16" t="n">
        <v>6</v>
      </c>
      <c r="I421" s="33" t="n">
        <v>85138.08</v>
      </c>
      <c r="J421" s="33" t="n">
        <v>85138.08</v>
      </c>
    </row>
    <row r="422" customFormat="false" ht="15" hidden="false" customHeight="false" outlineLevel="0" collapsed="false">
      <c r="A422" s="3" t="s">
        <v>812</v>
      </c>
      <c r="B422" s="3" t="s">
        <v>281</v>
      </c>
      <c r="C422" s="3" t="s">
        <v>384</v>
      </c>
      <c r="D422" s="3" t="s">
        <v>381</v>
      </c>
      <c r="E422" s="3" t="s">
        <v>385</v>
      </c>
      <c r="F422" s="16" t="n">
        <v>36</v>
      </c>
      <c r="G422" s="15" t="n">
        <v>0</v>
      </c>
      <c r="H422" s="16" t="n">
        <v>19</v>
      </c>
      <c r="I422" s="33" t="n">
        <v>84745.08</v>
      </c>
      <c r="J422" s="33" t="n">
        <v>84745.08</v>
      </c>
    </row>
    <row r="423" customFormat="false" ht="15" hidden="false" customHeight="false" outlineLevel="0" collapsed="false">
      <c r="A423" s="3" t="s">
        <v>813</v>
      </c>
      <c r="B423" s="3" t="s">
        <v>282</v>
      </c>
      <c r="C423" s="3" t="s">
        <v>401</v>
      </c>
      <c r="D423" s="3" t="s">
        <v>388</v>
      </c>
      <c r="E423" s="3" t="s">
        <v>385</v>
      </c>
      <c r="F423" s="16" t="n">
        <v>12</v>
      </c>
      <c r="G423" s="15" t="n">
        <v>0.1</v>
      </c>
      <c r="H423" s="16" t="n">
        <v>7</v>
      </c>
      <c r="I423" s="33" t="n">
        <v>84436.68</v>
      </c>
      <c r="J423" s="33" t="n">
        <v>93818.64</v>
      </c>
    </row>
    <row r="424" customFormat="false" ht="15" hidden="false" customHeight="false" outlineLevel="0" collapsed="false">
      <c r="A424" s="3" t="s">
        <v>814</v>
      </c>
      <c r="B424" s="3" t="s">
        <v>282</v>
      </c>
      <c r="C424" s="3" t="s">
        <v>403</v>
      </c>
      <c r="D424" s="3" t="s">
        <v>418</v>
      </c>
      <c r="E424" s="3" t="s">
        <v>385</v>
      </c>
      <c r="F424" s="16" t="n">
        <v>12</v>
      </c>
      <c r="G424" s="15" t="n">
        <v>0</v>
      </c>
      <c r="H424" s="16" t="n">
        <v>5</v>
      </c>
      <c r="I424" s="33" t="n">
        <v>83776.32</v>
      </c>
      <c r="J424" s="33" t="n">
        <v>83776.32</v>
      </c>
    </row>
    <row r="425" customFormat="false" ht="15" hidden="false" customHeight="false" outlineLevel="0" collapsed="false">
      <c r="A425" s="3" t="s">
        <v>815</v>
      </c>
      <c r="B425" s="3" t="s">
        <v>282</v>
      </c>
      <c r="C425" s="3" t="s">
        <v>384</v>
      </c>
      <c r="D425" s="3" t="s">
        <v>392</v>
      </c>
      <c r="E425" s="3" t="s">
        <v>385</v>
      </c>
      <c r="F425" s="16" t="n">
        <v>24</v>
      </c>
      <c r="G425" s="15" t="n">
        <v>0.3</v>
      </c>
      <c r="H425" s="16" t="n">
        <v>23</v>
      </c>
      <c r="I425" s="33" t="n">
        <v>83578.32</v>
      </c>
      <c r="J425" s="33" t="n">
        <v>119397.6</v>
      </c>
    </row>
    <row r="426" customFormat="false" ht="15" hidden="false" customHeight="false" outlineLevel="0" collapsed="false">
      <c r="A426" s="3" t="s">
        <v>816</v>
      </c>
      <c r="B426" s="3" t="s">
        <v>282</v>
      </c>
      <c r="C426" s="3" t="s">
        <v>401</v>
      </c>
      <c r="D426" s="3" t="s">
        <v>381</v>
      </c>
      <c r="E426" s="3" t="s">
        <v>385</v>
      </c>
      <c r="F426" s="16" t="n">
        <v>24</v>
      </c>
      <c r="G426" s="15" t="n">
        <v>0</v>
      </c>
      <c r="H426" s="16" t="n">
        <v>6</v>
      </c>
      <c r="I426" s="33" t="n">
        <v>83223.72</v>
      </c>
      <c r="J426" s="33" t="n">
        <v>83223.72</v>
      </c>
    </row>
    <row r="427" customFormat="false" ht="15" hidden="false" customHeight="false" outlineLevel="0" collapsed="false">
      <c r="A427" s="3" t="s">
        <v>817</v>
      </c>
      <c r="B427" s="3" t="s">
        <v>281</v>
      </c>
      <c r="C427" s="3" t="s">
        <v>403</v>
      </c>
      <c r="D427" s="3" t="s">
        <v>381</v>
      </c>
      <c r="E427" s="3" t="s">
        <v>398</v>
      </c>
      <c r="F427" s="16" t="n">
        <v>36</v>
      </c>
      <c r="G427" s="15" t="n">
        <v>0</v>
      </c>
      <c r="H427" s="16" t="n">
        <v>10</v>
      </c>
      <c r="I427" s="33" t="n">
        <v>82894.68</v>
      </c>
      <c r="J427" s="33" t="n">
        <v>82894.68</v>
      </c>
    </row>
    <row r="428" customFormat="false" ht="15" hidden="false" customHeight="false" outlineLevel="0" collapsed="false">
      <c r="A428" s="3" t="s">
        <v>818</v>
      </c>
      <c r="B428" s="3" t="s">
        <v>282</v>
      </c>
      <c r="C428" s="3" t="s">
        <v>405</v>
      </c>
      <c r="D428" s="3" t="s">
        <v>381</v>
      </c>
      <c r="E428" s="3" t="s">
        <v>382</v>
      </c>
      <c r="F428" s="16" t="n">
        <v>24</v>
      </c>
      <c r="G428" s="15" t="n">
        <v>0</v>
      </c>
      <c r="H428" s="16" t="n">
        <v>13</v>
      </c>
      <c r="I428" s="33" t="n">
        <v>82306.56</v>
      </c>
      <c r="J428" s="33" t="n">
        <v>82306.56</v>
      </c>
    </row>
    <row r="429" customFormat="false" ht="15" hidden="false" customHeight="false" outlineLevel="0" collapsed="false">
      <c r="A429" s="3" t="s">
        <v>819</v>
      </c>
      <c r="B429" s="3" t="s">
        <v>281</v>
      </c>
      <c r="C429" s="3" t="s">
        <v>403</v>
      </c>
      <c r="D429" s="3" t="s">
        <v>418</v>
      </c>
      <c r="E429" s="3" t="s">
        <v>382</v>
      </c>
      <c r="F429" s="16" t="n">
        <v>36</v>
      </c>
      <c r="G429" s="15" t="n">
        <v>0</v>
      </c>
      <c r="H429" s="16" t="n">
        <v>35</v>
      </c>
      <c r="I429" s="33" t="n">
        <v>81811.68</v>
      </c>
      <c r="J429" s="33" t="n">
        <v>81811.68</v>
      </c>
    </row>
    <row r="430" customFormat="false" ht="15" hidden="false" customHeight="false" outlineLevel="0" collapsed="false">
      <c r="A430" s="3" t="s">
        <v>820</v>
      </c>
      <c r="B430" s="3" t="s">
        <v>281</v>
      </c>
      <c r="C430" s="3" t="s">
        <v>401</v>
      </c>
      <c r="D430" s="3" t="s">
        <v>381</v>
      </c>
      <c r="E430" s="3" t="s">
        <v>382</v>
      </c>
      <c r="F430" s="16" t="n">
        <v>12</v>
      </c>
      <c r="G430" s="15" t="n">
        <v>0</v>
      </c>
      <c r="H430" s="16" t="n">
        <v>9</v>
      </c>
      <c r="I430" s="33" t="n">
        <v>81584.52</v>
      </c>
      <c r="J430" s="33" t="n">
        <v>81584.52</v>
      </c>
    </row>
    <row r="431" customFormat="false" ht="15" hidden="false" customHeight="false" outlineLevel="0" collapsed="false">
      <c r="A431" s="3" t="s">
        <v>821</v>
      </c>
      <c r="B431" s="3" t="s">
        <v>281</v>
      </c>
      <c r="C431" s="3" t="s">
        <v>380</v>
      </c>
      <c r="D431" s="3" t="s">
        <v>381</v>
      </c>
      <c r="E431" s="3" t="s">
        <v>385</v>
      </c>
      <c r="F431" s="16" t="n">
        <v>24</v>
      </c>
      <c r="G431" s="15" t="n">
        <v>0.1</v>
      </c>
      <c r="H431" s="16" t="n">
        <v>14</v>
      </c>
      <c r="I431" s="33" t="n">
        <v>81287.4</v>
      </c>
      <c r="J431" s="33" t="n">
        <v>90319.32</v>
      </c>
    </row>
    <row r="432" customFormat="false" ht="15" hidden="false" customHeight="false" outlineLevel="0" collapsed="false">
      <c r="A432" s="3" t="s">
        <v>822</v>
      </c>
      <c r="B432" s="3" t="s">
        <v>282</v>
      </c>
      <c r="C432" s="3" t="s">
        <v>387</v>
      </c>
      <c r="D432" s="3" t="s">
        <v>418</v>
      </c>
      <c r="E432" s="3" t="s">
        <v>398</v>
      </c>
      <c r="F432" s="16" t="n">
        <v>24</v>
      </c>
      <c r="G432" s="15" t="n">
        <v>0</v>
      </c>
      <c r="H432" s="16" t="n">
        <v>23</v>
      </c>
      <c r="I432" s="33" t="n">
        <v>81079.08</v>
      </c>
      <c r="J432" s="33" t="n">
        <v>81079.08</v>
      </c>
    </row>
    <row r="433" customFormat="false" ht="15" hidden="false" customHeight="false" outlineLevel="0" collapsed="false">
      <c r="A433" s="3" t="s">
        <v>823</v>
      </c>
      <c r="B433" s="3" t="s">
        <v>282</v>
      </c>
      <c r="C433" s="3" t="s">
        <v>403</v>
      </c>
      <c r="D433" s="3" t="s">
        <v>392</v>
      </c>
      <c r="E433" s="3" t="s">
        <v>398</v>
      </c>
      <c r="F433" s="16" t="n">
        <v>12</v>
      </c>
      <c r="G433" s="15" t="n">
        <v>0</v>
      </c>
      <c r="H433" s="16" t="n">
        <v>9</v>
      </c>
      <c r="I433" s="33" t="n">
        <v>80970.24</v>
      </c>
      <c r="J433" s="33" t="n">
        <v>80970.24</v>
      </c>
    </row>
    <row r="434" customFormat="false" ht="15" hidden="false" customHeight="false" outlineLevel="0" collapsed="false">
      <c r="A434" s="3" t="s">
        <v>824</v>
      </c>
      <c r="B434" s="3" t="s">
        <v>282</v>
      </c>
      <c r="C434" s="3" t="s">
        <v>405</v>
      </c>
      <c r="D434" s="3" t="s">
        <v>418</v>
      </c>
      <c r="E434" s="3" t="s">
        <v>382</v>
      </c>
      <c r="F434" s="16" t="n">
        <v>24</v>
      </c>
      <c r="G434" s="15" t="n">
        <v>0</v>
      </c>
      <c r="H434" s="16" t="n">
        <v>1</v>
      </c>
      <c r="I434" s="33" t="n">
        <v>80893.56</v>
      </c>
      <c r="J434" s="33" t="n">
        <v>80893.56</v>
      </c>
    </row>
    <row r="435" customFormat="false" ht="15" hidden="false" customHeight="false" outlineLevel="0" collapsed="false">
      <c r="A435" s="3" t="s">
        <v>825</v>
      </c>
      <c r="B435" s="3" t="s">
        <v>282</v>
      </c>
      <c r="C435" s="3" t="s">
        <v>401</v>
      </c>
      <c r="D435" s="3" t="s">
        <v>388</v>
      </c>
      <c r="E435" s="3" t="s">
        <v>382</v>
      </c>
      <c r="F435" s="16" t="n">
        <v>12</v>
      </c>
      <c r="G435" s="15" t="n">
        <v>0.1</v>
      </c>
      <c r="H435" s="16" t="n">
        <v>6</v>
      </c>
      <c r="I435" s="33" t="n">
        <v>80792.16</v>
      </c>
      <c r="J435" s="33" t="n">
        <v>89769.12</v>
      </c>
    </row>
    <row r="436" customFormat="false" ht="15" hidden="false" customHeight="false" outlineLevel="0" collapsed="false">
      <c r="A436" s="3" t="s">
        <v>826</v>
      </c>
      <c r="B436" s="3" t="s">
        <v>281</v>
      </c>
      <c r="C436" s="3" t="s">
        <v>396</v>
      </c>
      <c r="D436" s="3" t="s">
        <v>418</v>
      </c>
      <c r="E436" s="3" t="s">
        <v>385</v>
      </c>
      <c r="F436" s="16" t="n">
        <v>12</v>
      </c>
      <c r="G436" s="15" t="n">
        <v>0</v>
      </c>
      <c r="H436" s="16" t="n">
        <v>1</v>
      </c>
      <c r="I436" s="33" t="n">
        <v>80437.2</v>
      </c>
      <c r="J436" s="33" t="n">
        <v>80437.2</v>
      </c>
    </row>
    <row r="437" customFormat="false" ht="15" hidden="false" customHeight="false" outlineLevel="0" collapsed="false">
      <c r="A437" s="3" t="s">
        <v>827</v>
      </c>
      <c r="B437" s="3" t="s">
        <v>281</v>
      </c>
      <c r="C437" s="3" t="s">
        <v>403</v>
      </c>
      <c r="D437" s="3" t="s">
        <v>381</v>
      </c>
      <c r="E437" s="3" t="s">
        <v>398</v>
      </c>
      <c r="F437" s="16" t="n">
        <v>36</v>
      </c>
      <c r="G437" s="15" t="n">
        <v>0.15</v>
      </c>
      <c r="H437" s="16" t="n">
        <v>35</v>
      </c>
      <c r="I437" s="33" t="n">
        <v>80394.72</v>
      </c>
      <c r="J437" s="33" t="n">
        <v>94582.08</v>
      </c>
    </row>
    <row r="438" customFormat="false" ht="15" hidden="false" customHeight="false" outlineLevel="0" collapsed="false">
      <c r="A438" s="3" t="s">
        <v>828</v>
      </c>
      <c r="B438" s="3" t="s">
        <v>282</v>
      </c>
      <c r="C438" s="3" t="s">
        <v>384</v>
      </c>
      <c r="D438" s="3" t="s">
        <v>418</v>
      </c>
      <c r="E438" s="3" t="s">
        <v>385</v>
      </c>
      <c r="F438" s="16" t="n">
        <v>12</v>
      </c>
      <c r="G438" s="15" t="n">
        <v>0</v>
      </c>
      <c r="H438" s="16" t="n">
        <v>1</v>
      </c>
      <c r="I438" s="33" t="n">
        <v>80310.96</v>
      </c>
      <c r="J438" s="33" t="n">
        <v>80310.96</v>
      </c>
    </row>
    <row r="439" customFormat="false" ht="15" hidden="false" customHeight="false" outlineLevel="0" collapsed="false">
      <c r="A439" s="3" t="s">
        <v>829</v>
      </c>
      <c r="B439" s="3" t="s">
        <v>281</v>
      </c>
      <c r="C439" s="3" t="s">
        <v>387</v>
      </c>
      <c r="D439" s="3" t="s">
        <v>388</v>
      </c>
      <c r="E439" s="3" t="s">
        <v>385</v>
      </c>
      <c r="F439" s="16" t="n">
        <v>24</v>
      </c>
      <c r="G439" s="15" t="n">
        <v>0.1</v>
      </c>
      <c r="H439" s="16" t="n">
        <v>8</v>
      </c>
      <c r="I439" s="33" t="n">
        <v>80263.8</v>
      </c>
      <c r="J439" s="33" t="n">
        <v>89181.96</v>
      </c>
    </row>
    <row r="440" customFormat="false" ht="15" hidden="false" customHeight="false" outlineLevel="0" collapsed="false">
      <c r="A440" s="3" t="s">
        <v>830</v>
      </c>
      <c r="B440" s="3" t="s">
        <v>282</v>
      </c>
      <c r="C440" s="3" t="s">
        <v>405</v>
      </c>
      <c r="D440" s="3" t="s">
        <v>381</v>
      </c>
      <c r="E440" s="3" t="s">
        <v>382</v>
      </c>
      <c r="F440" s="16" t="n">
        <v>12</v>
      </c>
      <c r="G440" s="15" t="n">
        <v>0</v>
      </c>
      <c r="H440" s="16" t="n">
        <v>5</v>
      </c>
      <c r="I440" s="33" t="n">
        <v>80253.72</v>
      </c>
      <c r="J440" s="33" t="n">
        <v>80253.72</v>
      </c>
    </row>
    <row r="441" customFormat="false" ht="15" hidden="false" customHeight="false" outlineLevel="0" collapsed="false">
      <c r="A441" s="3" t="s">
        <v>831</v>
      </c>
      <c r="B441" s="3" t="s">
        <v>282</v>
      </c>
      <c r="C441" s="3" t="s">
        <v>384</v>
      </c>
      <c r="D441" s="3" t="s">
        <v>392</v>
      </c>
      <c r="E441" s="3" t="s">
        <v>382</v>
      </c>
      <c r="F441" s="16" t="n">
        <v>24</v>
      </c>
      <c r="G441" s="15" t="n">
        <v>0</v>
      </c>
      <c r="H441" s="16" t="n">
        <v>24</v>
      </c>
      <c r="I441" s="33" t="n">
        <v>79881.6</v>
      </c>
      <c r="J441" s="33" t="n">
        <v>79881.6</v>
      </c>
    </row>
    <row r="442" customFormat="false" ht="15" hidden="false" customHeight="false" outlineLevel="0" collapsed="false">
      <c r="A442" s="3" t="s">
        <v>832</v>
      </c>
      <c r="B442" s="3" t="s">
        <v>282</v>
      </c>
      <c r="C442" s="3" t="s">
        <v>401</v>
      </c>
      <c r="D442" s="3" t="s">
        <v>388</v>
      </c>
      <c r="E442" s="3" t="s">
        <v>398</v>
      </c>
      <c r="F442" s="16" t="n">
        <v>24</v>
      </c>
      <c r="G442" s="15" t="n">
        <v>0.1</v>
      </c>
      <c r="H442" s="16" t="n">
        <v>9</v>
      </c>
      <c r="I442" s="33" t="n">
        <v>79732.92</v>
      </c>
      <c r="J442" s="33" t="n">
        <v>88592.16</v>
      </c>
    </row>
    <row r="443" customFormat="false" ht="15" hidden="false" customHeight="false" outlineLevel="0" collapsed="false">
      <c r="A443" s="3" t="s">
        <v>833</v>
      </c>
      <c r="B443" s="3" t="s">
        <v>281</v>
      </c>
      <c r="C443" s="3" t="s">
        <v>387</v>
      </c>
      <c r="D443" s="3" t="s">
        <v>392</v>
      </c>
      <c r="E443" s="3" t="s">
        <v>382</v>
      </c>
      <c r="F443" s="16" t="n">
        <v>24</v>
      </c>
      <c r="G443" s="15" t="n">
        <v>0.15</v>
      </c>
      <c r="H443" s="16" t="n">
        <v>16</v>
      </c>
      <c r="I443" s="33" t="n">
        <v>79652.28</v>
      </c>
      <c r="J443" s="33" t="n">
        <v>93708.6</v>
      </c>
    </row>
    <row r="444" customFormat="false" ht="15" hidden="false" customHeight="false" outlineLevel="0" collapsed="false">
      <c r="A444" s="3" t="s">
        <v>834</v>
      </c>
      <c r="B444" s="3" t="s">
        <v>282</v>
      </c>
      <c r="C444" s="3" t="s">
        <v>405</v>
      </c>
      <c r="D444" s="3" t="s">
        <v>418</v>
      </c>
      <c r="E444" s="3" t="s">
        <v>398</v>
      </c>
      <c r="F444" s="16" t="n">
        <v>12</v>
      </c>
      <c r="G444" s="15" t="n">
        <v>0</v>
      </c>
      <c r="H444" s="16" t="n">
        <v>8</v>
      </c>
      <c r="I444" s="33" t="n">
        <v>79575</v>
      </c>
      <c r="J444" s="33" t="n">
        <v>79575</v>
      </c>
    </row>
    <row r="445" customFormat="false" ht="15" hidden="false" customHeight="false" outlineLevel="0" collapsed="false">
      <c r="A445" s="3" t="s">
        <v>835</v>
      </c>
      <c r="B445" s="3" t="s">
        <v>281</v>
      </c>
      <c r="C445" s="3" t="s">
        <v>384</v>
      </c>
      <c r="D445" s="3" t="s">
        <v>388</v>
      </c>
      <c r="E445" s="3" t="s">
        <v>385</v>
      </c>
      <c r="F445" s="16" t="n">
        <v>12</v>
      </c>
      <c r="G445" s="15" t="n">
        <v>0.2</v>
      </c>
      <c r="H445" s="16" t="n">
        <v>5</v>
      </c>
      <c r="I445" s="33" t="n">
        <v>79334.4</v>
      </c>
      <c r="J445" s="33" t="n">
        <v>99168</v>
      </c>
    </row>
    <row r="446" customFormat="false" ht="15" hidden="false" customHeight="false" outlineLevel="0" collapsed="false">
      <c r="A446" s="3" t="s">
        <v>836</v>
      </c>
      <c r="B446" s="3" t="s">
        <v>281</v>
      </c>
      <c r="C446" s="3" t="s">
        <v>384</v>
      </c>
      <c r="D446" s="3" t="s">
        <v>388</v>
      </c>
      <c r="E446" s="3" t="s">
        <v>385</v>
      </c>
      <c r="F446" s="16" t="n">
        <v>12</v>
      </c>
      <c r="G446" s="15" t="n">
        <v>0.15</v>
      </c>
      <c r="H446" s="16" t="n">
        <v>3</v>
      </c>
      <c r="I446" s="33" t="n">
        <v>79271.04</v>
      </c>
      <c r="J446" s="33" t="n">
        <v>93259.92</v>
      </c>
    </row>
    <row r="447" customFormat="false" ht="15" hidden="false" customHeight="false" outlineLevel="0" collapsed="false">
      <c r="A447" s="3" t="s">
        <v>837</v>
      </c>
      <c r="B447" s="3" t="s">
        <v>281</v>
      </c>
      <c r="C447" s="3" t="s">
        <v>405</v>
      </c>
      <c r="D447" s="3" t="s">
        <v>381</v>
      </c>
      <c r="E447" s="3" t="s">
        <v>398</v>
      </c>
      <c r="F447" s="16" t="n">
        <v>12</v>
      </c>
      <c r="G447" s="15" t="n">
        <v>0</v>
      </c>
      <c r="H447" s="16" t="n">
        <v>6</v>
      </c>
      <c r="I447" s="33" t="n">
        <v>78972</v>
      </c>
      <c r="J447" s="33" t="n">
        <v>78972</v>
      </c>
    </row>
    <row r="448" customFormat="false" ht="15" hidden="false" customHeight="false" outlineLevel="0" collapsed="false">
      <c r="A448" s="3" t="s">
        <v>838</v>
      </c>
      <c r="B448" s="3" t="s">
        <v>282</v>
      </c>
      <c r="C448" s="3" t="s">
        <v>403</v>
      </c>
      <c r="D448" s="3" t="s">
        <v>381</v>
      </c>
      <c r="E448" s="3" t="s">
        <v>382</v>
      </c>
      <c r="F448" s="16" t="n">
        <v>12</v>
      </c>
      <c r="G448" s="15" t="n">
        <v>0</v>
      </c>
      <c r="H448" s="16" t="n">
        <v>2</v>
      </c>
      <c r="I448" s="33" t="n">
        <v>78693.36</v>
      </c>
      <c r="J448" s="33" t="n">
        <v>78693.36</v>
      </c>
    </row>
    <row r="449" customFormat="false" ht="15" hidden="false" customHeight="false" outlineLevel="0" collapsed="false">
      <c r="A449" s="3" t="s">
        <v>839</v>
      </c>
      <c r="B449" s="3" t="s">
        <v>282</v>
      </c>
      <c r="C449" s="3" t="s">
        <v>405</v>
      </c>
      <c r="D449" s="3" t="s">
        <v>392</v>
      </c>
      <c r="E449" s="3" t="s">
        <v>385</v>
      </c>
      <c r="F449" s="16" t="n">
        <v>12</v>
      </c>
      <c r="G449" s="15" t="n">
        <v>0</v>
      </c>
      <c r="H449" s="16" t="n">
        <v>11</v>
      </c>
      <c r="I449" s="33" t="n">
        <v>78614.16</v>
      </c>
      <c r="J449" s="33" t="n">
        <v>78614.16</v>
      </c>
    </row>
    <row r="450" customFormat="false" ht="15" hidden="false" customHeight="false" outlineLevel="0" collapsed="false">
      <c r="A450" s="3" t="s">
        <v>840</v>
      </c>
      <c r="B450" s="3" t="s">
        <v>282</v>
      </c>
      <c r="C450" s="3" t="s">
        <v>403</v>
      </c>
      <c r="D450" s="3" t="s">
        <v>381</v>
      </c>
      <c r="E450" s="3" t="s">
        <v>385</v>
      </c>
      <c r="F450" s="16" t="n">
        <v>12</v>
      </c>
      <c r="G450" s="15" t="n">
        <v>0</v>
      </c>
      <c r="H450" s="16" t="n">
        <v>12</v>
      </c>
      <c r="I450" s="33" t="n">
        <v>78322.56</v>
      </c>
      <c r="J450" s="33" t="n">
        <v>78322.56</v>
      </c>
    </row>
    <row r="451" customFormat="false" ht="15" hidden="false" customHeight="false" outlineLevel="0" collapsed="false">
      <c r="A451" s="3" t="s">
        <v>841</v>
      </c>
      <c r="B451" s="3" t="s">
        <v>281</v>
      </c>
      <c r="C451" s="3" t="s">
        <v>387</v>
      </c>
      <c r="D451" s="3" t="s">
        <v>388</v>
      </c>
      <c r="E451" s="3" t="s">
        <v>382</v>
      </c>
      <c r="F451" s="16" t="n">
        <v>36</v>
      </c>
      <c r="G451" s="15" t="n">
        <v>0.15</v>
      </c>
      <c r="H451" s="16" t="n">
        <v>8</v>
      </c>
      <c r="I451" s="33" t="n">
        <v>78169.2</v>
      </c>
      <c r="J451" s="33" t="n">
        <v>91963.8</v>
      </c>
    </row>
    <row r="452" customFormat="false" ht="15" hidden="false" customHeight="false" outlineLevel="0" collapsed="false">
      <c r="A452" s="3" t="s">
        <v>842</v>
      </c>
      <c r="B452" s="3" t="s">
        <v>282</v>
      </c>
      <c r="C452" s="3" t="s">
        <v>401</v>
      </c>
      <c r="D452" s="3" t="s">
        <v>392</v>
      </c>
      <c r="E452" s="3" t="s">
        <v>398</v>
      </c>
      <c r="F452" s="16" t="n">
        <v>12</v>
      </c>
      <c r="G452" s="15" t="n">
        <v>0</v>
      </c>
      <c r="H452" s="16" t="n">
        <v>7</v>
      </c>
      <c r="I452" s="33" t="n">
        <v>78145.92</v>
      </c>
      <c r="J452" s="33" t="n">
        <v>78145.92</v>
      </c>
    </row>
    <row r="453" customFormat="false" ht="15" hidden="false" customHeight="false" outlineLevel="0" collapsed="false">
      <c r="A453" s="3" t="s">
        <v>843</v>
      </c>
      <c r="B453" s="3" t="s">
        <v>282</v>
      </c>
      <c r="C453" s="3" t="s">
        <v>401</v>
      </c>
      <c r="D453" s="3" t="s">
        <v>388</v>
      </c>
      <c r="E453" s="3" t="s">
        <v>385</v>
      </c>
      <c r="F453" s="16" t="n">
        <v>12</v>
      </c>
      <c r="G453" s="15" t="n">
        <v>0.1</v>
      </c>
      <c r="H453" s="16" t="n">
        <v>12</v>
      </c>
      <c r="I453" s="33" t="n">
        <v>77972.4</v>
      </c>
      <c r="J453" s="33" t="n">
        <v>86635.92</v>
      </c>
    </row>
    <row r="454" customFormat="false" ht="15" hidden="false" customHeight="false" outlineLevel="0" collapsed="false">
      <c r="A454" s="3" t="s">
        <v>844</v>
      </c>
      <c r="B454" s="3" t="s">
        <v>281</v>
      </c>
      <c r="C454" s="3" t="s">
        <v>401</v>
      </c>
      <c r="D454" s="3" t="s">
        <v>381</v>
      </c>
      <c r="E454" s="3" t="s">
        <v>382</v>
      </c>
      <c r="F454" s="16" t="n">
        <v>24</v>
      </c>
      <c r="G454" s="15" t="n">
        <v>0.2</v>
      </c>
      <c r="H454" s="16" t="n">
        <v>8</v>
      </c>
      <c r="I454" s="33" t="n">
        <v>77816.16</v>
      </c>
      <c r="J454" s="33" t="n">
        <v>97270.2</v>
      </c>
    </row>
    <row r="455" customFormat="false" ht="15" hidden="false" customHeight="false" outlineLevel="0" collapsed="false">
      <c r="A455" s="3" t="s">
        <v>845</v>
      </c>
      <c r="B455" s="3" t="s">
        <v>281</v>
      </c>
      <c r="C455" s="3" t="s">
        <v>387</v>
      </c>
      <c r="D455" s="3" t="s">
        <v>392</v>
      </c>
      <c r="E455" s="3" t="s">
        <v>398</v>
      </c>
      <c r="F455" s="16" t="n">
        <v>24</v>
      </c>
      <c r="G455" s="15" t="n">
        <v>0.2</v>
      </c>
      <c r="H455" s="16" t="n">
        <v>11</v>
      </c>
      <c r="I455" s="33" t="n">
        <v>77634.84</v>
      </c>
      <c r="J455" s="33" t="n">
        <v>97043.52</v>
      </c>
    </row>
    <row r="456" customFormat="false" ht="15" hidden="false" customHeight="false" outlineLevel="0" collapsed="false">
      <c r="A456" s="3" t="s">
        <v>846</v>
      </c>
      <c r="B456" s="3" t="s">
        <v>281</v>
      </c>
      <c r="C456" s="3" t="s">
        <v>384</v>
      </c>
      <c r="D456" s="3" t="s">
        <v>381</v>
      </c>
      <c r="E456" s="3" t="s">
        <v>385</v>
      </c>
      <c r="F456" s="16" t="n">
        <v>36</v>
      </c>
      <c r="G456" s="15" t="n">
        <v>0</v>
      </c>
      <c r="H456" s="16" t="n">
        <v>3</v>
      </c>
      <c r="I456" s="33" t="n">
        <v>77578.32</v>
      </c>
      <c r="J456" s="33" t="n">
        <v>77578.32</v>
      </c>
    </row>
    <row r="457" customFormat="false" ht="15" hidden="false" customHeight="false" outlineLevel="0" collapsed="false">
      <c r="A457" s="3" t="s">
        <v>847</v>
      </c>
      <c r="B457" s="3" t="s">
        <v>282</v>
      </c>
      <c r="C457" s="3" t="s">
        <v>387</v>
      </c>
      <c r="D457" s="3" t="s">
        <v>388</v>
      </c>
      <c r="E457" s="3" t="s">
        <v>385</v>
      </c>
      <c r="F457" s="16" t="n">
        <v>12</v>
      </c>
      <c r="G457" s="15" t="n">
        <v>0</v>
      </c>
      <c r="H457" s="16" t="n">
        <v>11</v>
      </c>
      <c r="I457" s="33" t="n">
        <v>77575.08</v>
      </c>
      <c r="J457" s="33" t="n">
        <v>77575.08</v>
      </c>
    </row>
    <row r="458" customFormat="false" ht="15" hidden="false" customHeight="false" outlineLevel="0" collapsed="false">
      <c r="A458" s="3" t="s">
        <v>848</v>
      </c>
      <c r="B458" s="3" t="s">
        <v>282</v>
      </c>
      <c r="C458" s="3" t="s">
        <v>403</v>
      </c>
      <c r="D458" s="3" t="s">
        <v>381</v>
      </c>
      <c r="E458" s="3" t="s">
        <v>398</v>
      </c>
      <c r="F458" s="16" t="n">
        <v>24</v>
      </c>
      <c r="G458" s="15" t="n">
        <v>0</v>
      </c>
      <c r="H458" s="16" t="n">
        <v>11</v>
      </c>
      <c r="I458" s="33" t="n">
        <v>77483.04</v>
      </c>
      <c r="J458" s="33" t="n">
        <v>77483.04</v>
      </c>
    </row>
    <row r="459" customFormat="false" ht="15" hidden="false" customHeight="false" outlineLevel="0" collapsed="false">
      <c r="A459" s="3" t="s">
        <v>849</v>
      </c>
      <c r="B459" s="3" t="s">
        <v>282</v>
      </c>
      <c r="C459" s="3" t="s">
        <v>401</v>
      </c>
      <c r="D459" s="3" t="s">
        <v>388</v>
      </c>
      <c r="E459" s="3" t="s">
        <v>398</v>
      </c>
      <c r="F459" s="16" t="n">
        <v>24</v>
      </c>
      <c r="G459" s="15" t="n">
        <v>0.1</v>
      </c>
      <c r="H459" s="16" t="n">
        <v>20</v>
      </c>
      <c r="I459" s="33" t="n">
        <v>77475.84</v>
      </c>
      <c r="J459" s="33" t="n">
        <v>86084.28</v>
      </c>
    </row>
    <row r="460" customFormat="false" ht="15" hidden="false" customHeight="false" outlineLevel="0" collapsed="false">
      <c r="A460" s="3" t="s">
        <v>850</v>
      </c>
      <c r="B460" s="3" t="s">
        <v>281</v>
      </c>
      <c r="C460" s="3" t="s">
        <v>387</v>
      </c>
      <c r="D460" s="3" t="s">
        <v>381</v>
      </c>
      <c r="E460" s="3" t="s">
        <v>385</v>
      </c>
      <c r="F460" s="16" t="n">
        <v>36</v>
      </c>
      <c r="G460" s="15" t="n">
        <v>0</v>
      </c>
      <c r="H460" s="16" t="n">
        <v>5</v>
      </c>
      <c r="I460" s="33" t="n">
        <v>77422.32</v>
      </c>
      <c r="J460" s="33" t="n">
        <v>77422.32</v>
      </c>
    </row>
    <row r="461" customFormat="false" ht="15" hidden="false" customHeight="false" outlineLevel="0" collapsed="false">
      <c r="A461" s="3" t="s">
        <v>851</v>
      </c>
      <c r="B461" s="3" t="s">
        <v>282</v>
      </c>
      <c r="C461" s="3" t="s">
        <v>384</v>
      </c>
      <c r="D461" s="3" t="s">
        <v>381</v>
      </c>
      <c r="E461" s="3" t="s">
        <v>385</v>
      </c>
      <c r="F461" s="16" t="n">
        <v>24</v>
      </c>
      <c r="G461" s="15" t="n">
        <v>0</v>
      </c>
      <c r="H461" s="16" t="n">
        <v>16</v>
      </c>
      <c r="I461" s="33" t="n">
        <v>77239.08</v>
      </c>
      <c r="J461" s="33" t="n">
        <v>77239.08</v>
      </c>
    </row>
    <row r="462" customFormat="false" ht="15" hidden="false" customHeight="false" outlineLevel="0" collapsed="false">
      <c r="A462" s="3" t="s">
        <v>852</v>
      </c>
      <c r="B462" s="3" t="s">
        <v>281</v>
      </c>
      <c r="C462" s="3" t="s">
        <v>396</v>
      </c>
      <c r="D462" s="3" t="s">
        <v>392</v>
      </c>
      <c r="E462" s="3" t="s">
        <v>385</v>
      </c>
      <c r="F462" s="16" t="n">
        <v>24</v>
      </c>
      <c r="G462" s="15" t="n">
        <v>0.25</v>
      </c>
      <c r="H462" s="16" t="n">
        <v>13</v>
      </c>
      <c r="I462" s="33" t="n">
        <v>77188.08</v>
      </c>
      <c r="J462" s="33" t="n">
        <v>102917.52</v>
      </c>
    </row>
    <row r="463" customFormat="false" ht="15" hidden="false" customHeight="false" outlineLevel="0" collapsed="false">
      <c r="A463" s="3" t="s">
        <v>853</v>
      </c>
      <c r="B463" s="3" t="s">
        <v>282</v>
      </c>
      <c r="C463" s="3" t="s">
        <v>384</v>
      </c>
      <c r="D463" s="3" t="s">
        <v>418</v>
      </c>
      <c r="E463" s="3" t="s">
        <v>382</v>
      </c>
      <c r="F463" s="16" t="n">
        <v>12</v>
      </c>
      <c r="G463" s="15" t="n">
        <v>0</v>
      </c>
      <c r="H463" s="16" t="n">
        <v>1</v>
      </c>
      <c r="I463" s="33" t="n">
        <v>76904.76</v>
      </c>
      <c r="J463" s="33" t="n">
        <v>76904.76</v>
      </c>
    </row>
    <row r="464" customFormat="false" ht="15" hidden="false" customHeight="false" outlineLevel="0" collapsed="false">
      <c r="A464" s="3" t="s">
        <v>854</v>
      </c>
      <c r="B464" s="3" t="s">
        <v>282</v>
      </c>
      <c r="C464" s="3" t="s">
        <v>380</v>
      </c>
      <c r="D464" s="3" t="s">
        <v>392</v>
      </c>
      <c r="E464" s="3" t="s">
        <v>398</v>
      </c>
      <c r="F464" s="16" t="n">
        <v>12</v>
      </c>
      <c r="G464" s="15" t="n">
        <v>0</v>
      </c>
      <c r="H464" s="16" t="n">
        <v>3</v>
      </c>
      <c r="I464" s="33" t="n">
        <v>76837.56</v>
      </c>
      <c r="J464" s="33" t="n">
        <v>76837.56</v>
      </c>
    </row>
    <row r="465" customFormat="false" ht="15" hidden="false" customHeight="false" outlineLevel="0" collapsed="false">
      <c r="A465" s="3" t="s">
        <v>855</v>
      </c>
      <c r="B465" s="3" t="s">
        <v>281</v>
      </c>
      <c r="C465" s="3" t="s">
        <v>403</v>
      </c>
      <c r="D465" s="3" t="s">
        <v>381</v>
      </c>
      <c r="E465" s="3" t="s">
        <v>382</v>
      </c>
      <c r="F465" s="16" t="n">
        <v>12</v>
      </c>
      <c r="G465" s="15" t="n">
        <v>0</v>
      </c>
      <c r="H465" s="16" t="n">
        <v>4</v>
      </c>
      <c r="I465" s="33" t="n">
        <v>76779.84</v>
      </c>
      <c r="J465" s="33" t="n">
        <v>76779.84</v>
      </c>
    </row>
    <row r="466" customFormat="false" ht="15" hidden="false" customHeight="false" outlineLevel="0" collapsed="false">
      <c r="A466" s="3" t="s">
        <v>856</v>
      </c>
      <c r="B466" s="3" t="s">
        <v>281</v>
      </c>
      <c r="C466" s="3" t="s">
        <v>380</v>
      </c>
      <c r="D466" s="3" t="s">
        <v>388</v>
      </c>
      <c r="E466" s="3" t="s">
        <v>398</v>
      </c>
      <c r="F466" s="16" t="n">
        <v>12</v>
      </c>
      <c r="G466" s="15" t="n">
        <v>0.3</v>
      </c>
      <c r="H466" s="16" t="n">
        <v>6</v>
      </c>
      <c r="I466" s="33" t="n">
        <v>76299.6</v>
      </c>
      <c r="J466" s="33" t="n">
        <v>108999.36</v>
      </c>
    </row>
    <row r="467" customFormat="false" ht="15" hidden="false" customHeight="false" outlineLevel="0" collapsed="false">
      <c r="A467" s="3" t="s">
        <v>857</v>
      </c>
      <c r="B467" s="3" t="s">
        <v>282</v>
      </c>
      <c r="C467" s="3" t="s">
        <v>380</v>
      </c>
      <c r="D467" s="3" t="s">
        <v>692</v>
      </c>
      <c r="E467" s="3" t="s">
        <v>385</v>
      </c>
      <c r="F467" s="16" t="n">
        <v>24</v>
      </c>
      <c r="G467" s="15" t="n">
        <v>0</v>
      </c>
      <c r="H467" s="16" t="n">
        <v>20</v>
      </c>
      <c r="I467" s="33" t="n">
        <v>75921.96</v>
      </c>
      <c r="J467" s="33" t="n">
        <v>75921.96</v>
      </c>
    </row>
    <row r="468" customFormat="false" ht="15" hidden="false" customHeight="false" outlineLevel="0" collapsed="false">
      <c r="A468" s="3" t="s">
        <v>858</v>
      </c>
      <c r="B468" s="3" t="s">
        <v>282</v>
      </c>
      <c r="C468" s="3" t="s">
        <v>396</v>
      </c>
      <c r="D468" s="3" t="s">
        <v>381</v>
      </c>
      <c r="E468" s="3" t="s">
        <v>385</v>
      </c>
      <c r="F468" s="16" t="n">
        <v>12</v>
      </c>
      <c r="G468" s="15" t="n">
        <v>0.1</v>
      </c>
      <c r="H468" s="16" t="n">
        <v>2</v>
      </c>
      <c r="I468" s="33" t="n">
        <v>75882.48</v>
      </c>
      <c r="J468" s="33" t="n">
        <v>84313.8</v>
      </c>
    </row>
    <row r="469" customFormat="false" ht="15" hidden="false" customHeight="false" outlineLevel="0" collapsed="false">
      <c r="A469" s="3" t="s">
        <v>859</v>
      </c>
      <c r="B469" s="3" t="s">
        <v>282</v>
      </c>
      <c r="C469" s="3" t="s">
        <v>396</v>
      </c>
      <c r="D469" s="3" t="s">
        <v>692</v>
      </c>
      <c r="E469" s="3" t="s">
        <v>385</v>
      </c>
      <c r="F469" s="16" t="n">
        <v>24</v>
      </c>
      <c r="G469" s="15" t="n">
        <v>0</v>
      </c>
      <c r="H469" s="16" t="n">
        <v>12</v>
      </c>
      <c r="I469" s="33" t="n">
        <v>75679.8</v>
      </c>
      <c r="J469" s="33" t="n">
        <v>75679.8</v>
      </c>
    </row>
    <row r="470" customFormat="false" ht="15" hidden="false" customHeight="false" outlineLevel="0" collapsed="false">
      <c r="A470" s="3" t="s">
        <v>860</v>
      </c>
      <c r="B470" s="3" t="s">
        <v>282</v>
      </c>
      <c r="C470" s="3" t="s">
        <v>403</v>
      </c>
      <c r="D470" s="3" t="s">
        <v>418</v>
      </c>
      <c r="E470" s="3" t="s">
        <v>385</v>
      </c>
      <c r="F470" s="16" t="n">
        <v>12</v>
      </c>
      <c r="G470" s="15" t="n">
        <v>0</v>
      </c>
      <c r="H470" s="16" t="n">
        <v>3</v>
      </c>
      <c r="I470" s="33" t="n">
        <v>75358.08</v>
      </c>
      <c r="J470" s="33" t="n">
        <v>75358.08</v>
      </c>
    </row>
    <row r="471" customFormat="false" ht="15" hidden="false" customHeight="false" outlineLevel="0" collapsed="false">
      <c r="A471" s="3" t="s">
        <v>861</v>
      </c>
      <c r="B471" s="3" t="s">
        <v>282</v>
      </c>
      <c r="C471" s="3" t="s">
        <v>396</v>
      </c>
      <c r="D471" s="3" t="s">
        <v>418</v>
      </c>
      <c r="E471" s="3" t="s">
        <v>398</v>
      </c>
      <c r="F471" s="16" t="n">
        <v>24</v>
      </c>
      <c r="G471" s="15" t="n">
        <v>0</v>
      </c>
      <c r="H471" s="16" t="n">
        <v>3</v>
      </c>
      <c r="I471" s="33" t="n">
        <v>75332.52</v>
      </c>
      <c r="J471" s="33" t="n">
        <v>75332.52</v>
      </c>
    </row>
    <row r="472" customFormat="false" ht="15" hidden="false" customHeight="false" outlineLevel="0" collapsed="false">
      <c r="A472" s="3" t="s">
        <v>862</v>
      </c>
      <c r="B472" s="3" t="s">
        <v>282</v>
      </c>
      <c r="C472" s="3" t="s">
        <v>380</v>
      </c>
      <c r="D472" s="3" t="s">
        <v>381</v>
      </c>
      <c r="E472" s="3" t="s">
        <v>398</v>
      </c>
      <c r="F472" s="16" t="n">
        <v>12</v>
      </c>
      <c r="G472" s="15" t="n">
        <v>0</v>
      </c>
      <c r="H472" s="16" t="n">
        <v>6</v>
      </c>
      <c r="I472" s="33" t="n">
        <v>75053.4</v>
      </c>
      <c r="J472" s="33" t="n">
        <v>75053.4</v>
      </c>
    </row>
    <row r="473" customFormat="false" ht="15" hidden="false" customHeight="false" outlineLevel="0" collapsed="false">
      <c r="A473" s="3" t="s">
        <v>863</v>
      </c>
      <c r="B473" s="3" t="s">
        <v>281</v>
      </c>
      <c r="C473" s="3" t="s">
        <v>401</v>
      </c>
      <c r="D473" s="3" t="s">
        <v>381</v>
      </c>
      <c r="E473" s="3" t="s">
        <v>398</v>
      </c>
      <c r="F473" s="16" t="n">
        <v>24</v>
      </c>
      <c r="G473" s="15" t="n">
        <v>0.2</v>
      </c>
      <c r="H473" s="16" t="n">
        <v>4</v>
      </c>
      <c r="I473" s="33" t="n">
        <v>74725.92</v>
      </c>
      <c r="J473" s="33" t="n">
        <v>93407.4</v>
      </c>
    </row>
    <row r="474" customFormat="false" ht="15" hidden="false" customHeight="false" outlineLevel="0" collapsed="false">
      <c r="A474" s="3" t="s">
        <v>864</v>
      </c>
      <c r="B474" s="3" t="s">
        <v>282</v>
      </c>
      <c r="C474" s="3" t="s">
        <v>380</v>
      </c>
      <c r="D474" s="3" t="s">
        <v>392</v>
      </c>
      <c r="E474" s="3" t="s">
        <v>385</v>
      </c>
      <c r="F474" s="16" t="n">
        <v>12</v>
      </c>
      <c r="G474" s="15" t="n">
        <v>0</v>
      </c>
      <c r="H474" s="16" t="n">
        <v>6</v>
      </c>
      <c r="I474" s="33" t="n">
        <v>74616.36</v>
      </c>
      <c r="J474" s="33" t="n">
        <v>74616.36</v>
      </c>
    </row>
    <row r="475" customFormat="false" ht="15" hidden="false" customHeight="false" outlineLevel="0" collapsed="false">
      <c r="A475" s="3" t="s">
        <v>865</v>
      </c>
      <c r="B475" s="3" t="s">
        <v>281</v>
      </c>
      <c r="C475" s="3" t="s">
        <v>401</v>
      </c>
      <c r="D475" s="3" t="s">
        <v>381</v>
      </c>
      <c r="E475" s="3" t="s">
        <v>385</v>
      </c>
      <c r="F475" s="16" t="n">
        <v>36</v>
      </c>
      <c r="G475" s="15" t="n">
        <v>0.1</v>
      </c>
      <c r="H475" s="16" t="n">
        <v>27</v>
      </c>
      <c r="I475" s="33" t="n">
        <v>74553.96</v>
      </c>
      <c r="J475" s="33" t="n">
        <v>82837.8</v>
      </c>
    </row>
    <row r="476" customFormat="false" ht="15" hidden="false" customHeight="false" outlineLevel="0" collapsed="false">
      <c r="A476" s="3" t="s">
        <v>866</v>
      </c>
      <c r="B476" s="3" t="s">
        <v>281</v>
      </c>
      <c r="C476" s="3" t="s">
        <v>403</v>
      </c>
      <c r="D476" s="3" t="s">
        <v>388</v>
      </c>
      <c r="E476" s="3" t="s">
        <v>385</v>
      </c>
      <c r="F476" s="16" t="n">
        <v>24</v>
      </c>
      <c r="G476" s="15" t="n">
        <v>0</v>
      </c>
      <c r="H476" s="16" t="n">
        <v>3</v>
      </c>
      <c r="I476" s="33" t="n">
        <v>74095.56</v>
      </c>
      <c r="J476" s="33" t="n">
        <v>74095.56</v>
      </c>
    </row>
    <row r="477" customFormat="false" ht="15" hidden="false" customHeight="false" outlineLevel="0" collapsed="false">
      <c r="A477" s="3" t="s">
        <v>867</v>
      </c>
      <c r="B477" s="3" t="s">
        <v>282</v>
      </c>
      <c r="C477" s="3" t="s">
        <v>396</v>
      </c>
      <c r="D477" s="3" t="s">
        <v>392</v>
      </c>
      <c r="E477" s="3" t="s">
        <v>398</v>
      </c>
      <c r="F477" s="16" t="n">
        <v>12</v>
      </c>
      <c r="G477" s="15" t="n">
        <v>0</v>
      </c>
      <c r="H477" s="16" t="n">
        <v>1</v>
      </c>
      <c r="I477" s="33" t="n">
        <v>73566</v>
      </c>
      <c r="J477" s="33" t="n">
        <v>73566</v>
      </c>
    </row>
    <row r="478" customFormat="false" ht="15" hidden="false" customHeight="false" outlineLevel="0" collapsed="false">
      <c r="A478" s="3" t="s">
        <v>868</v>
      </c>
      <c r="B478" s="3" t="s">
        <v>282</v>
      </c>
      <c r="C478" s="3" t="s">
        <v>387</v>
      </c>
      <c r="D478" s="3" t="s">
        <v>381</v>
      </c>
      <c r="E478" s="3" t="s">
        <v>398</v>
      </c>
      <c r="F478" s="16" t="n">
        <v>24</v>
      </c>
      <c r="G478" s="15" t="n">
        <v>0</v>
      </c>
      <c r="H478" s="16" t="n">
        <v>7</v>
      </c>
      <c r="I478" s="33" t="n">
        <v>73044.36</v>
      </c>
      <c r="J478" s="33" t="n">
        <v>73044.36</v>
      </c>
    </row>
    <row r="479" customFormat="false" ht="15" hidden="false" customHeight="false" outlineLevel="0" collapsed="false">
      <c r="A479" s="3" t="s">
        <v>869</v>
      </c>
      <c r="B479" s="3" t="s">
        <v>282</v>
      </c>
      <c r="C479" s="3" t="s">
        <v>401</v>
      </c>
      <c r="D479" s="3" t="s">
        <v>388</v>
      </c>
      <c r="E479" s="3" t="s">
        <v>398</v>
      </c>
      <c r="F479" s="16" t="n">
        <v>12</v>
      </c>
      <c r="G479" s="15" t="n">
        <v>0</v>
      </c>
      <c r="H479" s="16" t="n">
        <v>10</v>
      </c>
      <c r="I479" s="33" t="n">
        <v>72991.08</v>
      </c>
      <c r="J479" s="33" t="n">
        <v>72991.08</v>
      </c>
    </row>
    <row r="480" customFormat="false" ht="15" hidden="false" customHeight="false" outlineLevel="0" collapsed="false">
      <c r="A480" s="3" t="s">
        <v>870</v>
      </c>
      <c r="B480" s="3" t="s">
        <v>282</v>
      </c>
      <c r="C480" s="3" t="s">
        <v>401</v>
      </c>
      <c r="D480" s="3" t="s">
        <v>392</v>
      </c>
      <c r="E480" s="3" t="s">
        <v>382</v>
      </c>
      <c r="F480" s="16" t="n">
        <v>24</v>
      </c>
      <c r="G480" s="15" t="n">
        <v>0</v>
      </c>
      <c r="H480" s="16" t="n">
        <v>21</v>
      </c>
      <c r="I480" s="33" t="n">
        <v>72845.64</v>
      </c>
      <c r="J480" s="33" t="n">
        <v>72845.64</v>
      </c>
    </row>
    <row r="481" customFormat="false" ht="15" hidden="false" customHeight="false" outlineLevel="0" collapsed="false">
      <c r="A481" s="3" t="s">
        <v>871</v>
      </c>
      <c r="B481" s="3" t="s">
        <v>281</v>
      </c>
      <c r="C481" s="3" t="s">
        <v>384</v>
      </c>
      <c r="D481" s="3" t="s">
        <v>418</v>
      </c>
      <c r="E481" s="3" t="s">
        <v>385</v>
      </c>
      <c r="F481" s="16" t="n">
        <v>24</v>
      </c>
      <c r="G481" s="15" t="n">
        <v>0</v>
      </c>
      <c r="H481" s="16" t="n">
        <v>8</v>
      </c>
      <c r="I481" s="33" t="n">
        <v>72713.28</v>
      </c>
      <c r="J481" s="33" t="n">
        <v>72713.28</v>
      </c>
    </row>
    <row r="482" customFormat="false" ht="15" hidden="false" customHeight="false" outlineLevel="0" collapsed="false">
      <c r="A482" s="3" t="s">
        <v>872</v>
      </c>
      <c r="B482" s="3" t="s">
        <v>282</v>
      </c>
      <c r="C482" s="3" t="s">
        <v>405</v>
      </c>
      <c r="D482" s="3" t="s">
        <v>388</v>
      </c>
      <c r="E482" s="3" t="s">
        <v>398</v>
      </c>
      <c r="F482" s="16" t="n">
        <v>12</v>
      </c>
      <c r="G482" s="15" t="n">
        <v>0</v>
      </c>
      <c r="H482" s="16" t="n">
        <v>8</v>
      </c>
      <c r="I482" s="33" t="n">
        <v>72686.52</v>
      </c>
      <c r="J482" s="33" t="n">
        <v>72686.52</v>
      </c>
    </row>
    <row r="483" customFormat="false" ht="15" hidden="false" customHeight="false" outlineLevel="0" collapsed="false">
      <c r="A483" s="3" t="s">
        <v>873</v>
      </c>
      <c r="B483" s="3" t="s">
        <v>283</v>
      </c>
      <c r="C483" s="3" t="s">
        <v>405</v>
      </c>
      <c r="D483" s="3" t="s">
        <v>692</v>
      </c>
      <c r="E483" s="3" t="s">
        <v>382</v>
      </c>
      <c r="F483" s="16" t="n">
        <v>1</v>
      </c>
      <c r="G483" s="15" t="n">
        <v>0</v>
      </c>
      <c r="H483" s="16" t="n">
        <v>1</v>
      </c>
      <c r="I483" s="33" t="n">
        <v>72611.04</v>
      </c>
      <c r="J483" s="33" t="n">
        <v>72611.04</v>
      </c>
    </row>
    <row r="484" customFormat="false" ht="15" hidden="false" customHeight="false" outlineLevel="0" collapsed="false">
      <c r="A484" s="3" t="s">
        <v>874</v>
      </c>
      <c r="B484" s="3" t="s">
        <v>282</v>
      </c>
      <c r="C484" s="3" t="s">
        <v>387</v>
      </c>
      <c r="D484" s="3" t="s">
        <v>392</v>
      </c>
      <c r="E484" s="3" t="s">
        <v>385</v>
      </c>
      <c r="F484" s="16" t="n">
        <v>12</v>
      </c>
      <c r="G484" s="15" t="n">
        <v>0</v>
      </c>
      <c r="H484" s="16" t="n">
        <v>7</v>
      </c>
      <c r="I484" s="33" t="n">
        <v>72565.08</v>
      </c>
      <c r="J484" s="33" t="n">
        <v>72565.08</v>
      </c>
    </row>
    <row r="485" customFormat="false" ht="15" hidden="false" customHeight="false" outlineLevel="0" collapsed="false">
      <c r="A485" s="3" t="s">
        <v>875</v>
      </c>
      <c r="B485" s="3" t="s">
        <v>282</v>
      </c>
      <c r="C485" s="3" t="s">
        <v>387</v>
      </c>
      <c r="D485" s="3" t="s">
        <v>692</v>
      </c>
      <c r="E485" s="3" t="s">
        <v>398</v>
      </c>
      <c r="F485" s="16" t="n">
        <v>12</v>
      </c>
      <c r="G485" s="15" t="n">
        <v>0.25</v>
      </c>
      <c r="H485" s="16" t="n">
        <v>10</v>
      </c>
      <c r="I485" s="33" t="n">
        <v>72354.84</v>
      </c>
      <c r="J485" s="33" t="n">
        <v>96473.04</v>
      </c>
    </row>
    <row r="486" customFormat="false" ht="15" hidden="false" customHeight="false" outlineLevel="0" collapsed="false">
      <c r="A486" s="3" t="s">
        <v>876</v>
      </c>
      <c r="B486" s="3" t="s">
        <v>282</v>
      </c>
      <c r="C486" s="3" t="s">
        <v>387</v>
      </c>
      <c r="D486" s="3" t="s">
        <v>388</v>
      </c>
      <c r="E486" s="3" t="s">
        <v>382</v>
      </c>
      <c r="F486" s="16" t="n">
        <v>12</v>
      </c>
      <c r="G486" s="15" t="n">
        <v>0</v>
      </c>
      <c r="H486" s="16" t="n">
        <v>5</v>
      </c>
      <c r="I486" s="33" t="n">
        <v>72284.16</v>
      </c>
      <c r="J486" s="33" t="n">
        <v>72284.16</v>
      </c>
    </row>
    <row r="487" customFormat="false" ht="15" hidden="false" customHeight="false" outlineLevel="0" collapsed="false">
      <c r="A487" s="3" t="s">
        <v>877</v>
      </c>
      <c r="B487" s="3" t="s">
        <v>281</v>
      </c>
      <c r="C487" s="3" t="s">
        <v>387</v>
      </c>
      <c r="D487" s="3" t="s">
        <v>381</v>
      </c>
      <c r="E487" s="3" t="s">
        <v>398</v>
      </c>
      <c r="F487" s="16" t="n">
        <v>12</v>
      </c>
      <c r="G487" s="15" t="n">
        <v>0.05</v>
      </c>
      <c r="H487" s="16" t="n">
        <v>5</v>
      </c>
      <c r="I487" s="33" t="n">
        <v>72280.32</v>
      </c>
      <c r="J487" s="33" t="n">
        <v>76084.56</v>
      </c>
    </row>
    <row r="488" customFormat="false" ht="15" hidden="false" customHeight="false" outlineLevel="0" collapsed="false">
      <c r="A488" s="3" t="s">
        <v>878</v>
      </c>
      <c r="B488" s="3" t="s">
        <v>282</v>
      </c>
      <c r="C488" s="3" t="s">
        <v>380</v>
      </c>
      <c r="D488" s="3" t="s">
        <v>381</v>
      </c>
      <c r="E488" s="3" t="s">
        <v>385</v>
      </c>
      <c r="F488" s="16" t="n">
        <v>12</v>
      </c>
      <c r="G488" s="15" t="n">
        <v>0.1</v>
      </c>
      <c r="H488" s="16" t="n">
        <v>2</v>
      </c>
      <c r="I488" s="33" t="n">
        <v>71766</v>
      </c>
      <c r="J488" s="33" t="n">
        <v>79740</v>
      </c>
    </row>
    <row r="489" customFormat="false" ht="15" hidden="false" customHeight="false" outlineLevel="0" collapsed="false">
      <c r="A489" s="3" t="s">
        <v>879</v>
      </c>
      <c r="B489" s="3" t="s">
        <v>282</v>
      </c>
      <c r="C489" s="3" t="s">
        <v>403</v>
      </c>
      <c r="D489" s="3" t="s">
        <v>381</v>
      </c>
      <c r="E489" s="3" t="s">
        <v>385</v>
      </c>
      <c r="F489" s="16" t="n">
        <v>12</v>
      </c>
      <c r="G489" s="15" t="n">
        <v>0.05</v>
      </c>
      <c r="H489" s="16" t="n">
        <v>4</v>
      </c>
      <c r="I489" s="33" t="n">
        <v>71482.08</v>
      </c>
      <c r="J489" s="33" t="n">
        <v>75244.32</v>
      </c>
    </row>
    <row r="490" customFormat="false" ht="15" hidden="false" customHeight="false" outlineLevel="0" collapsed="false">
      <c r="A490" s="3" t="s">
        <v>880</v>
      </c>
      <c r="B490" s="3" t="s">
        <v>282</v>
      </c>
      <c r="C490" s="3" t="s">
        <v>396</v>
      </c>
      <c r="D490" s="3" t="s">
        <v>692</v>
      </c>
      <c r="E490" s="3" t="s">
        <v>382</v>
      </c>
      <c r="F490" s="16" t="n">
        <v>12</v>
      </c>
      <c r="G490" s="15" t="n">
        <v>0</v>
      </c>
      <c r="H490" s="16" t="n">
        <v>4</v>
      </c>
      <c r="I490" s="33" t="n">
        <v>70825.32</v>
      </c>
      <c r="J490" s="33" t="n">
        <v>70825.32</v>
      </c>
    </row>
    <row r="491" customFormat="false" ht="15" hidden="false" customHeight="false" outlineLevel="0" collapsed="false">
      <c r="A491" s="3" t="s">
        <v>881</v>
      </c>
      <c r="B491" s="3" t="s">
        <v>282</v>
      </c>
      <c r="C491" s="3" t="s">
        <v>384</v>
      </c>
      <c r="D491" s="3" t="s">
        <v>388</v>
      </c>
      <c r="E491" s="3" t="s">
        <v>385</v>
      </c>
      <c r="F491" s="16" t="n">
        <v>12</v>
      </c>
      <c r="G491" s="15" t="n">
        <v>0</v>
      </c>
      <c r="H491" s="16" t="n">
        <v>1</v>
      </c>
      <c r="I491" s="33" t="n">
        <v>70466.52</v>
      </c>
      <c r="J491" s="33" t="n">
        <v>70466.52</v>
      </c>
    </row>
    <row r="492" customFormat="false" ht="15" hidden="false" customHeight="false" outlineLevel="0" collapsed="false">
      <c r="A492" s="3" t="s">
        <v>882</v>
      </c>
      <c r="B492" s="3" t="s">
        <v>282</v>
      </c>
      <c r="C492" s="3" t="s">
        <v>396</v>
      </c>
      <c r="D492" s="3" t="s">
        <v>418</v>
      </c>
      <c r="E492" s="3" t="s">
        <v>385</v>
      </c>
      <c r="F492" s="16" t="n">
        <v>12</v>
      </c>
      <c r="G492" s="15" t="n">
        <v>0</v>
      </c>
      <c r="H492" s="16" t="n">
        <v>6</v>
      </c>
      <c r="I492" s="33" t="n">
        <v>70359.72</v>
      </c>
      <c r="J492" s="33" t="n">
        <v>70359.72</v>
      </c>
    </row>
    <row r="493" customFormat="false" ht="15" hidden="false" customHeight="false" outlineLevel="0" collapsed="false">
      <c r="A493" s="3" t="s">
        <v>883</v>
      </c>
      <c r="B493" s="3" t="s">
        <v>281</v>
      </c>
      <c r="C493" s="3" t="s">
        <v>396</v>
      </c>
      <c r="D493" s="3" t="s">
        <v>381</v>
      </c>
      <c r="E493" s="3" t="s">
        <v>385</v>
      </c>
      <c r="F493" s="16" t="n">
        <v>36</v>
      </c>
      <c r="G493" s="15" t="n">
        <v>0</v>
      </c>
      <c r="H493" s="16" t="n">
        <v>3</v>
      </c>
      <c r="I493" s="33" t="n">
        <v>70354.44</v>
      </c>
      <c r="J493" s="33" t="n">
        <v>70354.44</v>
      </c>
    </row>
    <row r="494" customFormat="false" ht="15" hidden="false" customHeight="false" outlineLevel="0" collapsed="false">
      <c r="A494" s="3" t="s">
        <v>884</v>
      </c>
      <c r="B494" s="3" t="s">
        <v>282</v>
      </c>
      <c r="C494" s="3" t="s">
        <v>380</v>
      </c>
      <c r="D494" s="3" t="s">
        <v>392</v>
      </c>
      <c r="E494" s="3" t="s">
        <v>398</v>
      </c>
      <c r="F494" s="16" t="n">
        <v>12</v>
      </c>
      <c r="G494" s="15" t="n">
        <v>0</v>
      </c>
      <c r="H494" s="16" t="n">
        <v>9</v>
      </c>
      <c r="I494" s="33" t="n">
        <v>70278.96</v>
      </c>
      <c r="J494" s="33" t="n">
        <v>70278.96</v>
      </c>
    </row>
    <row r="495" customFormat="false" ht="15" hidden="false" customHeight="false" outlineLevel="0" collapsed="false">
      <c r="A495" s="3" t="s">
        <v>885</v>
      </c>
      <c r="B495" s="3" t="s">
        <v>282</v>
      </c>
      <c r="C495" s="3" t="s">
        <v>403</v>
      </c>
      <c r="D495" s="3" t="s">
        <v>388</v>
      </c>
      <c r="E495" s="3" t="s">
        <v>385</v>
      </c>
      <c r="F495" s="16" t="n">
        <v>12</v>
      </c>
      <c r="G495" s="15" t="n">
        <v>0</v>
      </c>
      <c r="H495" s="16" t="n">
        <v>3</v>
      </c>
      <c r="I495" s="33" t="n">
        <v>70211.28</v>
      </c>
      <c r="J495" s="33" t="n">
        <v>70211.28</v>
      </c>
    </row>
    <row r="496" customFormat="false" ht="15" hidden="false" customHeight="false" outlineLevel="0" collapsed="false">
      <c r="A496" s="3" t="s">
        <v>886</v>
      </c>
      <c r="B496" s="3" t="s">
        <v>282</v>
      </c>
      <c r="C496" s="3" t="s">
        <v>387</v>
      </c>
      <c r="D496" s="3" t="s">
        <v>392</v>
      </c>
      <c r="E496" s="3" t="s">
        <v>398</v>
      </c>
      <c r="F496" s="16" t="n">
        <v>12</v>
      </c>
      <c r="G496" s="15" t="n">
        <v>0</v>
      </c>
      <c r="H496" s="16" t="n">
        <v>1</v>
      </c>
      <c r="I496" s="33" t="n">
        <v>70176.84</v>
      </c>
      <c r="J496" s="33" t="n">
        <v>70176.84</v>
      </c>
    </row>
    <row r="497" customFormat="false" ht="15" hidden="false" customHeight="false" outlineLevel="0" collapsed="false">
      <c r="A497" s="3" t="s">
        <v>887</v>
      </c>
      <c r="B497" s="3" t="s">
        <v>281</v>
      </c>
      <c r="C497" s="3" t="s">
        <v>405</v>
      </c>
      <c r="D497" s="3" t="s">
        <v>388</v>
      </c>
      <c r="E497" s="3" t="s">
        <v>398</v>
      </c>
      <c r="F497" s="16" t="n">
        <v>24</v>
      </c>
      <c r="G497" s="15" t="n">
        <v>0.05</v>
      </c>
      <c r="H497" s="16" t="n">
        <v>13</v>
      </c>
      <c r="I497" s="33" t="n">
        <v>70159.2</v>
      </c>
      <c r="J497" s="33" t="n">
        <v>73851.84</v>
      </c>
    </row>
    <row r="498" customFormat="false" ht="15" hidden="false" customHeight="false" outlineLevel="0" collapsed="false">
      <c r="A498" s="3" t="s">
        <v>888</v>
      </c>
      <c r="B498" s="3" t="s">
        <v>282</v>
      </c>
      <c r="C498" s="3" t="s">
        <v>396</v>
      </c>
      <c r="D498" s="3" t="s">
        <v>418</v>
      </c>
      <c r="E498" s="3" t="s">
        <v>382</v>
      </c>
      <c r="F498" s="16" t="n">
        <v>12</v>
      </c>
      <c r="G498" s="15" t="n">
        <v>0</v>
      </c>
      <c r="H498" s="16" t="n">
        <v>1</v>
      </c>
      <c r="I498" s="33" t="n">
        <v>69935.76</v>
      </c>
      <c r="J498" s="33" t="n">
        <v>69935.76</v>
      </c>
    </row>
    <row r="499" customFormat="false" ht="15" hidden="false" customHeight="false" outlineLevel="0" collapsed="false">
      <c r="A499" s="3" t="s">
        <v>889</v>
      </c>
      <c r="B499" s="3" t="s">
        <v>282</v>
      </c>
      <c r="C499" s="3" t="s">
        <v>384</v>
      </c>
      <c r="D499" s="3" t="s">
        <v>418</v>
      </c>
      <c r="E499" s="3" t="s">
        <v>385</v>
      </c>
      <c r="F499" s="16" t="n">
        <v>12</v>
      </c>
      <c r="G499" s="15" t="n">
        <v>0</v>
      </c>
      <c r="H499" s="16" t="n">
        <v>6</v>
      </c>
      <c r="I499" s="33" t="n">
        <v>69856.2</v>
      </c>
      <c r="J499" s="33" t="n">
        <v>69856.2</v>
      </c>
    </row>
    <row r="500" customFormat="false" ht="15" hidden="false" customHeight="false" outlineLevel="0" collapsed="false">
      <c r="A500" s="3" t="s">
        <v>890</v>
      </c>
      <c r="B500" s="3" t="s">
        <v>282</v>
      </c>
      <c r="C500" s="3" t="s">
        <v>387</v>
      </c>
      <c r="D500" s="3" t="s">
        <v>381</v>
      </c>
      <c r="E500" s="3" t="s">
        <v>382</v>
      </c>
      <c r="F500" s="16" t="n">
        <v>12</v>
      </c>
      <c r="G500" s="15" t="n">
        <v>0.1</v>
      </c>
      <c r="H500" s="16" t="n">
        <v>10</v>
      </c>
      <c r="I500" s="33" t="n">
        <v>69845.88</v>
      </c>
      <c r="J500" s="33" t="n">
        <v>77606.52</v>
      </c>
    </row>
    <row r="501" customFormat="false" ht="15" hidden="false" customHeight="false" outlineLevel="0" collapsed="false">
      <c r="A501" s="3" t="s">
        <v>891</v>
      </c>
      <c r="B501" s="3" t="s">
        <v>282</v>
      </c>
      <c r="C501" s="3" t="s">
        <v>380</v>
      </c>
      <c r="D501" s="3" t="s">
        <v>381</v>
      </c>
      <c r="E501" s="3" t="s">
        <v>382</v>
      </c>
      <c r="F501" s="16" t="n">
        <v>24</v>
      </c>
      <c r="G501" s="15" t="n">
        <v>0</v>
      </c>
      <c r="H501" s="16" t="n">
        <v>19</v>
      </c>
      <c r="I501" s="33" t="n">
        <v>69742.44</v>
      </c>
      <c r="J501" s="33" t="n">
        <v>69742.44</v>
      </c>
    </row>
    <row r="502" customFormat="false" ht="15" hidden="false" customHeight="false" outlineLevel="0" collapsed="false">
      <c r="A502" s="3" t="s">
        <v>892</v>
      </c>
      <c r="B502" s="3" t="s">
        <v>282</v>
      </c>
      <c r="C502" s="3" t="s">
        <v>396</v>
      </c>
      <c r="D502" s="3" t="s">
        <v>381</v>
      </c>
      <c r="E502" s="3" t="s">
        <v>385</v>
      </c>
      <c r="F502" s="16" t="n">
        <v>12</v>
      </c>
      <c r="G502" s="15" t="n">
        <v>0</v>
      </c>
      <c r="H502" s="16" t="n">
        <v>12</v>
      </c>
      <c r="I502" s="33" t="n">
        <v>69528.48</v>
      </c>
      <c r="J502" s="33" t="n">
        <v>69528.48</v>
      </c>
    </row>
    <row r="503" customFormat="false" ht="15" hidden="false" customHeight="false" outlineLevel="0" collapsed="false">
      <c r="A503" s="3" t="s">
        <v>893</v>
      </c>
      <c r="B503" s="3" t="s">
        <v>281</v>
      </c>
      <c r="C503" s="3" t="s">
        <v>384</v>
      </c>
      <c r="D503" s="3" t="s">
        <v>388</v>
      </c>
      <c r="E503" s="3" t="s">
        <v>385</v>
      </c>
      <c r="F503" s="16" t="n">
        <v>24</v>
      </c>
      <c r="G503" s="15" t="n">
        <v>0.2</v>
      </c>
      <c r="H503" s="16" t="n">
        <v>12</v>
      </c>
      <c r="I503" s="33" t="n">
        <v>69200.64</v>
      </c>
      <c r="J503" s="33" t="n">
        <v>86500.8</v>
      </c>
    </row>
    <row r="504" customFormat="false" ht="15" hidden="false" customHeight="false" outlineLevel="0" collapsed="false">
      <c r="A504" s="3" t="s">
        <v>894</v>
      </c>
      <c r="B504" s="3" t="s">
        <v>282</v>
      </c>
      <c r="C504" s="3" t="s">
        <v>387</v>
      </c>
      <c r="D504" s="3" t="s">
        <v>388</v>
      </c>
      <c r="E504" s="3" t="s">
        <v>398</v>
      </c>
      <c r="F504" s="16" t="n">
        <v>24</v>
      </c>
      <c r="G504" s="15" t="n">
        <v>0</v>
      </c>
      <c r="H504" s="16" t="n">
        <v>4</v>
      </c>
      <c r="I504" s="33" t="n">
        <v>69122.52</v>
      </c>
      <c r="J504" s="33" t="n">
        <v>69122.52</v>
      </c>
    </row>
    <row r="505" customFormat="false" ht="15" hidden="false" customHeight="false" outlineLevel="0" collapsed="false">
      <c r="A505" s="3" t="s">
        <v>895</v>
      </c>
      <c r="B505" s="3" t="s">
        <v>282</v>
      </c>
      <c r="C505" s="3" t="s">
        <v>405</v>
      </c>
      <c r="D505" s="3" t="s">
        <v>392</v>
      </c>
      <c r="E505" s="3" t="s">
        <v>398</v>
      </c>
      <c r="F505" s="16" t="n">
        <v>12</v>
      </c>
      <c r="G505" s="15" t="n">
        <v>0</v>
      </c>
      <c r="H505" s="16" t="n">
        <v>11</v>
      </c>
      <c r="I505" s="33" t="n">
        <v>69113.4</v>
      </c>
      <c r="J505" s="33" t="n">
        <v>69113.4</v>
      </c>
    </row>
    <row r="506" customFormat="false" ht="15" hidden="false" customHeight="false" outlineLevel="0" collapsed="false">
      <c r="A506" s="3" t="s">
        <v>896</v>
      </c>
      <c r="B506" s="3" t="s">
        <v>282</v>
      </c>
      <c r="C506" s="3" t="s">
        <v>401</v>
      </c>
      <c r="D506" s="3" t="s">
        <v>381</v>
      </c>
      <c r="E506" s="3" t="s">
        <v>382</v>
      </c>
      <c r="F506" s="16" t="n">
        <v>12</v>
      </c>
      <c r="G506" s="15" t="n">
        <v>0.1</v>
      </c>
      <c r="H506" s="16" t="n">
        <v>8</v>
      </c>
      <c r="I506" s="33" t="n">
        <v>68999.4</v>
      </c>
      <c r="J506" s="33" t="n">
        <v>76665.96</v>
      </c>
    </row>
    <row r="507" customFormat="false" ht="15" hidden="false" customHeight="false" outlineLevel="0" collapsed="false">
      <c r="A507" s="3" t="s">
        <v>897</v>
      </c>
      <c r="B507" s="3" t="s">
        <v>282</v>
      </c>
      <c r="C507" s="3" t="s">
        <v>387</v>
      </c>
      <c r="D507" s="3" t="s">
        <v>418</v>
      </c>
      <c r="E507" s="3" t="s">
        <v>382</v>
      </c>
      <c r="F507" s="16" t="n">
        <v>24</v>
      </c>
      <c r="G507" s="15" t="n">
        <v>0.3</v>
      </c>
      <c r="H507" s="16" t="n">
        <v>1</v>
      </c>
      <c r="I507" s="33" t="n">
        <v>68973</v>
      </c>
      <c r="J507" s="33" t="n">
        <v>98532.84</v>
      </c>
    </row>
    <row r="508" customFormat="false" ht="15" hidden="false" customHeight="false" outlineLevel="0" collapsed="false">
      <c r="A508" s="3" t="s">
        <v>898</v>
      </c>
      <c r="B508" s="3" t="s">
        <v>282</v>
      </c>
      <c r="C508" s="3" t="s">
        <v>384</v>
      </c>
      <c r="D508" s="3" t="s">
        <v>418</v>
      </c>
      <c r="E508" s="3" t="s">
        <v>398</v>
      </c>
      <c r="F508" s="16" t="n">
        <v>12</v>
      </c>
      <c r="G508" s="15" t="n">
        <v>0.15</v>
      </c>
      <c r="H508" s="16" t="n">
        <v>4</v>
      </c>
      <c r="I508" s="33" t="n">
        <v>68862.48</v>
      </c>
      <c r="J508" s="33" t="n">
        <v>81014.76</v>
      </c>
    </row>
    <row r="509" customFormat="false" ht="15" hidden="false" customHeight="false" outlineLevel="0" collapsed="false">
      <c r="A509" s="3" t="s">
        <v>899</v>
      </c>
      <c r="B509" s="3" t="s">
        <v>282</v>
      </c>
      <c r="C509" s="3" t="s">
        <v>384</v>
      </c>
      <c r="D509" s="3" t="s">
        <v>381</v>
      </c>
      <c r="E509" s="3" t="s">
        <v>385</v>
      </c>
      <c r="F509" s="16" t="n">
        <v>12</v>
      </c>
      <c r="G509" s="15" t="n">
        <v>0.1</v>
      </c>
      <c r="H509" s="16" t="n">
        <v>8</v>
      </c>
      <c r="I509" s="33" t="n">
        <v>68790.12</v>
      </c>
      <c r="J509" s="33" t="n">
        <v>76433.52</v>
      </c>
    </row>
    <row r="510" customFormat="false" ht="15" hidden="false" customHeight="false" outlineLevel="0" collapsed="false">
      <c r="A510" s="3" t="s">
        <v>900</v>
      </c>
      <c r="B510" s="3" t="s">
        <v>281</v>
      </c>
      <c r="C510" s="3" t="s">
        <v>396</v>
      </c>
      <c r="D510" s="3" t="s">
        <v>381</v>
      </c>
      <c r="E510" s="3" t="s">
        <v>398</v>
      </c>
      <c r="F510" s="16" t="n">
        <v>12</v>
      </c>
      <c r="G510" s="15" t="n">
        <v>0.3</v>
      </c>
      <c r="H510" s="16" t="n">
        <v>5</v>
      </c>
      <c r="I510" s="33" t="n">
        <v>68721.48</v>
      </c>
      <c r="J510" s="33" t="n">
        <v>98173.56</v>
      </c>
    </row>
    <row r="511" customFormat="false" ht="15" hidden="false" customHeight="false" outlineLevel="0" collapsed="false">
      <c r="A511" s="3" t="s">
        <v>901</v>
      </c>
      <c r="B511" s="3" t="s">
        <v>281</v>
      </c>
      <c r="C511" s="3" t="s">
        <v>401</v>
      </c>
      <c r="D511" s="3" t="s">
        <v>388</v>
      </c>
      <c r="E511" s="3" t="s">
        <v>385</v>
      </c>
      <c r="F511" s="16" t="n">
        <v>12</v>
      </c>
      <c r="G511" s="15" t="n">
        <v>0</v>
      </c>
      <c r="H511" s="16" t="n">
        <v>8</v>
      </c>
      <c r="I511" s="33" t="n">
        <v>68659.08</v>
      </c>
      <c r="J511" s="33" t="n">
        <v>68659.08</v>
      </c>
    </row>
    <row r="512" customFormat="false" ht="15" hidden="false" customHeight="false" outlineLevel="0" collapsed="false">
      <c r="A512" s="3" t="s">
        <v>902</v>
      </c>
      <c r="B512" s="3" t="s">
        <v>282</v>
      </c>
      <c r="C512" s="3" t="s">
        <v>380</v>
      </c>
      <c r="D512" s="3" t="s">
        <v>392</v>
      </c>
      <c r="E512" s="3" t="s">
        <v>382</v>
      </c>
      <c r="F512" s="16" t="n">
        <v>12</v>
      </c>
      <c r="G512" s="15" t="n">
        <v>0</v>
      </c>
      <c r="H512" s="16" t="n">
        <v>2</v>
      </c>
      <c r="I512" s="33" t="n">
        <v>68620.44</v>
      </c>
      <c r="J512" s="33" t="n">
        <v>68620.44</v>
      </c>
    </row>
    <row r="513" customFormat="false" ht="15" hidden="false" customHeight="false" outlineLevel="0" collapsed="false">
      <c r="A513" s="3" t="s">
        <v>903</v>
      </c>
      <c r="B513" s="3" t="s">
        <v>281</v>
      </c>
      <c r="C513" s="3" t="s">
        <v>403</v>
      </c>
      <c r="D513" s="3" t="s">
        <v>388</v>
      </c>
      <c r="E513" s="3" t="s">
        <v>398</v>
      </c>
      <c r="F513" s="16" t="n">
        <v>36</v>
      </c>
      <c r="G513" s="15" t="n">
        <v>0.25</v>
      </c>
      <c r="H513" s="16" t="n">
        <v>35</v>
      </c>
      <c r="I513" s="33" t="n">
        <v>68520.72</v>
      </c>
      <c r="J513" s="33" t="n">
        <v>91360.92</v>
      </c>
    </row>
    <row r="514" customFormat="false" ht="15" hidden="false" customHeight="false" outlineLevel="0" collapsed="false">
      <c r="A514" s="3" t="s">
        <v>904</v>
      </c>
      <c r="B514" s="3" t="s">
        <v>282</v>
      </c>
      <c r="C514" s="3" t="s">
        <v>384</v>
      </c>
      <c r="D514" s="3" t="s">
        <v>388</v>
      </c>
      <c r="E514" s="3" t="s">
        <v>398</v>
      </c>
      <c r="F514" s="16" t="n">
        <v>12</v>
      </c>
      <c r="G514" s="15" t="n">
        <v>0</v>
      </c>
      <c r="H514" s="16" t="n">
        <v>4</v>
      </c>
      <c r="I514" s="33" t="n">
        <v>68344.08</v>
      </c>
      <c r="J514" s="33" t="n">
        <v>68344.08</v>
      </c>
    </row>
    <row r="515" customFormat="false" ht="15" hidden="false" customHeight="false" outlineLevel="0" collapsed="false">
      <c r="A515" s="3" t="s">
        <v>905</v>
      </c>
      <c r="B515" s="3" t="s">
        <v>282</v>
      </c>
      <c r="C515" s="3" t="s">
        <v>387</v>
      </c>
      <c r="D515" s="3" t="s">
        <v>392</v>
      </c>
      <c r="E515" s="3" t="s">
        <v>398</v>
      </c>
      <c r="F515" s="16" t="n">
        <v>12</v>
      </c>
      <c r="G515" s="15" t="n">
        <v>0.1</v>
      </c>
      <c r="H515" s="16" t="n">
        <v>3</v>
      </c>
      <c r="I515" s="33" t="n">
        <v>68217.72</v>
      </c>
      <c r="J515" s="33" t="n">
        <v>75797.4</v>
      </c>
    </row>
    <row r="516" customFormat="false" ht="15" hidden="false" customHeight="false" outlineLevel="0" collapsed="false">
      <c r="A516" s="3" t="s">
        <v>906</v>
      </c>
      <c r="B516" s="3" t="s">
        <v>282</v>
      </c>
      <c r="C516" s="3" t="s">
        <v>380</v>
      </c>
      <c r="D516" s="3" t="s">
        <v>392</v>
      </c>
      <c r="E516" s="3" t="s">
        <v>398</v>
      </c>
      <c r="F516" s="16" t="n">
        <v>12</v>
      </c>
      <c r="G516" s="15" t="n">
        <v>0</v>
      </c>
      <c r="H516" s="16" t="n">
        <v>4</v>
      </c>
      <c r="I516" s="33" t="n">
        <v>68108.04</v>
      </c>
      <c r="J516" s="33" t="n">
        <v>68108.04</v>
      </c>
    </row>
    <row r="517" customFormat="false" ht="15" hidden="false" customHeight="false" outlineLevel="0" collapsed="false">
      <c r="A517" s="3" t="s">
        <v>907</v>
      </c>
      <c r="B517" s="3" t="s">
        <v>282</v>
      </c>
      <c r="C517" s="3" t="s">
        <v>403</v>
      </c>
      <c r="D517" s="3" t="s">
        <v>392</v>
      </c>
      <c r="E517" s="3" t="s">
        <v>385</v>
      </c>
      <c r="F517" s="16" t="n">
        <v>12</v>
      </c>
      <c r="G517" s="15" t="n">
        <v>0</v>
      </c>
      <c r="H517" s="16" t="n">
        <v>1</v>
      </c>
      <c r="I517" s="33" t="n">
        <v>67355.16</v>
      </c>
      <c r="J517" s="33" t="n">
        <v>67355.16</v>
      </c>
    </row>
    <row r="518" customFormat="false" ht="15" hidden="false" customHeight="false" outlineLevel="0" collapsed="false">
      <c r="A518" s="3" t="s">
        <v>908</v>
      </c>
      <c r="B518" s="3" t="s">
        <v>282</v>
      </c>
      <c r="C518" s="3" t="s">
        <v>387</v>
      </c>
      <c r="D518" s="3" t="s">
        <v>381</v>
      </c>
      <c r="E518" s="3" t="s">
        <v>382</v>
      </c>
      <c r="F518" s="16" t="n">
        <v>12</v>
      </c>
      <c r="G518" s="15" t="n">
        <v>0</v>
      </c>
      <c r="H518" s="16" t="n">
        <v>3</v>
      </c>
      <c r="I518" s="33" t="n">
        <v>67014.96</v>
      </c>
      <c r="J518" s="33" t="n">
        <v>67014.96</v>
      </c>
    </row>
    <row r="519" customFormat="false" ht="15" hidden="false" customHeight="false" outlineLevel="0" collapsed="false">
      <c r="A519" s="3" t="s">
        <v>909</v>
      </c>
      <c r="B519" s="3" t="s">
        <v>281</v>
      </c>
      <c r="C519" s="3" t="s">
        <v>384</v>
      </c>
      <c r="D519" s="3" t="s">
        <v>418</v>
      </c>
      <c r="E519" s="3" t="s">
        <v>385</v>
      </c>
      <c r="F519" s="16" t="n">
        <v>36</v>
      </c>
      <c r="G519" s="15" t="n">
        <v>0.15</v>
      </c>
      <c r="H519" s="16" t="n">
        <v>4</v>
      </c>
      <c r="I519" s="33" t="n">
        <v>66819</v>
      </c>
      <c r="J519" s="33" t="n">
        <v>78610.56</v>
      </c>
    </row>
    <row r="520" customFormat="false" ht="15" hidden="false" customHeight="false" outlineLevel="0" collapsed="false">
      <c r="A520" s="3" t="s">
        <v>910</v>
      </c>
      <c r="B520" s="3" t="s">
        <v>282</v>
      </c>
      <c r="C520" s="3" t="s">
        <v>401</v>
      </c>
      <c r="D520" s="3" t="s">
        <v>381</v>
      </c>
      <c r="E520" s="3" t="s">
        <v>398</v>
      </c>
      <c r="F520" s="16" t="n">
        <v>12</v>
      </c>
      <c r="G520" s="15" t="n">
        <v>0</v>
      </c>
      <c r="H520" s="16" t="n">
        <v>7</v>
      </c>
      <c r="I520" s="33" t="n">
        <v>66603.48</v>
      </c>
      <c r="J520" s="33" t="n">
        <v>66603.48</v>
      </c>
    </row>
    <row r="521" customFormat="false" ht="15" hidden="false" customHeight="false" outlineLevel="0" collapsed="false">
      <c r="A521" s="3" t="s">
        <v>911</v>
      </c>
      <c r="B521" s="3" t="s">
        <v>282</v>
      </c>
      <c r="C521" s="3" t="s">
        <v>403</v>
      </c>
      <c r="D521" s="3" t="s">
        <v>381</v>
      </c>
      <c r="E521" s="3" t="s">
        <v>385</v>
      </c>
      <c r="F521" s="16" t="n">
        <v>24</v>
      </c>
      <c r="G521" s="15" t="n">
        <v>0</v>
      </c>
      <c r="H521" s="16" t="n">
        <v>9</v>
      </c>
      <c r="I521" s="33" t="n">
        <v>66523.92</v>
      </c>
      <c r="J521" s="33" t="n">
        <v>66523.92</v>
      </c>
    </row>
    <row r="522" customFormat="false" ht="15" hidden="false" customHeight="false" outlineLevel="0" collapsed="false">
      <c r="A522" s="3" t="s">
        <v>912</v>
      </c>
      <c r="B522" s="3" t="s">
        <v>282</v>
      </c>
      <c r="C522" s="3" t="s">
        <v>396</v>
      </c>
      <c r="D522" s="3" t="s">
        <v>388</v>
      </c>
      <c r="E522" s="3" t="s">
        <v>398</v>
      </c>
      <c r="F522" s="16" t="n">
        <v>12</v>
      </c>
      <c r="G522" s="15" t="n">
        <v>0</v>
      </c>
      <c r="H522" s="16" t="n">
        <v>12</v>
      </c>
      <c r="I522" s="33" t="n">
        <v>66522.6</v>
      </c>
      <c r="J522" s="33" t="n">
        <v>66522.6</v>
      </c>
    </row>
    <row r="523" customFormat="false" ht="15" hidden="false" customHeight="false" outlineLevel="0" collapsed="false">
      <c r="A523" s="3" t="s">
        <v>913</v>
      </c>
      <c r="B523" s="3" t="s">
        <v>281</v>
      </c>
      <c r="C523" s="3" t="s">
        <v>405</v>
      </c>
      <c r="D523" s="3" t="s">
        <v>418</v>
      </c>
      <c r="E523" s="3" t="s">
        <v>385</v>
      </c>
      <c r="F523" s="16" t="n">
        <v>12</v>
      </c>
      <c r="G523" s="15" t="n">
        <v>0.15</v>
      </c>
      <c r="H523" s="16" t="n">
        <v>10</v>
      </c>
      <c r="I523" s="33" t="n">
        <v>66449.28</v>
      </c>
      <c r="J523" s="33" t="n">
        <v>78175.56</v>
      </c>
    </row>
    <row r="524" customFormat="false" ht="15" hidden="false" customHeight="false" outlineLevel="0" collapsed="false">
      <c r="A524" s="3" t="s">
        <v>914</v>
      </c>
      <c r="B524" s="3" t="s">
        <v>281</v>
      </c>
      <c r="C524" s="3" t="s">
        <v>403</v>
      </c>
      <c r="D524" s="3" t="s">
        <v>381</v>
      </c>
      <c r="E524" s="3" t="s">
        <v>382</v>
      </c>
      <c r="F524" s="16" t="n">
        <v>36</v>
      </c>
      <c r="G524" s="15" t="n">
        <v>0.3</v>
      </c>
      <c r="H524" s="16" t="n">
        <v>30</v>
      </c>
      <c r="I524" s="33" t="n">
        <v>66254.52</v>
      </c>
      <c r="J524" s="33" t="n">
        <v>94649.28</v>
      </c>
    </row>
    <row r="525" customFormat="false" ht="15" hidden="false" customHeight="false" outlineLevel="0" collapsed="false">
      <c r="A525" s="3" t="s">
        <v>915</v>
      </c>
      <c r="B525" s="3" t="s">
        <v>282</v>
      </c>
      <c r="C525" s="3" t="s">
        <v>403</v>
      </c>
      <c r="D525" s="3" t="s">
        <v>418</v>
      </c>
      <c r="E525" s="3" t="s">
        <v>382</v>
      </c>
      <c r="F525" s="16" t="n">
        <v>12</v>
      </c>
      <c r="G525" s="15" t="n">
        <v>0</v>
      </c>
      <c r="H525" s="16" t="n">
        <v>9</v>
      </c>
      <c r="I525" s="33" t="n">
        <v>66175.92</v>
      </c>
      <c r="J525" s="33" t="n">
        <v>66175.92</v>
      </c>
    </row>
    <row r="526" customFormat="false" ht="15" hidden="false" customHeight="false" outlineLevel="0" collapsed="false">
      <c r="A526" s="3" t="s">
        <v>916</v>
      </c>
      <c r="B526" s="3" t="s">
        <v>282</v>
      </c>
      <c r="C526" s="3" t="s">
        <v>396</v>
      </c>
      <c r="D526" s="3" t="s">
        <v>392</v>
      </c>
      <c r="E526" s="3" t="s">
        <v>385</v>
      </c>
      <c r="F526" s="16" t="n">
        <v>12</v>
      </c>
      <c r="G526" s="15" t="n">
        <v>0</v>
      </c>
      <c r="H526" s="16" t="n">
        <v>11</v>
      </c>
      <c r="I526" s="33" t="n">
        <v>66152.4</v>
      </c>
      <c r="J526" s="33" t="n">
        <v>66152.4</v>
      </c>
    </row>
    <row r="527" customFormat="false" ht="15" hidden="false" customHeight="false" outlineLevel="0" collapsed="false">
      <c r="A527" s="3" t="s">
        <v>917</v>
      </c>
      <c r="B527" s="3" t="s">
        <v>282</v>
      </c>
      <c r="C527" s="3" t="s">
        <v>384</v>
      </c>
      <c r="D527" s="3" t="s">
        <v>381</v>
      </c>
      <c r="E527" s="3" t="s">
        <v>385</v>
      </c>
      <c r="F527" s="16" t="n">
        <v>12</v>
      </c>
      <c r="G527" s="15" t="n">
        <v>0</v>
      </c>
      <c r="H527" s="16" t="n">
        <v>4</v>
      </c>
      <c r="I527" s="33" t="n">
        <v>66084.36</v>
      </c>
      <c r="J527" s="33" t="n">
        <v>66084.36</v>
      </c>
    </row>
    <row r="528" customFormat="false" ht="15" hidden="false" customHeight="false" outlineLevel="0" collapsed="false">
      <c r="A528" s="3" t="s">
        <v>918</v>
      </c>
      <c r="B528" s="3" t="s">
        <v>282</v>
      </c>
      <c r="C528" s="3" t="s">
        <v>405</v>
      </c>
      <c r="D528" s="3" t="s">
        <v>388</v>
      </c>
      <c r="E528" s="3" t="s">
        <v>398</v>
      </c>
      <c r="F528" s="16" t="n">
        <v>24</v>
      </c>
      <c r="G528" s="15" t="n">
        <v>0</v>
      </c>
      <c r="H528" s="16" t="n">
        <v>20</v>
      </c>
      <c r="I528" s="33" t="n">
        <v>65999.28</v>
      </c>
      <c r="J528" s="33" t="n">
        <v>65999.28</v>
      </c>
    </row>
    <row r="529" customFormat="false" ht="15" hidden="false" customHeight="false" outlineLevel="0" collapsed="false">
      <c r="A529" s="3" t="s">
        <v>919</v>
      </c>
      <c r="B529" s="3" t="s">
        <v>282</v>
      </c>
      <c r="C529" s="3" t="s">
        <v>387</v>
      </c>
      <c r="D529" s="3" t="s">
        <v>392</v>
      </c>
      <c r="E529" s="3" t="s">
        <v>382</v>
      </c>
      <c r="F529" s="16" t="n">
        <v>12</v>
      </c>
      <c r="G529" s="15" t="n">
        <v>0</v>
      </c>
      <c r="H529" s="16" t="n">
        <v>2</v>
      </c>
      <c r="I529" s="33" t="n">
        <v>65882.4</v>
      </c>
      <c r="J529" s="33" t="n">
        <v>65882.4</v>
      </c>
    </row>
    <row r="530" customFormat="false" ht="15" hidden="false" customHeight="false" outlineLevel="0" collapsed="false">
      <c r="A530" s="3" t="s">
        <v>920</v>
      </c>
      <c r="B530" s="3" t="s">
        <v>282</v>
      </c>
      <c r="C530" s="3" t="s">
        <v>387</v>
      </c>
      <c r="D530" s="3" t="s">
        <v>388</v>
      </c>
      <c r="E530" s="3" t="s">
        <v>385</v>
      </c>
      <c r="F530" s="16" t="n">
        <v>12</v>
      </c>
      <c r="G530" s="15" t="n">
        <v>0</v>
      </c>
      <c r="H530" s="16" t="n">
        <v>1</v>
      </c>
      <c r="I530" s="33" t="n">
        <v>65835.48</v>
      </c>
      <c r="J530" s="33" t="n">
        <v>65835.48</v>
      </c>
    </row>
    <row r="531" customFormat="false" ht="15" hidden="false" customHeight="false" outlineLevel="0" collapsed="false">
      <c r="A531" s="3" t="s">
        <v>921</v>
      </c>
      <c r="B531" s="3" t="s">
        <v>282</v>
      </c>
      <c r="C531" s="3" t="s">
        <v>401</v>
      </c>
      <c r="D531" s="3" t="s">
        <v>392</v>
      </c>
      <c r="E531" s="3" t="s">
        <v>385</v>
      </c>
      <c r="F531" s="16" t="n">
        <v>12</v>
      </c>
      <c r="G531" s="15" t="n">
        <v>0</v>
      </c>
      <c r="H531" s="16" t="n">
        <v>3</v>
      </c>
      <c r="I531" s="33" t="n">
        <v>65716.2</v>
      </c>
      <c r="J531" s="33" t="n">
        <v>65716.2</v>
      </c>
    </row>
    <row r="532" customFormat="false" ht="15" hidden="false" customHeight="false" outlineLevel="0" collapsed="false">
      <c r="A532" s="3" t="s">
        <v>922</v>
      </c>
      <c r="B532" s="3" t="s">
        <v>282</v>
      </c>
      <c r="C532" s="3" t="s">
        <v>380</v>
      </c>
      <c r="D532" s="3" t="s">
        <v>381</v>
      </c>
      <c r="E532" s="3" t="s">
        <v>382</v>
      </c>
      <c r="F532" s="16" t="n">
        <v>12</v>
      </c>
      <c r="G532" s="15" t="n">
        <v>0</v>
      </c>
      <c r="H532" s="16" t="n">
        <v>7</v>
      </c>
      <c r="I532" s="33" t="n">
        <v>65388</v>
      </c>
      <c r="J532" s="33" t="n">
        <v>65388</v>
      </c>
    </row>
    <row r="533" customFormat="false" ht="15" hidden="false" customHeight="false" outlineLevel="0" collapsed="false">
      <c r="A533" s="3" t="s">
        <v>923</v>
      </c>
      <c r="B533" s="3" t="s">
        <v>282</v>
      </c>
      <c r="C533" s="3" t="s">
        <v>380</v>
      </c>
      <c r="D533" s="3" t="s">
        <v>381</v>
      </c>
      <c r="E533" s="3" t="s">
        <v>398</v>
      </c>
      <c r="F533" s="16" t="n">
        <v>12</v>
      </c>
      <c r="G533" s="15" t="n">
        <v>0</v>
      </c>
      <c r="H533" s="16" t="n">
        <v>5</v>
      </c>
      <c r="I533" s="33" t="n">
        <v>65203.2</v>
      </c>
      <c r="J533" s="33" t="n">
        <v>65203.2</v>
      </c>
    </row>
    <row r="534" customFormat="false" ht="15" hidden="false" customHeight="false" outlineLevel="0" collapsed="false">
      <c r="A534" s="3" t="s">
        <v>924</v>
      </c>
      <c r="B534" s="3" t="s">
        <v>282</v>
      </c>
      <c r="C534" s="3" t="s">
        <v>396</v>
      </c>
      <c r="D534" s="3" t="s">
        <v>388</v>
      </c>
      <c r="E534" s="3" t="s">
        <v>398</v>
      </c>
      <c r="F534" s="16" t="n">
        <v>12</v>
      </c>
      <c r="G534" s="15" t="n">
        <v>0</v>
      </c>
      <c r="H534" s="16" t="n">
        <v>11</v>
      </c>
      <c r="I534" s="33" t="n">
        <v>65024.76</v>
      </c>
      <c r="J534" s="33" t="n">
        <v>65024.76</v>
      </c>
    </row>
    <row r="535" customFormat="false" ht="15" hidden="false" customHeight="false" outlineLevel="0" collapsed="false">
      <c r="A535" s="3" t="s">
        <v>925</v>
      </c>
      <c r="B535" s="3" t="s">
        <v>282</v>
      </c>
      <c r="C535" s="3" t="s">
        <v>405</v>
      </c>
      <c r="D535" s="3" t="s">
        <v>392</v>
      </c>
      <c r="E535" s="3" t="s">
        <v>385</v>
      </c>
      <c r="F535" s="16" t="n">
        <v>12</v>
      </c>
      <c r="G535" s="15" t="n">
        <v>0</v>
      </c>
      <c r="H535" s="16" t="n">
        <v>8</v>
      </c>
      <c r="I535" s="33" t="n">
        <v>64904.4</v>
      </c>
      <c r="J535" s="33" t="n">
        <v>64904.4</v>
      </c>
    </row>
    <row r="536" customFormat="false" ht="15" hidden="false" customHeight="false" outlineLevel="0" collapsed="false">
      <c r="A536" s="3" t="s">
        <v>926</v>
      </c>
      <c r="B536" s="3" t="s">
        <v>282</v>
      </c>
      <c r="C536" s="3" t="s">
        <v>387</v>
      </c>
      <c r="D536" s="3" t="s">
        <v>392</v>
      </c>
      <c r="E536" s="3" t="s">
        <v>398</v>
      </c>
      <c r="F536" s="16" t="n">
        <v>12</v>
      </c>
      <c r="G536" s="15" t="n">
        <v>0.3</v>
      </c>
      <c r="H536" s="16" t="n">
        <v>9</v>
      </c>
      <c r="I536" s="33" t="n">
        <v>64649.88</v>
      </c>
      <c r="J536" s="33" t="n">
        <v>92356.92</v>
      </c>
    </row>
    <row r="537" customFormat="false" ht="15" hidden="false" customHeight="false" outlineLevel="0" collapsed="false">
      <c r="A537" s="3" t="s">
        <v>927</v>
      </c>
      <c r="B537" s="3" t="s">
        <v>282</v>
      </c>
      <c r="C537" s="3" t="s">
        <v>403</v>
      </c>
      <c r="D537" s="3" t="s">
        <v>388</v>
      </c>
      <c r="E537" s="3" t="s">
        <v>385</v>
      </c>
      <c r="F537" s="16" t="n">
        <v>24</v>
      </c>
      <c r="G537" s="15" t="n">
        <v>0</v>
      </c>
      <c r="H537" s="16" t="n">
        <v>16</v>
      </c>
      <c r="I537" s="33" t="n">
        <v>64649.76</v>
      </c>
      <c r="J537" s="33" t="n">
        <v>64649.76</v>
      </c>
    </row>
    <row r="538" customFormat="false" ht="15" hidden="false" customHeight="false" outlineLevel="0" collapsed="false">
      <c r="A538" s="3" t="s">
        <v>928</v>
      </c>
      <c r="B538" s="3" t="s">
        <v>282</v>
      </c>
      <c r="C538" s="3" t="s">
        <v>401</v>
      </c>
      <c r="D538" s="3" t="s">
        <v>381</v>
      </c>
      <c r="E538" s="3" t="s">
        <v>385</v>
      </c>
      <c r="F538" s="16" t="n">
        <v>24</v>
      </c>
      <c r="G538" s="15" t="n">
        <v>0</v>
      </c>
      <c r="H538" s="16" t="n">
        <v>23</v>
      </c>
      <c r="I538" s="33" t="n">
        <v>64432.32</v>
      </c>
      <c r="J538" s="33" t="n">
        <v>64432.32</v>
      </c>
    </row>
    <row r="539" customFormat="false" ht="15" hidden="false" customHeight="false" outlineLevel="0" collapsed="false">
      <c r="A539" s="3" t="s">
        <v>929</v>
      </c>
      <c r="B539" s="3" t="s">
        <v>282</v>
      </c>
      <c r="C539" s="3" t="s">
        <v>405</v>
      </c>
      <c r="D539" s="3" t="s">
        <v>392</v>
      </c>
      <c r="E539" s="3" t="s">
        <v>382</v>
      </c>
      <c r="F539" s="16" t="n">
        <v>12</v>
      </c>
      <c r="G539" s="15" t="n">
        <v>0</v>
      </c>
      <c r="H539" s="16" t="n">
        <v>7</v>
      </c>
      <c r="I539" s="33" t="n">
        <v>64413.6</v>
      </c>
      <c r="J539" s="33" t="n">
        <v>64413.6</v>
      </c>
    </row>
    <row r="540" customFormat="false" ht="15" hidden="false" customHeight="false" outlineLevel="0" collapsed="false">
      <c r="A540" s="3" t="s">
        <v>930</v>
      </c>
      <c r="B540" s="3" t="s">
        <v>282</v>
      </c>
      <c r="C540" s="3" t="s">
        <v>405</v>
      </c>
      <c r="D540" s="3" t="s">
        <v>388</v>
      </c>
      <c r="E540" s="3" t="s">
        <v>385</v>
      </c>
      <c r="F540" s="16" t="n">
        <v>12</v>
      </c>
      <c r="G540" s="15" t="n">
        <v>0</v>
      </c>
      <c r="H540" s="16" t="n">
        <v>4</v>
      </c>
      <c r="I540" s="33" t="n">
        <v>64364.4</v>
      </c>
      <c r="J540" s="33" t="n">
        <v>64364.4</v>
      </c>
    </row>
    <row r="541" customFormat="false" ht="15" hidden="false" customHeight="false" outlineLevel="0" collapsed="false">
      <c r="A541" s="3" t="s">
        <v>931</v>
      </c>
      <c r="B541" s="3" t="s">
        <v>282</v>
      </c>
      <c r="C541" s="3" t="s">
        <v>403</v>
      </c>
      <c r="D541" s="3" t="s">
        <v>392</v>
      </c>
      <c r="E541" s="3" t="s">
        <v>385</v>
      </c>
      <c r="F541" s="16" t="n">
        <v>24</v>
      </c>
      <c r="G541" s="15" t="n">
        <v>0</v>
      </c>
      <c r="H541" s="16" t="n">
        <v>4</v>
      </c>
      <c r="I541" s="33" t="n">
        <v>64292.04</v>
      </c>
      <c r="J541" s="33" t="n">
        <v>64292.04</v>
      </c>
    </row>
    <row r="542" customFormat="false" ht="15" hidden="false" customHeight="false" outlineLevel="0" collapsed="false">
      <c r="A542" s="3" t="s">
        <v>932</v>
      </c>
      <c r="B542" s="3" t="s">
        <v>281</v>
      </c>
      <c r="C542" s="3" t="s">
        <v>401</v>
      </c>
      <c r="D542" s="3" t="s">
        <v>381</v>
      </c>
      <c r="E542" s="3" t="s">
        <v>398</v>
      </c>
      <c r="F542" s="16" t="n">
        <v>12</v>
      </c>
      <c r="G542" s="15" t="n">
        <v>0.25</v>
      </c>
      <c r="H542" s="16" t="n">
        <v>12</v>
      </c>
      <c r="I542" s="33" t="n">
        <v>64225.8</v>
      </c>
      <c r="J542" s="33" t="n">
        <v>85634.4</v>
      </c>
    </row>
    <row r="543" customFormat="false" ht="15" hidden="false" customHeight="false" outlineLevel="0" collapsed="false">
      <c r="A543" s="3" t="s">
        <v>933</v>
      </c>
      <c r="B543" s="3" t="s">
        <v>282</v>
      </c>
      <c r="C543" s="3" t="s">
        <v>401</v>
      </c>
      <c r="D543" s="3" t="s">
        <v>381</v>
      </c>
      <c r="E543" s="3" t="s">
        <v>398</v>
      </c>
      <c r="F543" s="16" t="n">
        <v>24</v>
      </c>
      <c r="G543" s="15" t="n">
        <v>0.25</v>
      </c>
      <c r="H543" s="16" t="n">
        <v>23</v>
      </c>
      <c r="I543" s="33" t="n">
        <v>64144.32</v>
      </c>
      <c r="J543" s="33" t="n">
        <v>85525.8</v>
      </c>
    </row>
    <row r="544" customFormat="false" ht="15" hidden="false" customHeight="false" outlineLevel="0" collapsed="false">
      <c r="A544" s="3" t="s">
        <v>934</v>
      </c>
      <c r="B544" s="3" t="s">
        <v>282</v>
      </c>
      <c r="C544" s="3" t="s">
        <v>401</v>
      </c>
      <c r="D544" s="3" t="s">
        <v>418</v>
      </c>
      <c r="E544" s="3" t="s">
        <v>398</v>
      </c>
      <c r="F544" s="16" t="n">
        <v>24</v>
      </c>
      <c r="G544" s="15" t="n">
        <v>0</v>
      </c>
      <c r="H544" s="16" t="n">
        <v>19</v>
      </c>
      <c r="I544" s="33" t="n">
        <v>63983.28</v>
      </c>
      <c r="J544" s="33" t="n">
        <v>63983.28</v>
      </c>
    </row>
    <row r="545" customFormat="false" ht="15" hidden="false" customHeight="false" outlineLevel="0" collapsed="false">
      <c r="A545" s="3" t="s">
        <v>935</v>
      </c>
      <c r="B545" s="3" t="s">
        <v>282</v>
      </c>
      <c r="C545" s="3" t="s">
        <v>396</v>
      </c>
      <c r="D545" s="3" t="s">
        <v>381</v>
      </c>
      <c r="E545" s="3" t="s">
        <v>382</v>
      </c>
      <c r="F545" s="16" t="n">
        <v>12</v>
      </c>
      <c r="G545" s="15" t="n">
        <v>0</v>
      </c>
      <c r="H545" s="16" t="n">
        <v>7</v>
      </c>
      <c r="I545" s="33" t="n">
        <v>63825.24</v>
      </c>
      <c r="J545" s="33" t="n">
        <v>63825.24</v>
      </c>
    </row>
    <row r="546" customFormat="false" ht="15" hidden="false" customHeight="false" outlineLevel="0" collapsed="false">
      <c r="A546" s="3" t="s">
        <v>936</v>
      </c>
      <c r="B546" s="3" t="s">
        <v>281</v>
      </c>
      <c r="C546" s="3" t="s">
        <v>380</v>
      </c>
      <c r="D546" s="3" t="s">
        <v>388</v>
      </c>
      <c r="E546" s="3" t="s">
        <v>398</v>
      </c>
      <c r="F546" s="16" t="n">
        <v>12</v>
      </c>
      <c r="G546" s="15" t="n">
        <v>0.3</v>
      </c>
      <c r="H546" s="16" t="n">
        <v>2</v>
      </c>
      <c r="I546" s="33" t="n">
        <v>63732.84</v>
      </c>
      <c r="J546" s="33" t="n">
        <v>91046.88</v>
      </c>
    </row>
    <row r="547" customFormat="false" ht="15" hidden="false" customHeight="false" outlineLevel="0" collapsed="false">
      <c r="A547" s="3" t="s">
        <v>937</v>
      </c>
      <c r="B547" s="3" t="s">
        <v>281</v>
      </c>
      <c r="C547" s="3" t="s">
        <v>401</v>
      </c>
      <c r="D547" s="3" t="s">
        <v>392</v>
      </c>
      <c r="E547" s="3" t="s">
        <v>382</v>
      </c>
      <c r="F547" s="16" t="n">
        <v>12</v>
      </c>
      <c r="G547" s="15" t="n">
        <v>0.15</v>
      </c>
      <c r="H547" s="16" t="n">
        <v>11</v>
      </c>
      <c r="I547" s="33" t="n">
        <v>63697.44</v>
      </c>
      <c r="J547" s="33" t="n">
        <v>74938.2</v>
      </c>
    </row>
    <row r="548" customFormat="false" ht="15" hidden="false" customHeight="false" outlineLevel="0" collapsed="false">
      <c r="A548" s="3" t="s">
        <v>938</v>
      </c>
      <c r="B548" s="3" t="s">
        <v>282</v>
      </c>
      <c r="C548" s="3" t="s">
        <v>387</v>
      </c>
      <c r="D548" s="3" t="s">
        <v>418</v>
      </c>
      <c r="E548" s="3" t="s">
        <v>398</v>
      </c>
      <c r="F548" s="16" t="n">
        <v>12</v>
      </c>
      <c r="G548" s="15" t="n">
        <v>0</v>
      </c>
      <c r="H548" s="16" t="n">
        <v>8</v>
      </c>
      <c r="I548" s="33" t="n">
        <v>63691.8</v>
      </c>
      <c r="J548" s="33" t="n">
        <v>63691.8</v>
      </c>
    </row>
    <row r="549" customFormat="false" ht="15" hidden="false" customHeight="false" outlineLevel="0" collapsed="false">
      <c r="A549" s="3" t="s">
        <v>939</v>
      </c>
      <c r="B549" s="3" t="s">
        <v>282</v>
      </c>
      <c r="C549" s="3" t="s">
        <v>380</v>
      </c>
      <c r="D549" s="3" t="s">
        <v>392</v>
      </c>
      <c r="E549" s="3" t="s">
        <v>385</v>
      </c>
      <c r="F549" s="16" t="n">
        <v>12</v>
      </c>
      <c r="G549" s="15" t="n">
        <v>0.05</v>
      </c>
      <c r="H549" s="16" t="n">
        <v>7</v>
      </c>
      <c r="I549" s="33" t="n">
        <v>63372</v>
      </c>
      <c r="J549" s="33" t="n">
        <v>66707.4</v>
      </c>
    </row>
    <row r="550" customFormat="false" ht="15" hidden="false" customHeight="false" outlineLevel="0" collapsed="false">
      <c r="A550" s="3" t="s">
        <v>940</v>
      </c>
      <c r="B550" s="3" t="s">
        <v>282</v>
      </c>
      <c r="C550" s="3" t="s">
        <v>396</v>
      </c>
      <c r="D550" s="3" t="s">
        <v>388</v>
      </c>
      <c r="E550" s="3" t="s">
        <v>385</v>
      </c>
      <c r="F550" s="16" t="n">
        <v>12</v>
      </c>
      <c r="G550" s="15" t="n">
        <v>0</v>
      </c>
      <c r="H550" s="16" t="n">
        <v>3</v>
      </c>
      <c r="I550" s="33" t="n">
        <v>63182.52</v>
      </c>
      <c r="J550" s="33" t="n">
        <v>63182.52</v>
      </c>
    </row>
    <row r="551" customFormat="false" ht="15" hidden="false" customHeight="false" outlineLevel="0" collapsed="false">
      <c r="A551" s="3" t="s">
        <v>941</v>
      </c>
      <c r="B551" s="3" t="s">
        <v>282</v>
      </c>
      <c r="C551" s="3" t="s">
        <v>384</v>
      </c>
      <c r="D551" s="3" t="s">
        <v>392</v>
      </c>
      <c r="E551" s="3" t="s">
        <v>382</v>
      </c>
      <c r="F551" s="16" t="n">
        <v>24</v>
      </c>
      <c r="G551" s="15" t="n">
        <v>0.2</v>
      </c>
      <c r="H551" s="16" t="n">
        <v>9</v>
      </c>
      <c r="I551" s="33" t="n">
        <v>63108.84</v>
      </c>
      <c r="J551" s="33" t="n">
        <v>78886.08</v>
      </c>
    </row>
    <row r="552" customFormat="false" ht="15" hidden="false" customHeight="false" outlineLevel="0" collapsed="false">
      <c r="A552" s="3" t="s">
        <v>942</v>
      </c>
      <c r="B552" s="3" t="s">
        <v>282</v>
      </c>
      <c r="C552" s="3" t="s">
        <v>396</v>
      </c>
      <c r="D552" s="3" t="s">
        <v>392</v>
      </c>
      <c r="E552" s="3" t="s">
        <v>385</v>
      </c>
      <c r="F552" s="16" t="n">
        <v>24</v>
      </c>
      <c r="G552" s="15" t="n">
        <v>0</v>
      </c>
      <c r="H552" s="16" t="n">
        <v>16</v>
      </c>
      <c r="I552" s="33" t="n">
        <v>63026.88</v>
      </c>
      <c r="J552" s="33" t="n">
        <v>63026.88</v>
      </c>
    </row>
    <row r="553" customFormat="false" ht="15" hidden="false" customHeight="false" outlineLevel="0" collapsed="false">
      <c r="A553" s="3" t="s">
        <v>943</v>
      </c>
      <c r="B553" s="3" t="s">
        <v>282</v>
      </c>
      <c r="C553" s="3" t="s">
        <v>401</v>
      </c>
      <c r="D553" s="3" t="s">
        <v>692</v>
      </c>
      <c r="E553" s="3" t="s">
        <v>385</v>
      </c>
      <c r="F553" s="16" t="n">
        <v>12</v>
      </c>
      <c r="G553" s="15" t="n">
        <v>0</v>
      </c>
      <c r="H553" s="16" t="n">
        <v>6</v>
      </c>
      <c r="I553" s="33" t="n">
        <v>62907.48</v>
      </c>
      <c r="J553" s="33" t="n">
        <v>62907.48</v>
      </c>
    </row>
    <row r="554" customFormat="false" ht="15" hidden="false" customHeight="false" outlineLevel="0" collapsed="false">
      <c r="A554" s="3" t="s">
        <v>944</v>
      </c>
      <c r="B554" s="3" t="s">
        <v>282</v>
      </c>
      <c r="C554" s="3" t="s">
        <v>384</v>
      </c>
      <c r="D554" s="3" t="s">
        <v>392</v>
      </c>
      <c r="E554" s="3" t="s">
        <v>398</v>
      </c>
      <c r="F554" s="16" t="n">
        <v>12</v>
      </c>
      <c r="G554" s="15" t="n">
        <v>0</v>
      </c>
      <c r="H554" s="16" t="n">
        <v>1</v>
      </c>
      <c r="I554" s="33" t="n">
        <v>62527.92</v>
      </c>
      <c r="J554" s="33" t="n">
        <v>62527.92</v>
      </c>
    </row>
    <row r="555" customFormat="false" ht="15" hidden="false" customHeight="false" outlineLevel="0" collapsed="false">
      <c r="A555" s="3" t="s">
        <v>945</v>
      </c>
      <c r="B555" s="3" t="s">
        <v>281</v>
      </c>
      <c r="C555" s="3" t="s">
        <v>401</v>
      </c>
      <c r="D555" s="3" t="s">
        <v>381</v>
      </c>
      <c r="E555" s="3" t="s">
        <v>385</v>
      </c>
      <c r="F555" s="16" t="n">
        <v>36</v>
      </c>
      <c r="G555" s="15" t="n">
        <v>0.2</v>
      </c>
      <c r="H555" s="16" t="n">
        <v>21</v>
      </c>
      <c r="I555" s="33" t="n">
        <v>62270.16</v>
      </c>
      <c r="J555" s="33" t="n">
        <v>77837.76</v>
      </c>
    </row>
    <row r="556" customFormat="false" ht="15" hidden="false" customHeight="false" outlineLevel="0" collapsed="false">
      <c r="A556" s="3" t="s">
        <v>946</v>
      </c>
      <c r="B556" s="3" t="s">
        <v>282</v>
      </c>
      <c r="C556" s="3" t="s">
        <v>384</v>
      </c>
      <c r="D556" s="3" t="s">
        <v>418</v>
      </c>
      <c r="E556" s="3" t="s">
        <v>385</v>
      </c>
      <c r="F556" s="16" t="n">
        <v>12</v>
      </c>
      <c r="G556" s="15" t="n">
        <v>0.15</v>
      </c>
      <c r="H556" s="16" t="n">
        <v>7</v>
      </c>
      <c r="I556" s="33" t="n">
        <v>62253.24</v>
      </c>
      <c r="J556" s="33" t="n">
        <v>73239.12</v>
      </c>
    </row>
    <row r="557" customFormat="false" ht="15" hidden="false" customHeight="false" outlineLevel="0" collapsed="false">
      <c r="A557" s="3" t="s">
        <v>947</v>
      </c>
      <c r="B557" s="3" t="s">
        <v>282</v>
      </c>
      <c r="C557" s="3" t="s">
        <v>403</v>
      </c>
      <c r="D557" s="3" t="s">
        <v>381</v>
      </c>
      <c r="E557" s="3" t="s">
        <v>385</v>
      </c>
      <c r="F557" s="16" t="n">
        <v>12</v>
      </c>
      <c r="G557" s="15" t="n">
        <v>0</v>
      </c>
      <c r="H557" s="16" t="n">
        <v>7</v>
      </c>
      <c r="I557" s="33" t="n">
        <v>62030.64</v>
      </c>
      <c r="J557" s="33" t="n">
        <v>62030.64</v>
      </c>
    </row>
    <row r="558" customFormat="false" ht="15" hidden="false" customHeight="false" outlineLevel="0" collapsed="false">
      <c r="A558" s="3" t="s">
        <v>948</v>
      </c>
      <c r="B558" s="3" t="s">
        <v>282</v>
      </c>
      <c r="C558" s="3" t="s">
        <v>387</v>
      </c>
      <c r="D558" s="3" t="s">
        <v>418</v>
      </c>
      <c r="E558" s="3" t="s">
        <v>382</v>
      </c>
      <c r="F558" s="16" t="n">
        <v>12</v>
      </c>
      <c r="G558" s="15" t="n">
        <v>0</v>
      </c>
      <c r="H558" s="16" t="n">
        <v>7</v>
      </c>
      <c r="I558" s="33" t="n">
        <v>62013.36</v>
      </c>
      <c r="J558" s="33" t="n">
        <v>62013.36</v>
      </c>
    </row>
    <row r="559" customFormat="false" ht="15" hidden="false" customHeight="false" outlineLevel="0" collapsed="false">
      <c r="A559" s="3" t="s">
        <v>949</v>
      </c>
      <c r="B559" s="3" t="s">
        <v>282</v>
      </c>
      <c r="C559" s="3" t="s">
        <v>384</v>
      </c>
      <c r="D559" s="3" t="s">
        <v>392</v>
      </c>
      <c r="E559" s="3" t="s">
        <v>398</v>
      </c>
      <c r="F559" s="16" t="n">
        <v>24</v>
      </c>
      <c r="G559" s="15" t="n">
        <v>0</v>
      </c>
      <c r="H559" s="16" t="n">
        <v>1</v>
      </c>
      <c r="I559" s="33" t="n">
        <v>62011.08</v>
      </c>
      <c r="J559" s="33" t="n">
        <v>62011.08</v>
      </c>
    </row>
    <row r="560" customFormat="false" ht="15" hidden="false" customHeight="false" outlineLevel="0" collapsed="false">
      <c r="A560" s="3" t="s">
        <v>950</v>
      </c>
      <c r="B560" s="3" t="s">
        <v>282</v>
      </c>
      <c r="C560" s="3" t="s">
        <v>396</v>
      </c>
      <c r="D560" s="3" t="s">
        <v>381</v>
      </c>
      <c r="E560" s="3" t="s">
        <v>398</v>
      </c>
      <c r="F560" s="16" t="n">
        <v>24</v>
      </c>
      <c r="G560" s="15" t="n">
        <v>0</v>
      </c>
      <c r="H560" s="16" t="n">
        <v>17</v>
      </c>
      <c r="I560" s="33" t="n">
        <v>62007</v>
      </c>
      <c r="J560" s="33" t="n">
        <v>62007</v>
      </c>
    </row>
    <row r="561" customFormat="false" ht="15" hidden="false" customHeight="false" outlineLevel="0" collapsed="false">
      <c r="A561" s="3" t="s">
        <v>951</v>
      </c>
      <c r="B561" s="3" t="s">
        <v>282</v>
      </c>
      <c r="C561" s="3" t="s">
        <v>384</v>
      </c>
      <c r="D561" s="3" t="s">
        <v>418</v>
      </c>
      <c r="E561" s="3" t="s">
        <v>398</v>
      </c>
      <c r="F561" s="16" t="n">
        <v>12</v>
      </c>
      <c r="G561" s="15" t="n">
        <v>0</v>
      </c>
      <c r="H561" s="16" t="n">
        <v>10</v>
      </c>
      <c r="I561" s="33" t="n">
        <v>61873.56</v>
      </c>
      <c r="J561" s="33" t="n">
        <v>61873.56</v>
      </c>
    </row>
    <row r="562" customFormat="false" ht="15" hidden="false" customHeight="false" outlineLevel="0" collapsed="false">
      <c r="A562" s="3" t="s">
        <v>952</v>
      </c>
      <c r="B562" s="3" t="s">
        <v>282</v>
      </c>
      <c r="C562" s="3" t="s">
        <v>384</v>
      </c>
      <c r="D562" s="3" t="s">
        <v>418</v>
      </c>
      <c r="E562" s="3" t="s">
        <v>382</v>
      </c>
      <c r="F562" s="16" t="n">
        <v>12</v>
      </c>
      <c r="G562" s="15" t="n">
        <v>0</v>
      </c>
      <c r="H562" s="16" t="n">
        <v>4</v>
      </c>
      <c r="I562" s="33" t="n">
        <v>61758</v>
      </c>
      <c r="J562" s="33" t="n">
        <v>61758</v>
      </c>
    </row>
    <row r="563" customFormat="false" ht="15" hidden="false" customHeight="false" outlineLevel="0" collapsed="false">
      <c r="A563" s="3" t="s">
        <v>953</v>
      </c>
      <c r="B563" s="3" t="s">
        <v>282</v>
      </c>
      <c r="C563" s="3" t="s">
        <v>384</v>
      </c>
      <c r="D563" s="3" t="s">
        <v>388</v>
      </c>
      <c r="E563" s="3" t="s">
        <v>385</v>
      </c>
      <c r="F563" s="16" t="n">
        <v>12</v>
      </c>
      <c r="G563" s="15" t="n">
        <v>0</v>
      </c>
      <c r="H563" s="16" t="n">
        <v>5</v>
      </c>
      <c r="I563" s="33" t="n">
        <v>61734.36</v>
      </c>
      <c r="J563" s="33" t="n">
        <v>61734.36</v>
      </c>
    </row>
    <row r="564" customFormat="false" ht="15" hidden="false" customHeight="false" outlineLevel="0" collapsed="false">
      <c r="A564" s="3" t="s">
        <v>954</v>
      </c>
      <c r="B564" s="3" t="s">
        <v>282</v>
      </c>
      <c r="C564" s="3" t="s">
        <v>387</v>
      </c>
      <c r="D564" s="3" t="s">
        <v>392</v>
      </c>
      <c r="E564" s="3" t="s">
        <v>385</v>
      </c>
      <c r="F564" s="16" t="n">
        <v>24</v>
      </c>
      <c r="G564" s="15" t="n">
        <v>0</v>
      </c>
      <c r="H564" s="16" t="n">
        <v>16</v>
      </c>
      <c r="I564" s="33" t="n">
        <v>61651.44</v>
      </c>
      <c r="J564" s="33" t="n">
        <v>61651.44</v>
      </c>
    </row>
    <row r="565" customFormat="false" ht="15" hidden="false" customHeight="false" outlineLevel="0" collapsed="false">
      <c r="A565" s="3" t="s">
        <v>955</v>
      </c>
      <c r="B565" s="3" t="s">
        <v>282</v>
      </c>
      <c r="C565" s="3" t="s">
        <v>384</v>
      </c>
      <c r="D565" s="3" t="s">
        <v>392</v>
      </c>
      <c r="E565" s="3" t="s">
        <v>385</v>
      </c>
      <c r="F565" s="16" t="n">
        <v>12</v>
      </c>
      <c r="G565" s="15" t="n">
        <v>0</v>
      </c>
      <c r="H565" s="16" t="n">
        <v>10</v>
      </c>
      <c r="I565" s="33" t="n">
        <v>61558.2</v>
      </c>
      <c r="J565" s="33" t="n">
        <v>61558.2</v>
      </c>
    </row>
    <row r="566" customFormat="false" ht="15" hidden="false" customHeight="false" outlineLevel="0" collapsed="false">
      <c r="A566" s="3" t="s">
        <v>956</v>
      </c>
      <c r="B566" s="3" t="s">
        <v>282</v>
      </c>
      <c r="C566" s="3" t="s">
        <v>387</v>
      </c>
      <c r="D566" s="3" t="s">
        <v>392</v>
      </c>
      <c r="E566" s="3" t="s">
        <v>385</v>
      </c>
      <c r="F566" s="16" t="n">
        <v>12</v>
      </c>
      <c r="G566" s="15" t="n">
        <v>0</v>
      </c>
      <c r="H566" s="16" t="n">
        <v>8</v>
      </c>
      <c r="I566" s="33" t="n">
        <v>61510.68</v>
      </c>
      <c r="J566" s="33" t="n">
        <v>61510.68</v>
      </c>
    </row>
    <row r="567" customFormat="false" ht="15" hidden="false" customHeight="false" outlineLevel="0" collapsed="false">
      <c r="A567" s="3" t="s">
        <v>957</v>
      </c>
      <c r="B567" s="3" t="s">
        <v>282</v>
      </c>
      <c r="C567" s="3" t="s">
        <v>380</v>
      </c>
      <c r="D567" s="3" t="s">
        <v>388</v>
      </c>
      <c r="E567" s="3" t="s">
        <v>382</v>
      </c>
      <c r="F567" s="16" t="n">
        <v>12</v>
      </c>
      <c r="G567" s="15" t="n">
        <v>0</v>
      </c>
      <c r="H567" s="16" t="n">
        <v>5</v>
      </c>
      <c r="I567" s="33" t="n">
        <v>61329.12</v>
      </c>
      <c r="J567" s="33" t="n">
        <v>61329.12</v>
      </c>
    </row>
    <row r="568" customFormat="false" ht="15" hidden="false" customHeight="false" outlineLevel="0" collapsed="false">
      <c r="A568" s="3" t="s">
        <v>958</v>
      </c>
      <c r="B568" s="3" t="s">
        <v>282</v>
      </c>
      <c r="C568" s="3" t="s">
        <v>405</v>
      </c>
      <c r="D568" s="3" t="s">
        <v>381</v>
      </c>
      <c r="E568" s="3" t="s">
        <v>385</v>
      </c>
      <c r="F568" s="16" t="n">
        <v>24</v>
      </c>
      <c r="G568" s="15" t="n">
        <v>0</v>
      </c>
      <c r="H568" s="16" t="n">
        <v>3</v>
      </c>
      <c r="I568" s="33" t="n">
        <v>61239.6</v>
      </c>
      <c r="J568" s="33" t="n">
        <v>61239.6</v>
      </c>
    </row>
    <row r="569" customFormat="false" ht="15" hidden="false" customHeight="false" outlineLevel="0" collapsed="false">
      <c r="A569" s="3" t="s">
        <v>959</v>
      </c>
      <c r="B569" s="3" t="s">
        <v>282</v>
      </c>
      <c r="C569" s="3" t="s">
        <v>380</v>
      </c>
      <c r="D569" s="3" t="s">
        <v>381</v>
      </c>
      <c r="E569" s="3" t="s">
        <v>382</v>
      </c>
      <c r="F569" s="16" t="n">
        <v>24</v>
      </c>
      <c r="G569" s="15" t="n">
        <v>0</v>
      </c>
      <c r="H569" s="16" t="n">
        <v>1</v>
      </c>
      <c r="I569" s="33" t="n">
        <v>61140.96</v>
      </c>
      <c r="J569" s="33" t="n">
        <v>61140.96</v>
      </c>
    </row>
    <row r="570" customFormat="false" ht="15" hidden="false" customHeight="false" outlineLevel="0" collapsed="false">
      <c r="A570" s="3" t="s">
        <v>960</v>
      </c>
      <c r="B570" s="3" t="s">
        <v>282</v>
      </c>
      <c r="C570" s="3" t="s">
        <v>403</v>
      </c>
      <c r="D570" s="3" t="s">
        <v>392</v>
      </c>
      <c r="E570" s="3" t="s">
        <v>398</v>
      </c>
      <c r="F570" s="16" t="n">
        <v>24</v>
      </c>
      <c r="G570" s="15" t="n">
        <v>0</v>
      </c>
      <c r="H570" s="16" t="n">
        <v>18</v>
      </c>
      <c r="I570" s="33" t="n">
        <v>60996.36</v>
      </c>
      <c r="J570" s="33" t="n">
        <v>60996.36</v>
      </c>
    </row>
    <row r="571" customFormat="false" ht="15" hidden="false" customHeight="false" outlineLevel="0" collapsed="false">
      <c r="A571" s="3" t="s">
        <v>961</v>
      </c>
      <c r="B571" s="3" t="s">
        <v>282</v>
      </c>
      <c r="C571" s="3" t="s">
        <v>403</v>
      </c>
      <c r="D571" s="3" t="s">
        <v>381</v>
      </c>
      <c r="E571" s="3" t="s">
        <v>385</v>
      </c>
      <c r="F571" s="16" t="n">
        <v>24</v>
      </c>
      <c r="G571" s="15" t="n">
        <v>0</v>
      </c>
      <c r="H571" s="16" t="n">
        <v>18</v>
      </c>
      <c r="I571" s="33" t="n">
        <v>60945.36</v>
      </c>
      <c r="J571" s="33" t="n">
        <v>60945.36</v>
      </c>
    </row>
    <row r="572" customFormat="false" ht="15" hidden="false" customHeight="false" outlineLevel="0" collapsed="false">
      <c r="A572" s="3" t="s">
        <v>962</v>
      </c>
      <c r="B572" s="3" t="s">
        <v>282</v>
      </c>
      <c r="C572" s="3" t="s">
        <v>387</v>
      </c>
      <c r="D572" s="3" t="s">
        <v>381</v>
      </c>
      <c r="E572" s="3" t="s">
        <v>398</v>
      </c>
      <c r="F572" s="16" t="n">
        <v>12</v>
      </c>
      <c r="G572" s="15" t="n">
        <v>0.25</v>
      </c>
      <c r="H572" s="16" t="n">
        <v>4</v>
      </c>
      <c r="I572" s="33" t="n">
        <v>60944.64</v>
      </c>
      <c r="J572" s="33" t="n">
        <v>81259.44</v>
      </c>
    </row>
    <row r="573" customFormat="false" ht="15" hidden="false" customHeight="false" outlineLevel="0" collapsed="false">
      <c r="A573" s="3" t="s">
        <v>963</v>
      </c>
      <c r="B573" s="3" t="s">
        <v>282</v>
      </c>
      <c r="C573" s="3" t="s">
        <v>396</v>
      </c>
      <c r="D573" s="3" t="s">
        <v>388</v>
      </c>
      <c r="E573" s="3" t="s">
        <v>385</v>
      </c>
      <c r="F573" s="16" t="n">
        <v>12</v>
      </c>
      <c r="G573" s="15" t="n">
        <v>0</v>
      </c>
      <c r="H573" s="16" t="n">
        <v>10</v>
      </c>
      <c r="I573" s="33" t="n">
        <v>60849.24</v>
      </c>
      <c r="J573" s="33" t="n">
        <v>60849.24</v>
      </c>
    </row>
    <row r="574" customFormat="false" ht="15" hidden="false" customHeight="false" outlineLevel="0" collapsed="false">
      <c r="A574" s="3" t="s">
        <v>964</v>
      </c>
      <c r="B574" s="3" t="s">
        <v>282</v>
      </c>
      <c r="C574" s="3" t="s">
        <v>380</v>
      </c>
      <c r="D574" s="3" t="s">
        <v>381</v>
      </c>
      <c r="E574" s="3" t="s">
        <v>398</v>
      </c>
      <c r="F574" s="16" t="n">
        <v>12</v>
      </c>
      <c r="G574" s="15" t="n">
        <v>0</v>
      </c>
      <c r="H574" s="16" t="n">
        <v>5</v>
      </c>
      <c r="I574" s="33" t="n">
        <v>60631.8</v>
      </c>
      <c r="J574" s="33" t="n">
        <v>60631.8</v>
      </c>
    </row>
    <row r="575" customFormat="false" ht="15" hidden="false" customHeight="false" outlineLevel="0" collapsed="false">
      <c r="A575" s="3" t="s">
        <v>965</v>
      </c>
      <c r="B575" s="3" t="s">
        <v>282</v>
      </c>
      <c r="C575" s="3" t="s">
        <v>387</v>
      </c>
      <c r="D575" s="3" t="s">
        <v>381</v>
      </c>
      <c r="E575" s="3" t="s">
        <v>382</v>
      </c>
      <c r="F575" s="16" t="n">
        <v>12</v>
      </c>
      <c r="G575" s="15" t="n">
        <v>0.1</v>
      </c>
      <c r="H575" s="16" t="n">
        <v>1</v>
      </c>
      <c r="I575" s="33" t="n">
        <v>60494.76</v>
      </c>
      <c r="J575" s="33" t="n">
        <v>67216.44</v>
      </c>
    </row>
    <row r="576" customFormat="false" ht="15" hidden="false" customHeight="false" outlineLevel="0" collapsed="false">
      <c r="A576" s="3" t="s">
        <v>966</v>
      </c>
      <c r="B576" s="3" t="s">
        <v>282</v>
      </c>
      <c r="C576" s="3" t="s">
        <v>384</v>
      </c>
      <c r="D576" s="3" t="s">
        <v>388</v>
      </c>
      <c r="E576" s="3" t="s">
        <v>382</v>
      </c>
      <c r="F576" s="16" t="n">
        <v>12</v>
      </c>
      <c r="G576" s="15" t="n">
        <v>0</v>
      </c>
      <c r="H576" s="16" t="n">
        <v>8</v>
      </c>
      <c r="I576" s="33" t="n">
        <v>60423.84</v>
      </c>
      <c r="J576" s="33" t="n">
        <v>60423.84</v>
      </c>
    </row>
    <row r="577" customFormat="false" ht="15" hidden="false" customHeight="false" outlineLevel="0" collapsed="false">
      <c r="A577" s="3" t="s">
        <v>967</v>
      </c>
      <c r="B577" s="3" t="s">
        <v>282</v>
      </c>
      <c r="C577" s="3" t="s">
        <v>387</v>
      </c>
      <c r="D577" s="3" t="s">
        <v>692</v>
      </c>
      <c r="E577" s="3" t="s">
        <v>382</v>
      </c>
      <c r="F577" s="16" t="n">
        <v>12</v>
      </c>
      <c r="G577" s="15" t="n">
        <v>0</v>
      </c>
      <c r="H577" s="16" t="n">
        <v>3</v>
      </c>
      <c r="I577" s="33" t="n">
        <v>60401.88</v>
      </c>
      <c r="J577" s="33" t="n">
        <v>60401.88</v>
      </c>
    </row>
    <row r="578" customFormat="false" ht="15" hidden="false" customHeight="false" outlineLevel="0" collapsed="false">
      <c r="A578" s="3" t="s">
        <v>968</v>
      </c>
      <c r="B578" s="3" t="s">
        <v>282</v>
      </c>
      <c r="C578" s="3" t="s">
        <v>387</v>
      </c>
      <c r="D578" s="3" t="s">
        <v>381</v>
      </c>
      <c r="E578" s="3" t="s">
        <v>398</v>
      </c>
      <c r="F578" s="16" t="n">
        <v>12</v>
      </c>
      <c r="G578" s="15" t="n">
        <v>0.2</v>
      </c>
      <c r="H578" s="16" t="n">
        <v>4</v>
      </c>
      <c r="I578" s="33" t="n">
        <v>60208.32</v>
      </c>
      <c r="J578" s="33" t="n">
        <v>75260.4</v>
      </c>
    </row>
    <row r="579" customFormat="false" ht="15" hidden="false" customHeight="false" outlineLevel="0" collapsed="false">
      <c r="A579" s="3" t="s">
        <v>969</v>
      </c>
      <c r="B579" s="3" t="s">
        <v>282</v>
      </c>
      <c r="C579" s="3" t="s">
        <v>387</v>
      </c>
      <c r="D579" s="3" t="s">
        <v>381</v>
      </c>
      <c r="E579" s="3" t="s">
        <v>382</v>
      </c>
      <c r="F579" s="16" t="n">
        <v>12</v>
      </c>
      <c r="G579" s="15" t="n">
        <v>0.15</v>
      </c>
      <c r="H579" s="16" t="n">
        <v>3</v>
      </c>
      <c r="I579" s="33" t="n">
        <v>60141.12</v>
      </c>
      <c r="J579" s="33" t="n">
        <v>70754.28</v>
      </c>
    </row>
    <row r="580" customFormat="false" ht="15" hidden="false" customHeight="false" outlineLevel="0" collapsed="false">
      <c r="A580" s="3" t="s">
        <v>970</v>
      </c>
      <c r="B580" s="3" t="s">
        <v>282</v>
      </c>
      <c r="C580" s="3" t="s">
        <v>396</v>
      </c>
      <c r="D580" s="3" t="s">
        <v>392</v>
      </c>
      <c r="E580" s="3" t="s">
        <v>385</v>
      </c>
      <c r="F580" s="16" t="n">
        <v>24</v>
      </c>
      <c r="G580" s="15" t="n">
        <v>0</v>
      </c>
      <c r="H580" s="16" t="n">
        <v>10</v>
      </c>
      <c r="I580" s="33" t="n">
        <v>60106.68</v>
      </c>
      <c r="J580" s="33" t="n">
        <v>60106.68</v>
      </c>
    </row>
    <row r="581" customFormat="false" ht="15" hidden="false" customHeight="false" outlineLevel="0" collapsed="false">
      <c r="A581" s="3" t="s">
        <v>971</v>
      </c>
      <c r="B581" s="3" t="s">
        <v>282</v>
      </c>
      <c r="C581" s="3" t="s">
        <v>384</v>
      </c>
      <c r="D581" s="3" t="s">
        <v>692</v>
      </c>
      <c r="E581" s="3" t="s">
        <v>382</v>
      </c>
      <c r="F581" s="16" t="n">
        <v>24</v>
      </c>
      <c r="G581" s="15" t="n">
        <v>0</v>
      </c>
      <c r="H581" s="16" t="n">
        <v>22</v>
      </c>
      <c r="I581" s="33" t="n">
        <v>59979.36</v>
      </c>
      <c r="J581" s="33" t="n">
        <v>59979.36</v>
      </c>
    </row>
    <row r="582" customFormat="false" ht="15" hidden="false" customHeight="false" outlineLevel="0" collapsed="false">
      <c r="A582" s="3" t="s">
        <v>972</v>
      </c>
      <c r="B582" s="3" t="s">
        <v>282</v>
      </c>
      <c r="C582" s="3" t="s">
        <v>401</v>
      </c>
      <c r="D582" s="3" t="s">
        <v>418</v>
      </c>
      <c r="E582" s="3" t="s">
        <v>398</v>
      </c>
      <c r="F582" s="16" t="n">
        <v>12</v>
      </c>
      <c r="G582" s="15" t="n">
        <v>0</v>
      </c>
      <c r="H582" s="16" t="n">
        <v>3</v>
      </c>
      <c r="I582" s="33" t="n">
        <v>59969.52</v>
      </c>
      <c r="J582" s="33" t="n">
        <v>59969.52</v>
      </c>
    </row>
    <row r="583" customFormat="false" ht="15" hidden="false" customHeight="false" outlineLevel="0" collapsed="false">
      <c r="A583" s="3" t="s">
        <v>973</v>
      </c>
      <c r="B583" s="3" t="s">
        <v>282</v>
      </c>
      <c r="C583" s="3" t="s">
        <v>380</v>
      </c>
      <c r="D583" s="3" t="s">
        <v>392</v>
      </c>
      <c r="E583" s="3" t="s">
        <v>385</v>
      </c>
      <c r="F583" s="16" t="n">
        <v>12</v>
      </c>
      <c r="G583" s="15" t="n">
        <v>0</v>
      </c>
      <c r="H583" s="16" t="n">
        <v>6</v>
      </c>
      <c r="I583" s="33" t="n">
        <v>59873.64</v>
      </c>
      <c r="J583" s="33" t="n">
        <v>59873.64</v>
      </c>
    </row>
    <row r="584" customFormat="false" ht="15" hidden="false" customHeight="false" outlineLevel="0" collapsed="false">
      <c r="A584" s="3" t="s">
        <v>974</v>
      </c>
      <c r="B584" s="3" t="s">
        <v>282</v>
      </c>
      <c r="C584" s="3" t="s">
        <v>384</v>
      </c>
      <c r="D584" s="3" t="s">
        <v>381</v>
      </c>
      <c r="E584" s="3" t="s">
        <v>398</v>
      </c>
      <c r="F584" s="16" t="n">
        <v>24</v>
      </c>
      <c r="G584" s="15" t="n">
        <v>0</v>
      </c>
      <c r="H584" s="16" t="n">
        <v>2</v>
      </c>
      <c r="I584" s="33" t="n">
        <v>59774.88</v>
      </c>
      <c r="J584" s="33" t="n">
        <v>59774.88</v>
      </c>
    </row>
    <row r="585" customFormat="false" ht="15" hidden="false" customHeight="false" outlineLevel="0" collapsed="false">
      <c r="A585" s="3" t="s">
        <v>975</v>
      </c>
      <c r="B585" s="3" t="s">
        <v>282</v>
      </c>
      <c r="C585" s="3" t="s">
        <v>387</v>
      </c>
      <c r="D585" s="3" t="s">
        <v>388</v>
      </c>
      <c r="E585" s="3" t="s">
        <v>398</v>
      </c>
      <c r="F585" s="16" t="n">
        <v>12</v>
      </c>
      <c r="G585" s="15" t="n">
        <v>0</v>
      </c>
      <c r="H585" s="16" t="n">
        <v>6</v>
      </c>
      <c r="I585" s="33" t="n">
        <v>59770.2</v>
      </c>
      <c r="J585" s="33" t="n">
        <v>59770.2</v>
      </c>
    </row>
    <row r="586" customFormat="false" ht="15" hidden="false" customHeight="false" outlineLevel="0" collapsed="false">
      <c r="A586" s="3" t="s">
        <v>976</v>
      </c>
      <c r="B586" s="3" t="s">
        <v>282</v>
      </c>
      <c r="C586" s="3" t="s">
        <v>387</v>
      </c>
      <c r="D586" s="3" t="s">
        <v>418</v>
      </c>
      <c r="E586" s="3" t="s">
        <v>398</v>
      </c>
      <c r="F586" s="16" t="n">
        <v>12</v>
      </c>
      <c r="G586" s="15" t="n">
        <v>0.15</v>
      </c>
      <c r="H586" s="16" t="n">
        <v>3</v>
      </c>
      <c r="I586" s="33" t="n">
        <v>59618.88</v>
      </c>
      <c r="J586" s="33" t="n">
        <v>70139.76</v>
      </c>
    </row>
    <row r="587" customFormat="false" ht="15" hidden="false" customHeight="false" outlineLevel="0" collapsed="false">
      <c r="A587" s="3" t="s">
        <v>977</v>
      </c>
      <c r="B587" s="3" t="s">
        <v>282</v>
      </c>
      <c r="C587" s="3" t="s">
        <v>401</v>
      </c>
      <c r="D587" s="3" t="s">
        <v>418</v>
      </c>
      <c r="E587" s="3" t="s">
        <v>385</v>
      </c>
      <c r="F587" s="16" t="n">
        <v>12</v>
      </c>
      <c r="G587" s="15" t="n">
        <v>0</v>
      </c>
      <c r="H587" s="16" t="n">
        <v>11</v>
      </c>
      <c r="I587" s="33" t="n">
        <v>59559.36</v>
      </c>
      <c r="J587" s="33" t="n">
        <v>59559.36</v>
      </c>
    </row>
    <row r="588" customFormat="false" ht="15" hidden="false" customHeight="false" outlineLevel="0" collapsed="false">
      <c r="A588" s="3" t="s">
        <v>978</v>
      </c>
      <c r="B588" s="3" t="s">
        <v>282</v>
      </c>
      <c r="C588" s="3" t="s">
        <v>380</v>
      </c>
      <c r="D588" s="3" t="s">
        <v>392</v>
      </c>
      <c r="E588" s="3" t="s">
        <v>398</v>
      </c>
      <c r="F588" s="16" t="n">
        <v>24</v>
      </c>
      <c r="G588" s="15" t="n">
        <v>0.1</v>
      </c>
      <c r="H588" s="16" t="n">
        <v>24</v>
      </c>
      <c r="I588" s="33" t="n">
        <v>59409.36</v>
      </c>
      <c r="J588" s="33" t="n">
        <v>66010.44</v>
      </c>
    </row>
    <row r="589" customFormat="false" ht="15" hidden="false" customHeight="false" outlineLevel="0" collapsed="false">
      <c r="A589" s="3" t="s">
        <v>979</v>
      </c>
      <c r="B589" s="3" t="s">
        <v>282</v>
      </c>
      <c r="C589" s="3" t="s">
        <v>401</v>
      </c>
      <c r="D589" s="3" t="s">
        <v>388</v>
      </c>
      <c r="E589" s="3" t="s">
        <v>398</v>
      </c>
      <c r="F589" s="16" t="n">
        <v>12</v>
      </c>
      <c r="G589" s="15" t="n">
        <v>0</v>
      </c>
      <c r="H589" s="16" t="n">
        <v>3</v>
      </c>
      <c r="I589" s="33" t="n">
        <v>59383.56</v>
      </c>
      <c r="J589" s="33" t="n">
        <v>59383.56</v>
      </c>
    </row>
    <row r="590" customFormat="false" ht="15" hidden="false" customHeight="false" outlineLevel="0" collapsed="false">
      <c r="A590" s="3" t="s">
        <v>980</v>
      </c>
      <c r="B590" s="3" t="s">
        <v>282</v>
      </c>
      <c r="C590" s="3" t="s">
        <v>403</v>
      </c>
      <c r="D590" s="3" t="s">
        <v>692</v>
      </c>
      <c r="E590" s="3" t="s">
        <v>398</v>
      </c>
      <c r="F590" s="16" t="n">
        <v>24</v>
      </c>
      <c r="G590" s="15" t="n">
        <v>0</v>
      </c>
      <c r="H590" s="16" t="n">
        <v>22</v>
      </c>
      <c r="I590" s="33" t="n">
        <v>59321.16</v>
      </c>
      <c r="J590" s="33" t="n">
        <v>59321.16</v>
      </c>
    </row>
    <row r="591" customFormat="false" ht="15" hidden="false" customHeight="false" outlineLevel="0" collapsed="false">
      <c r="A591" s="3" t="s">
        <v>981</v>
      </c>
      <c r="B591" s="3" t="s">
        <v>282</v>
      </c>
      <c r="C591" s="3" t="s">
        <v>405</v>
      </c>
      <c r="D591" s="3" t="s">
        <v>392</v>
      </c>
      <c r="E591" s="3" t="s">
        <v>398</v>
      </c>
      <c r="F591" s="16" t="n">
        <v>24</v>
      </c>
      <c r="G591" s="15" t="n">
        <v>0.1</v>
      </c>
      <c r="H591" s="16" t="n">
        <v>6</v>
      </c>
      <c r="I591" s="33" t="n">
        <v>59309.76</v>
      </c>
      <c r="J591" s="33" t="n">
        <v>65899.68</v>
      </c>
    </row>
    <row r="592" customFormat="false" ht="15" hidden="false" customHeight="false" outlineLevel="0" collapsed="false">
      <c r="A592" s="3" t="s">
        <v>982</v>
      </c>
      <c r="B592" s="3" t="s">
        <v>282</v>
      </c>
      <c r="C592" s="3" t="s">
        <v>387</v>
      </c>
      <c r="D592" s="3" t="s">
        <v>381</v>
      </c>
      <c r="E592" s="3" t="s">
        <v>385</v>
      </c>
      <c r="F592" s="16" t="n">
        <v>12</v>
      </c>
      <c r="G592" s="15" t="n">
        <v>0.15</v>
      </c>
      <c r="H592" s="16" t="n">
        <v>1</v>
      </c>
      <c r="I592" s="33" t="n">
        <v>59052.36</v>
      </c>
      <c r="J592" s="33" t="n">
        <v>69473.4</v>
      </c>
    </row>
    <row r="593" customFormat="false" ht="15" hidden="false" customHeight="false" outlineLevel="0" collapsed="false">
      <c r="A593" s="3" t="s">
        <v>983</v>
      </c>
      <c r="B593" s="3" t="s">
        <v>282</v>
      </c>
      <c r="C593" s="3" t="s">
        <v>405</v>
      </c>
      <c r="D593" s="3" t="s">
        <v>381</v>
      </c>
      <c r="E593" s="3" t="s">
        <v>398</v>
      </c>
      <c r="F593" s="16" t="n">
        <v>24</v>
      </c>
      <c r="G593" s="15" t="n">
        <v>0.05</v>
      </c>
      <c r="H593" s="16" t="n">
        <v>8</v>
      </c>
      <c r="I593" s="33" t="n">
        <v>58980.84</v>
      </c>
      <c r="J593" s="33" t="n">
        <v>62085.12</v>
      </c>
    </row>
    <row r="594" customFormat="false" ht="15" hidden="false" customHeight="false" outlineLevel="0" collapsed="false">
      <c r="A594" s="3" t="s">
        <v>984</v>
      </c>
      <c r="B594" s="3" t="s">
        <v>282</v>
      </c>
      <c r="C594" s="3" t="s">
        <v>401</v>
      </c>
      <c r="D594" s="3" t="s">
        <v>392</v>
      </c>
      <c r="E594" s="3" t="s">
        <v>398</v>
      </c>
      <c r="F594" s="16" t="n">
        <v>24</v>
      </c>
      <c r="G594" s="15" t="n">
        <v>0</v>
      </c>
      <c r="H594" s="16" t="n">
        <v>16</v>
      </c>
      <c r="I594" s="33" t="n">
        <v>58898.88</v>
      </c>
      <c r="J594" s="33" t="n">
        <v>58898.88</v>
      </c>
    </row>
    <row r="595" customFormat="false" ht="15" hidden="false" customHeight="false" outlineLevel="0" collapsed="false">
      <c r="A595" s="3" t="s">
        <v>985</v>
      </c>
      <c r="B595" s="3" t="s">
        <v>282</v>
      </c>
      <c r="C595" s="3" t="s">
        <v>405</v>
      </c>
      <c r="D595" s="3" t="s">
        <v>392</v>
      </c>
      <c r="E595" s="3" t="s">
        <v>385</v>
      </c>
      <c r="F595" s="16" t="n">
        <v>12</v>
      </c>
      <c r="G595" s="15" t="n">
        <v>0</v>
      </c>
      <c r="H595" s="16" t="n">
        <v>6</v>
      </c>
      <c r="I595" s="33" t="n">
        <v>58842</v>
      </c>
      <c r="J595" s="33" t="n">
        <v>58842</v>
      </c>
    </row>
    <row r="596" customFormat="false" ht="15" hidden="false" customHeight="false" outlineLevel="0" collapsed="false">
      <c r="A596" s="3" t="s">
        <v>986</v>
      </c>
      <c r="B596" s="3" t="s">
        <v>282</v>
      </c>
      <c r="C596" s="3" t="s">
        <v>396</v>
      </c>
      <c r="D596" s="3" t="s">
        <v>392</v>
      </c>
      <c r="E596" s="3" t="s">
        <v>385</v>
      </c>
      <c r="F596" s="16" t="n">
        <v>24</v>
      </c>
      <c r="G596" s="15" t="n">
        <v>0</v>
      </c>
      <c r="H596" s="16" t="n">
        <v>19</v>
      </c>
      <c r="I596" s="33" t="n">
        <v>58748.88</v>
      </c>
      <c r="J596" s="33" t="n">
        <v>58748.88</v>
      </c>
    </row>
    <row r="597" customFormat="false" ht="15" hidden="false" customHeight="false" outlineLevel="0" collapsed="false">
      <c r="A597" s="3" t="s">
        <v>987</v>
      </c>
      <c r="B597" s="3" t="s">
        <v>282</v>
      </c>
      <c r="C597" s="3" t="s">
        <v>401</v>
      </c>
      <c r="D597" s="3" t="s">
        <v>418</v>
      </c>
      <c r="E597" s="3" t="s">
        <v>398</v>
      </c>
      <c r="F597" s="16" t="n">
        <v>24</v>
      </c>
      <c r="G597" s="15" t="n">
        <v>0</v>
      </c>
      <c r="H597" s="16" t="n">
        <v>16</v>
      </c>
      <c r="I597" s="33" t="n">
        <v>58703.4</v>
      </c>
      <c r="J597" s="33" t="n">
        <v>58703.4</v>
      </c>
    </row>
    <row r="598" customFormat="false" ht="15" hidden="false" customHeight="false" outlineLevel="0" collapsed="false">
      <c r="A598" s="3" t="s">
        <v>988</v>
      </c>
      <c r="B598" s="3" t="s">
        <v>282</v>
      </c>
      <c r="C598" s="3" t="s">
        <v>403</v>
      </c>
      <c r="D598" s="3" t="s">
        <v>418</v>
      </c>
      <c r="E598" s="3" t="s">
        <v>382</v>
      </c>
      <c r="F598" s="16" t="n">
        <v>12</v>
      </c>
      <c r="G598" s="15" t="n">
        <v>0</v>
      </c>
      <c r="H598" s="16" t="n">
        <v>12</v>
      </c>
      <c r="I598" s="33" t="n">
        <v>58538.28</v>
      </c>
      <c r="J598" s="33" t="n">
        <v>58538.28</v>
      </c>
    </row>
    <row r="599" customFormat="false" ht="15" hidden="false" customHeight="false" outlineLevel="0" collapsed="false">
      <c r="A599" s="3" t="s">
        <v>989</v>
      </c>
      <c r="B599" s="3" t="s">
        <v>282</v>
      </c>
      <c r="C599" s="3" t="s">
        <v>387</v>
      </c>
      <c r="D599" s="3" t="s">
        <v>381</v>
      </c>
      <c r="E599" s="3" t="s">
        <v>398</v>
      </c>
      <c r="F599" s="16" t="n">
        <v>12</v>
      </c>
      <c r="G599" s="15" t="n">
        <v>0.1</v>
      </c>
      <c r="H599" s="16" t="n">
        <v>8</v>
      </c>
      <c r="I599" s="33" t="n">
        <v>58140</v>
      </c>
      <c r="J599" s="33" t="n">
        <v>64599.96</v>
      </c>
    </row>
    <row r="600" customFormat="false" ht="15" hidden="false" customHeight="false" outlineLevel="0" collapsed="false">
      <c r="A600" s="3" t="s">
        <v>990</v>
      </c>
      <c r="B600" s="3" t="s">
        <v>282</v>
      </c>
      <c r="C600" s="3" t="s">
        <v>405</v>
      </c>
      <c r="D600" s="3" t="s">
        <v>418</v>
      </c>
      <c r="E600" s="3" t="s">
        <v>385</v>
      </c>
      <c r="F600" s="16" t="n">
        <v>12</v>
      </c>
      <c r="G600" s="15" t="n">
        <v>0.2</v>
      </c>
      <c r="H600" s="16" t="n">
        <v>9</v>
      </c>
      <c r="I600" s="33" t="n">
        <v>58123.44</v>
      </c>
      <c r="J600" s="33" t="n">
        <v>72654.24</v>
      </c>
    </row>
    <row r="601" customFormat="false" ht="15" hidden="false" customHeight="false" outlineLevel="0" collapsed="false">
      <c r="A601" s="3" t="s">
        <v>991</v>
      </c>
      <c r="B601" s="3" t="s">
        <v>282</v>
      </c>
      <c r="C601" s="3" t="s">
        <v>405</v>
      </c>
      <c r="D601" s="3" t="s">
        <v>392</v>
      </c>
      <c r="E601" s="3" t="s">
        <v>385</v>
      </c>
      <c r="F601" s="16" t="n">
        <v>12</v>
      </c>
      <c r="G601" s="15" t="n">
        <v>0</v>
      </c>
      <c r="H601" s="16" t="n">
        <v>6</v>
      </c>
      <c r="I601" s="33" t="n">
        <v>58027.2</v>
      </c>
      <c r="J601" s="33" t="n">
        <v>58027.2</v>
      </c>
    </row>
    <row r="602" customFormat="false" ht="15" hidden="false" customHeight="false" outlineLevel="0" collapsed="false">
      <c r="A602" s="3" t="s">
        <v>992</v>
      </c>
      <c r="B602" s="3" t="s">
        <v>282</v>
      </c>
      <c r="C602" s="3" t="s">
        <v>384</v>
      </c>
      <c r="D602" s="3" t="s">
        <v>388</v>
      </c>
      <c r="E602" s="3" t="s">
        <v>385</v>
      </c>
      <c r="F602" s="16" t="n">
        <v>12</v>
      </c>
      <c r="G602" s="15" t="n">
        <v>0</v>
      </c>
      <c r="H602" s="16" t="n">
        <v>5</v>
      </c>
      <c r="I602" s="33" t="n">
        <v>57915.6</v>
      </c>
      <c r="J602" s="33" t="n">
        <v>57915.6</v>
      </c>
    </row>
    <row r="603" customFormat="false" ht="15" hidden="false" customHeight="false" outlineLevel="0" collapsed="false">
      <c r="A603" s="3" t="s">
        <v>993</v>
      </c>
      <c r="B603" s="3" t="s">
        <v>282</v>
      </c>
      <c r="C603" s="3" t="s">
        <v>396</v>
      </c>
      <c r="D603" s="3" t="s">
        <v>392</v>
      </c>
      <c r="E603" s="3" t="s">
        <v>398</v>
      </c>
      <c r="F603" s="16" t="n">
        <v>12</v>
      </c>
      <c r="G603" s="15" t="n">
        <v>0</v>
      </c>
      <c r="H603" s="16" t="n">
        <v>5</v>
      </c>
      <c r="I603" s="33" t="n">
        <v>57862.08</v>
      </c>
      <c r="J603" s="33" t="n">
        <v>57862.08</v>
      </c>
    </row>
    <row r="604" customFormat="false" ht="15" hidden="false" customHeight="false" outlineLevel="0" collapsed="false">
      <c r="A604" s="3" t="s">
        <v>994</v>
      </c>
      <c r="B604" s="3" t="s">
        <v>282</v>
      </c>
      <c r="C604" s="3" t="s">
        <v>396</v>
      </c>
      <c r="D604" s="3" t="s">
        <v>418</v>
      </c>
      <c r="E604" s="3" t="s">
        <v>382</v>
      </c>
      <c r="F604" s="16" t="n">
        <v>12</v>
      </c>
      <c r="G604" s="15" t="n">
        <v>0</v>
      </c>
      <c r="H604" s="16" t="n">
        <v>2</v>
      </c>
      <c r="I604" s="33" t="n">
        <v>57818.76</v>
      </c>
      <c r="J604" s="33" t="n">
        <v>57818.76</v>
      </c>
    </row>
    <row r="605" customFormat="false" ht="15" hidden="false" customHeight="false" outlineLevel="0" collapsed="false">
      <c r="A605" s="3" t="s">
        <v>995</v>
      </c>
      <c r="B605" s="3" t="s">
        <v>282</v>
      </c>
      <c r="C605" s="3" t="s">
        <v>401</v>
      </c>
      <c r="D605" s="3" t="s">
        <v>418</v>
      </c>
      <c r="E605" s="3" t="s">
        <v>398</v>
      </c>
      <c r="F605" s="16" t="n">
        <v>12</v>
      </c>
      <c r="G605" s="15" t="n">
        <v>0.05</v>
      </c>
      <c r="H605" s="16" t="n">
        <v>9</v>
      </c>
      <c r="I605" s="33" t="n">
        <v>57799.2</v>
      </c>
      <c r="J605" s="33" t="n">
        <v>60841.2</v>
      </c>
    </row>
    <row r="606" customFormat="false" ht="15" hidden="false" customHeight="false" outlineLevel="0" collapsed="false">
      <c r="A606" s="3" t="s">
        <v>996</v>
      </c>
      <c r="B606" s="3" t="s">
        <v>282</v>
      </c>
      <c r="C606" s="3" t="s">
        <v>384</v>
      </c>
      <c r="D606" s="3" t="s">
        <v>392</v>
      </c>
      <c r="E606" s="3" t="s">
        <v>382</v>
      </c>
      <c r="F606" s="16" t="n">
        <v>12</v>
      </c>
      <c r="G606" s="15" t="n">
        <v>0.3</v>
      </c>
      <c r="H606" s="16" t="n">
        <v>2</v>
      </c>
      <c r="I606" s="33" t="n">
        <v>57735.72</v>
      </c>
      <c r="J606" s="33" t="n">
        <v>82479.72</v>
      </c>
    </row>
    <row r="607" customFormat="false" ht="15" hidden="false" customHeight="false" outlineLevel="0" collapsed="false">
      <c r="A607" s="3" t="s">
        <v>997</v>
      </c>
      <c r="B607" s="3" t="s">
        <v>282</v>
      </c>
      <c r="C607" s="3" t="s">
        <v>403</v>
      </c>
      <c r="D607" s="3" t="s">
        <v>392</v>
      </c>
      <c r="E607" s="3" t="s">
        <v>398</v>
      </c>
      <c r="F607" s="16" t="n">
        <v>12</v>
      </c>
      <c r="G607" s="15" t="n">
        <v>0</v>
      </c>
      <c r="H607" s="16" t="n">
        <v>10</v>
      </c>
      <c r="I607" s="33" t="n">
        <v>57467.16</v>
      </c>
      <c r="J607" s="33" t="n">
        <v>57467.16</v>
      </c>
    </row>
    <row r="608" customFormat="false" ht="15" hidden="false" customHeight="false" outlineLevel="0" collapsed="false">
      <c r="A608" s="3" t="s">
        <v>998</v>
      </c>
      <c r="B608" s="3" t="s">
        <v>282</v>
      </c>
      <c r="C608" s="3" t="s">
        <v>405</v>
      </c>
      <c r="D608" s="3" t="s">
        <v>381</v>
      </c>
      <c r="E608" s="3" t="s">
        <v>398</v>
      </c>
      <c r="F608" s="16" t="n">
        <v>12</v>
      </c>
      <c r="G608" s="15" t="n">
        <v>0</v>
      </c>
      <c r="H608" s="16" t="n">
        <v>1</v>
      </c>
      <c r="I608" s="33" t="n">
        <v>57382.68</v>
      </c>
      <c r="J608" s="33" t="n">
        <v>57382.68</v>
      </c>
    </row>
    <row r="609" customFormat="false" ht="15" hidden="false" customHeight="false" outlineLevel="0" collapsed="false">
      <c r="A609" s="3" t="s">
        <v>999</v>
      </c>
      <c r="B609" s="3" t="s">
        <v>282</v>
      </c>
      <c r="C609" s="3" t="s">
        <v>384</v>
      </c>
      <c r="D609" s="3" t="s">
        <v>381</v>
      </c>
      <c r="E609" s="3" t="s">
        <v>398</v>
      </c>
      <c r="F609" s="16" t="n">
        <v>12</v>
      </c>
      <c r="G609" s="15" t="n">
        <v>0</v>
      </c>
      <c r="H609" s="16" t="n">
        <v>4</v>
      </c>
      <c r="I609" s="33" t="n">
        <v>57275.4</v>
      </c>
      <c r="J609" s="33" t="n">
        <v>57275.4</v>
      </c>
    </row>
    <row r="610" customFormat="false" ht="15" hidden="false" customHeight="false" outlineLevel="0" collapsed="false">
      <c r="A610" s="3" t="s">
        <v>1000</v>
      </c>
      <c r="B610" s="3" t="s">
        <v>282</v>
      </c>
      <c r="C610" s="3" t="s">
        <v>387</v>
      </c>
      <c r="D610" s="3" t="s">
        <v>392</v>
      </c>
      <c r="E610" s="3" t="s">
        <v>382</v>
      </c>
      <c r="F610" s="16" t="n">
        <v>12</v>
      </c>
      <c r="G610" s="15" t="n">
        <v>0.2</v>
      </c>
      <c r="H610" s="16" t="n">
        <v>4</v>
      </c>
      <c r="I610" s="33" t="n">
        <v>57229.32</v>
      </c>
      <c r="J610" s="33" t="n">
        <v>71536.68</v>
      </c>
    </row>
    <row r="611" customFormat="false" ht="15" hidden="false" customHeight="false" outlineLevel="0" collapsed="false">
      <c r="A611" s="3" t="s">
        <v>1001</v>
      </c>
      <c r="B611" s="3" t="s">
        <v>282</v>
      </c>
      <c r="C611" s="3" t="s">
        <v>387</v>
      </c>
      <c r="D611" s="3" t="s">
        <v>381</v>
      </c>
      <c r="E611" s="3" t="s">
        <v>385</v>
      </c>
      <c r="F611" s="16" t="n">
        <v>12</v>
      </c>
      <c r="G611" s="15" t="n">
        <v>0.2</v>
      </c>
      <c r="H611" s="16" t="n">
        <v>9</v>
      </c>
      <c r="I611" s="33" t="n">
        <v>57188.16</v>
      </c>
      <c r="J611" s="33" t="n">
        <v>71485.2</v>
      </c>
    </row>
    <row r="612" customFormat="false" ht="15" hidden="false" customHeight="false" outlineLevel="0" collapsed="false">
      <c r="A612" s="3" t="s">
        <v>1002</v>
      </c>
      <c r="B612" s="3" t="s">
        <v>282</v>
      </c>
      <c r="C612" s="3" t="s">
        <v>384</v>
      </c>
      <c r="D612" s="3" t="s">
        <v>392</v>
      </c>
      <c r="E612" s="3" t="s">
        <v>382</v>
      </c>
      <c r="F612" s="16" t="n">
        <v>24</v>
      </c>
      <c r="G612" s="15" t="n">
        <v>0</v>
      </c>
      <c r="H612" s="16" t="n">
        <v>22</v>
      </c>
      <c r="I612" s="33" t="n">
        <v>57179.04</v>
      </c>
      <c r="J612" s="33" t="n">
        <v>57179.04</v>
      </c>
    </row>
    <row r="613" customFormat="false" ht="15" hidden="false" customHeight="false" outlineLevel="0" collapsed="false">
      <c r="A613" s="3" t="s">
        <v>1003</v>
      </c>
      <c r="B613" s="3" t="s">
        <v>282</v>
      </c>
      <c r="C613" s="3" t="s">
        <v>403</v>
      </c>
      <c r="D613" s="3" t="s">
        <v>418</v>
      </c>
      <c r="E613" s="3" t="s">
        <v>398</v>
      </c>
      <c r="F613" s="16" t="n">
        <v>12</v>
      </c>
      <c r="G613" s="15" t="n">
        <v>0</v>
      </c>
      <c r="H613" s="16" t="n">
        <v>5</v>
      </c>
      <c r="I613" s="33" t="n">
        <v>57173.04</v>
      </c>
      <c r="J613" s="33" t="n">
        <v>57173.04</v>
      </c>
    </row>
    <row r="614" customFormat="false" ht="15" hidden="false" customHeight="false" outlineLevel="0" collapsed="false">
      <c r="A614" s="3" t="s">
        <v>1004</v>
      </c>
      <c r="B614" s="3" t="s">
        <v>282</v>
      </c>
      <c r="C614" s="3" t="s">
        <v>380</v>
      </c>
      <c r="D614" s="3" t="s">
        <v>381</v>
      </c>
      <c r="E614" s="3" t="s">
        <v>385</v>
      </c>
      <c r="F614" s="16" t="n">
        <v>24</v>
      </c>
      <c r="G614" s="15" t="n">
        <v>0</v>
      </c>
      <c r="H614" s="16" t="n">
        <v>14</v>
      </c>
      <c r="I614" s="33" t="n">
        <v>57157.92</v>
      </c>
      <c r="J614" s="33" t="n">
        <v>57157.92</v>
      </c>
    </row>
    <row r="615" customFormat="false" ht="15" hidden="false" customHeight="false" outlineLevel="0" collapsed="false">
      <c r="A615" s="3" t="s">
        <v>1005</v>
      </c>
      <c r="B615" s="3" t="s">
        <v>282</v>
      </c>
      <c r="C615" s="3" t="s">
        <v>405</v>
      </c>
      <c r="D615" s="3" t="s">
        <v>418</v>
      </c>
      <c r="E615" s="3" t="s">
        <v>385</v>
      </c>
      <c r="F615" s="16" t="n">
        <v>24</v>
      </c>
      <c r="G615" s="15" t="n">
        <v>0</v>
      </c>
      <c r="H615" s="16" t="n">
        <v>7</v>
      </c>
      <c r="I615" s="33" t="n">
        <v>57139.68</v>
      </c>
      <c r="J615" s="33" t="n">
        <v>57139.68</v>
      </c>
    </row>
    <row r="616" customFormat="false" ht="15" hidden="false" customHeight="false" outlineLevel="0" collapsed="false">
      <c r="A616" s="3" t="s">
        <v>1006</v>
      </c>
      <c r="B616" s="3" t="s">
        <v>282</v>
      </c>
      <c r="C616" s="3" t="s">
        <v>380</v>
      </c>
      <c r="D616" s="3" t="s">
        <v>392</v>
      </c>
      <c r="E616" s="3" t="s">
        <v>398</v>
      </c>
      <c r="F616" s="16" t="n">
        <v>12</v>
      </c>
      <c r="G616" s="15" t="n">
        <v>0</v>
      </c>
      <c r="H616" s="16" t="n">
        <v>7</v>
      </c>
      <c r="I616" s="33" t="n">
        <v>57124.32</v>
      </c>
      <c r="J616" s="33" t="n">
        <v>57124.32</v>
      </c>
    </row>
    <row r="617" customFormat="false" ht="15" hidden="false" customHeight="false" outlineLevel="0" collapsed="false">
      <c r="A617" s="3" t="s">
        <v>1007</v>
      </c>
      <c r="B617" s="3" t="s">
        <v>282</v>
      </c>
      <c r="C617" s="3" t="s">
        <v>403</v>
      </c>
      <c r="D617" s="3" t="s">
        <v>388</v>
      </c>
      <c r="E617" s="3" t="s">
        <v>382</v>
      </c>
      <c r="F617" s="16" t="n">
        <v>12</v>
      </c>
      <c r="G617" s="15" t="n">
        <v>0</v>
      </c>
      <c r="H617" s="16" t="n">
        <v>12</v>
      </c>
      <c r="I617" s="33" t="n">
        <v>57096.72</v>
      </c>
      <c r="J617" s="33" t="n">
        <v>57096.72</v>
      </c>
    </row>
    <row r="618" customFormat="false" ht="15" hidden="false" customHeight="false" outlineLevel="0" collapsed="false">
      <c r="A618" s="3" t="s">
        <v>1008</v>
      </c>
      <c r="B618" s="3" t="s">
        <v>282</v>
      </c>
      <c r="C618" s="3" t="s">
        <v>403</v>
      </c>
      <c r="D618" s="3" t="s">
        <v>381</v>
      </c>
      <c r="E618" s="3" t="s">
        <v>398</v>
      </c>
      <c r="F618" s="16" t="n">
        <v>12</v>
      </c>
      <c r="G618" s="15" t="n">
        <v>0</v>
      </c>
      <c r="H618" s="16" t="n">
        <v>5</v>
      </c>
      <c r="I618" s="33" t="n">
        <v>56978.64</v>
      </c>
      <c r="J618" s="33" t="n">
        <v>56978.64</v>
      </c>
    </row>
    <row r="619" customFormat="false" ht="15" hidden="false" customHeight="false" outlineLevel="0" collapsed="false">
      <c r="A619" s="3" t="s">
        <v>1009</v>
      </c>
      <c r="B619" s="3" t="s">
        <v>282</v>
      </c>
      <c r="C619" s="3" t="s">
        <v>396</v>
      </c>
      <c r="D619" s="3" t="s">
        <v>392</v>
      </c>
      <c r="E619" s="3" t="s">
        <v>385</v>
      </c>
      <c r="F619" s="16" t="n">
        <v>12</v>
      </c>
      <c r="G619" s="15" t="n">
        <v>0</v>
      </c>
      <c r="H619" s="16" t="n">
        <v>7</v>
      </c>
      <c r="I619" s="33" t="n">
        <v>56976.36</v>
      </c>
      <c r="J619" s="33" t="n">
        <v>56976.36</v>
      </c>
    </row>
    <row r="620" customFormat="false" ht="15" hidden="false" customHeight="false" outlineLevel="0" collapsed="false">
      <c r="A620" s="3" t="s">
        <v>1010</v>
      </c>
      <c r="B620" s="3" t="s">
        <v>282</v>
      </c>
      <c r="C620" s="3" t="s">
        <v>403</v>
      </c>
      <c r="D620" s="3" t="s">
        <v>381</v>
      </c>
      <c r="E620" s="3" t="s">
        <v>385</v>
      </c>
      <c r="F620" s="16" t="n">
        <v>12</v>
      </c>
      <c r="G620" s="15" t="n">
        <v>0.1</v>
      </c>
      <c r="H620" s="16" t="n">
        <v>2</v>
      </c>
      <c r="I620" s="33" t="n">
        <v>56934.48</v>
      </c>
      <c r="J620" s="33" t="n">
        <v>63260.52</v>
      </c>
    </row>
    <row r="621" customFormat="false" ht="15" hidden="false" customHeight="false" outlineLevel="0" collapsed="false">
      <c r="A621" s="3" t="s">
        <v>1011</v>
      </c>
      <c r="B621" s="3" t="s">
        <v>282</v>
      </c>
      <c r="C621" s="3" t="s">
        <v>387</v>
      </c>
      <c r="D621" s="3" t="s">
        <v>418</v>
      </c>
      <c r="E621" s="3" t="s">
        <v>385</v>
      </c>
      <c r="F621" s="16" t="n">
        <v>12</v>
      </c>
      <c r="G621" s="15" t="n">
        <v>0</v>
      </c>
      <c r="H621" s="16" t="n">
        <v>4</v>
      </c>
      <c r="I621" s="33" t="n">
        <v>56816.4</v>
      </c>
      <c r="J621" s="33" t="n">
        <v>56816.4</v>
      </c>
    </row>
    <row r="622" customFormat="false" ht="15" hidden="false" customHeight="false" outlineLevel="0" collapsed="false">
      <c r="A622" s="3" t="s">
        <v>1012</v>
      </c>
      <c r="B622" s="3" t="s">
        <v>282</v>
      </c>
      <c r="C622" s="3" t="s">
        <v>401</v>
      </c>
      <c r="D622" s="3" t="s">
        <v>381</v>
      </c>
      <c r="E622" s="3" t="s">
        <v>385</v>
      </c>
      <c r="F622" s="16" t="n">
        <v>12</v>
      </c>
      <c r="G622" s="15" t="n">
        <v>0</v>
      </c>
      <c r="H622" s="16" t="n">
        <v>4</v>
      </c>
      <c r="I622" s="33" t="n">
        <v>56791.08</v>
      </c>
      <c r="J622" s="33" t="n">
        <v>56791.08</v>
      </c>
    </row>
    <row r="623" customFormat="false" ht="15" hidden="false" customHeight="false" outlineLevel="0" collapsed="false">
      <c r="A623" s="3" t="s">
        <v>1013</v>
      </c>
      <c r="B623" s="3" t="s">
        <v>282</v>
      </c>
      <c r="C623" s="3" t="s">
        <v>380</v>
      </c>
      <c r="D623" s="3" t="s">
        <v>418</v>
      </c>
      <c r="E623" s="3" t="s">
        <v>398</v>
      </c>
      <c r="F623" s="16" t="n">
        <v>24</v>
      </c>
      <c r="G623" s="15" t="n">
        <v>0</v>
      </c>
      <c r="H623" s="16" t="n">
        <v>8</v>
      </c>
      <c r="I623" s="33" t="n">
        <v>56523.24</v>
      </c>
      <c r="J623" s="33" t="n">
        <v>56523.24</v>
      </c>
    </row>
    <row r="624" customFormat="false" ht="15" hidden="false" customHeight="false" outlineLevel="0" collapsed="false">
      <c r="A624" s="3" t="s">
        <v>1014</v>
      </c>
      <c r="B624" s="3" t="s">
        <v>282</v>
      </c>
      <c r="C624" s="3" t="s">
        <v>380</v>
      </c>
      <c r="D624" s="3" t="s">
        <v>418</v>
      </c>
      <c r="E624" s="3" t="s">
        <v>398</v>
      </c>
      <c r="F624" s="16" t="n">
        <v>24</v>
      </c>
      <c r="G624" s="15" t="n">
        <v>0.1</v>
      </c>
      <c r="H624" s="16" t="n">
        <v>18</v>
      </c>
      <c r="I624" s="33" t="n">
        <v>56358.72</v>
      </c>
      <c r="J624" s="33" t="n">
        <v>62620.8</v>
      </c>
    </row>
    <row r="625" customFormat="false" ht="15" hidden="false" customHeight="false" outlineLevel="0" collapsed="false">
      <c r="A625" s="3" t="s">
        <v>1015</v>
      </c>
      <c r="B625" s="3" t="s">
        <v>282</v>
      </c>
      <c r="C625" s="3" t="s">
        <v>384</v>
      </c>
      <c r="D625" s="3" t="s">
        <v>418</v>
      </c>
      <c r="E625" s="3" t="s">
        <v>398</v>
      </c>
      <c r="F625" s="16" t="n">
        <v>12</v>
      </c>
      <c r="G625" s="15" t="n">
        <v>0</v>
      </c>
      <c r="H625" s="16" t="n">
        <v>1</v>
      </c>
      <c r="I625" s="33" t="n">
        <v>56311.08</v>
      </c>
      <c r="J625" s="33" t="n">
        <v>56311.08</v>
      </c>
    </row>
    <row r="626" customFormat="false" ht="15" hidden="false" customHeight="false" outlineLevel="0" collapsed="false">
      <c r="A626" s="3" t="s">
        <v>1016</v>
      </c>
      <c r="B626" s="3" t="s">
        <v>282</v>
      </c>
      <c r="C626" s="3" t="s">
        <v>401</v>
      </c>
      <c r="D626" s="3" t="s">
        <v>392</v>
      </c>
      <c r="E626" s="3" t="s">
        <v>398</v>
      </c>
      <c r="F626" s="16" t="n">
        <v>12</v>
      </c>
      <c r="G626" s="15" t="n">
        <v>0</v>
      </c>
      <c r="H626" s="16" t="n">
        <v>4</v>
      </c>
      <c r="I626" s="33" t="n">
        <v>56261.64</v>
      </c>
      <c r="J626" s="33" t="n">
        <v>56261.64</v>
      </c>
    </row>
    <row r="627" customFormat="false" ht="15" hidden="false" customHeight="false" outlineLevel="0" collapsed="false">
      <c r="A627" s="3" t="s">
        <v>1017</v>
      </c>
      <c r="B627" s="3" t="s">
        <v>282</v>
      </c>
      <c r="C627" s="3" t="s">
        <v>380</v>
      </c>
      <c r="D627" s="3" t="s">
        <v>381</v>
      </c>
      <c r="E627" s="3" t="s">
        <v>398</v>
      </c>
      <c r="F627" s="16" t="n">
        <v>12</v>
      </c>
      <c r="G627" s="15" t="n">
        <v>0</v>
      </c>
      <c r="H627" s="16" t="n">
        <v>3</v>
      </c>
      <c r="I627" s="33" t="n">
        <v>56232.6</v>
      </c>
      <c r="J627" s="33" t="n">
        <v>56232.6</v>
      </c>
    </row>
    <row r="628" customFormat="false" ht="15" hidden="false" customHeight="false" outlineLevel="0" collapsed="false">
      <c r="A628" s="3" t="s">
        <v>1018</v>
      </c>
      <c r="B628" s="3" t="s">
        <v>282</v>
      </c>
      <c r="C628" s="3" t="s">
        <v>405</v>
      </c>
      <c r="D628" s="3" t="s">
        <v>392</v>
      </c>
      <c r="E628" s="3" t="s">
        <v>398</v>
      </c>
      <c r="F628" s="16" t="n">
        <v>12</v>
      </c>
      <c r="G628" s="15" t="n">
        <v>0</v>
      </c>
      <c r="H628" s="16" t="n">
        <v>10</v>
      </c>
      <c r="I628" s="33" t="n">
        <v>56077.2</v>
      </c>
      <c r="J628" s="33" t="n">
        <v>56077.2</v>
      </c>
    </row>
    <row r="629" customFormat="false" ht="15" hidden="false" customHeight="false" outlineLevel="0" collapsed="false">
      <c r="A629" s="3" t="s">
        <v>1019</v>
      </c>
      <c r="B629" s="3" t="s">
        <v>282</v>
      </c>
      <c r="C629" s="3" t="s">
        <v>396</v>
      </c>
      <c r="D629" s="3" t="s">
        <v>418</v>
      </c>
      <c r="E629" s="3" t="s">
        <v>398</v>
      </c>
      <c r="F629" s="16" t="n">
        <v>12</v>
      </c>
      <c r="G629" s="15" t="n">
        <v>0.25</v>
      </c>
      <c r="H629" s="16" t="n">
        <v>10</v>
      </c>
      <c r="I629" s="33" t="n">
        <v>55765.92</v>
      </c>
      <c r="J629" s="33" t="n">
        <v>74354.52</v>
      </c>
    </row>
    <row r="630" customFormat="false" ht="15" hidden="false" customHeight="false" outlineLevel="0" collapsed="false">
      <c r="A630" s="3" t="s">
        <v>1020</v>
      </c>
      <c r="B630" s="3" t="s">
        <v>282</v>
      </c>
      <c r="C630" s="3" t="s">
        <v>401</v>
      </c>
      <c r="D630" s="3" t="s">
        <v>392</v>
      </c>
      <c r="E630" s="3" t="s">
        <v>385</v>
      </c>
      <c r="F630" s="16" t="n">
        <v>24</v>
      </c>
      <c r="G630" s="15" t="n">
        <v>0</v>
      </c>
      <c r="H630" s="16" t="n">
        <v>11</v>
      </c>
      <c r="I630" s="33" t="n">
        <v>55701.24</v>
      </c>
      <c r="J630" s="33" t="n">
        <v>55701.24</v>
      </c>
    </row>
    <row r="631" customFormat="false" ht="15" hidden="false" customHeight="false" outlineLevel="0" collapsed="false">
      <c r="A631" s="3" t="s">
        <v>1021</v>
      </c>
      <c r="B631" s="3" t="s">
        <v>282</v>
      </c>
      <c r="C631" s="3" t="s">
        <v>380</v>
      </c>
      <c r="D631" s="3" t="s">
        <v>392</v>
      </c>
      <c r="E631" s="3" t="s">
        <v>382</v>
      </c>
      <c r="F631" s="16" t="n">
        <v>12</v>
      </c>
      <c r="G631" s="15" t="n">
        <v>0</v>
      </c>
      <c r="H631" s="16" t="n">
        <v>1</v>
      </c>
      <c r="I631" s="33" t="n">
        <v>55602.36</v>
      </c>
      <c r="J631" s="33" t="n">
        <v>55602.36</v>
      </c>
    </row>
    <row r="632" customFormat="false" ht="15" hidden="false" customHeight="false" outlineLevel="0" collapsed="false">
      <c r="A632" s="3" t="s">
        <v>1022</v>
      </c>
      <c r="B632" s="3" t="s">
        <v>282</v>
      </c>
      <c r="C632" s="3" t="s">
        <v>405</v>
      </c>
      <c r="D632" s="3" t="s">
        <v>392</v>
      </c>
      <c r="E632" s="3" t="s">
        <v>385</v>
      </c>
      <c r="F632" s="16" t="n">
        <v>24</v>
      </c>
      <c r="G632" s="15" t="n">
        <v>0</v>
      </c>
      <c r="H632" s="16" t="n">
        <v>9</v>
      </c>
      <c r="I632" s="33" t="n">
        <v>55584.6</v>
      </c>
      <c r="J632" s="33" t="n">
        <v>55584.6</v>
      </c>
    </row>
    <row r="633" customFormat="false" ht="15" hidden="false" customHeight="false" outlineLevel="0" collapsed="false">
      <c r="A633" s="3" t="s">
        <v>1023</v>
      </c>
      <c r="B633" s="3" t="s">
        <v>282</v>
      </c>
      <c r="C633" s="3" t="s">
        <v>403</v>
      </c>
      <c r="D633" s="3" t="s">
        <v>392</v>
      </c>
      <c r="E633" s="3" t="s">
        <v>385</v>
      </c>
      <c r="F633" s="16" t="n">
        <v>12</v>
      </c>
      <c r="G633" s="15" t="n">
        <v>0</v>
      </c>
      <c r="H633" s="16" t="n">
        <v>7</v>
      </c>
      <c r="I633" s="33" t="n">
        <v>55569.6</v>
      </c>
      <c r="J633" s="33" t="n">
        <v>55569.6</v>
      </c>
    </row>
    <row r="634" customFormat="false" ht="15" hidden="false" customHeight="false" outlineLevel="0" collapsed="false">
      <c r="A634" s="3" t="s">
        <v>1024</v>
      </c>
      <c r="B634" s="3" t="s">
        <v>282</v>
      </c>
      <c r="C634" s="3" t="s">
        <v>384</v>
      </c>
      <c r="D634" s="3" t="s">
        <v>388</v>
      </c>
      <c r="E634" s="3" t="s">
        <v>385</v>
      </c>
      <c r="F634" s="16" t="n">
        <v>24</v>
      </c>
      <c r="G634" s="15" t="n">
        <v>0</v>
      </c>
      <c r="H634" s="16" t="n">
        <v>8</v>
      </c>
      <c r="I634" s="33" t="n">
        <v>55492.8</v>
      </c>
      <c r="J634" s="33" t="n">
        <v>55492.8</v>
      </c>
    </row>
    <row r="635" customFormat="false" ht="15" hidden="false" customHeight="false" outlineLevel="0" collapsed="false">
      <c r="A635" s="3" t="s">
        <v>1025</v>
      </c>
      <c r="B635" s="3" t="s">
        <v>282</v>
      </c>
      <c r="C635" s="3" t="s">
        <v>405</v>
      </c>
      <c r="D635" s="3" t="s">
        <v>692</v>
      </c>
      <c r="E635" s="3" t="s">
        <v>382</v>
      </c>
      <c r="F635" s="16" t="n">
        <v>12</v>
      </c>
      <c r="G635" s="15" t="n">
        <v>0</v>
      </c>
      <c r="H635" s="16" t="n">
        <v>10</v>
      </c>
      <c r="I635" s="33" t="n">
        <v>55461</v>
      </c>
      <c r="J635" s="33" t="n">
        <v>55461</v>
      </c>
    </row>
    <row r="636" customFormat="false" ht="15" hidden="false" customHeight="false" outlineLevel="0" collapsed="false">
      <c r="A636" s="3" t="s">
        <v>1026</v>
      </c>
      <c r="B636" s="3" t="s">
        <v>282</v>
      </c>
      <c r="C636" s="3" t="s">
        <v>396</v>
      </c>
      <c r="D636" s="3" t="s">
        <v>392</v>
      </c>
      <c r="E636" s="3" t="s">
        <v>385</v>
      </c>
      <c r="F636" s="16" t="n">
        <v>12</v>
      </c>
      <c r="G636" s="15" t="n">
        <v>0</v>
      </c>
      <c r="H636" s="16" t="n">
        <v>11</v>
      </c>
      <c r="I636" s="33" t="n">
        <v>55383.84</v>
      </c>
      <c r="J636" s="33" t="n">
        <v>55383.84</v>
      </c>
    </row>
    <row r="637" customFormat="false" ht="15" hidden="false" customHeight="false" outlineLevel="0" collapsed="false">
      <c r="A637" s="3" t="s">
        <v>1027</v>
      </c>
      <c r="B637" s="3" t="s">
        <v>282</v>
      </c>
      <c r="C637" s="3" t="s">
        <v>380</v>
      </c>
      <c r="D637" s="3" t="s">
        <v>392</v>
      </c>
      <c r="E637" s="3" t="s">
        <v>385</v>
      </c>
      <c r="F637" s="16" t="n">
        <v>12</v>
      </c>
      <c r="G637" s="15" t="n">
        <v>0.15</v>
      </c>
      <c r="H637" s="16" t="n">
        <v>11</v>
      </c>
      <c r="I637" s="33" t="n">
        <v>55382.52</v>
      </c>
      <c r="J637" s="33" t="n">
        <v>65155.8</v>
      </c>
    </row>
    <row r="638" customFormat="false" ht="15" hidden="false" customHeight="false" outlineLevel="0" collapsed="false">
      <c r="A638" s="3" t="s">
        <v>1028</v>
      </c>
      <c r="B638" s="3" t="s">
        <v>282</v>
      </c>
      <c r="C638" s="3" t="s">
        <v>387</v>
      </c>
      <c r="D638" s="3" t="s">
        <v>381</v>
      </c>
      <c r="E638" s="3" t="s">
        <v>385</v>
      </c>
      <c r="F638" s="16" t="n">
        <v>12</v>
      </c>
      <c r="G638" s="15" t="n">
        <v>0</v>
      </c>
      <c r="H638" s="16" t="n">
        <v>5</v>
      </c>
      <c r="I638" s="33" t="n">
        <v>55346.28</v>
      </c>
      <c r="J638" s="33" t="n">
        <v>55346.28</v>
      </c>
    </row>
    <row r="639" customFormat="false" ht="15" hidden="false" customHeight="false" outlineLevel="0" collapsed="false">
      <c r="A639" s="3" t="s">
        <v>1029</v>
      </c>
      <c r="B639" s="3" t="s">
        <v>283</v>
      </c>
      <c r="C639" s="3" t="s">
        <v>405</v>
      </c>
      <c r="D639" s="3" t="s">
        <v>692</v>
      </c>
      <c r="E639" s="3" t="s">
        <v>382</v>
      </c>
      <c r="F639" s="16" t="n">
        <v>1</v>
      </c>
      <c r="G639" s="15" t="n">
        <v>0</v>
      </c>
      <c r="H639" s="16" t="n">
        <v>1</v>
      </c>
      <c r="I639" s="33" t="n">
        <v>55050.36</v>
      </c>
      <c r="J639" s="33" t="n">
        <v>55050.36</v>
      </c>
    </row>
    <row r="640" customFormat="false" ht="15" hidden="false" customHeight="false" outlineLevel="0" collapsed="false">
      <c r="A640" s="3" t="s">
        <v>1030</v>
      </c>
      <c r="B640" s="3" t="s">
        <v>282</v>
      </c>
      <c r="C640" s="3" t="s">
        <v>387</v>
      </c>
      <c r="D640" s="3" t="s">
        <v>381</v>
      </c>
      <c r="E640" s="3" t="s">
        <v>382</v>
      </c>
      <c r="F640" s="16" t="n">
        <v>12</v>
      </c>
      <c r="G640" s="15" t="n">
        <v>0.15</v>
      </c>
      <c r="H640" s="16" t="n">
        <v>10</v>
      </c>
      <c r="I640" s="33" t="n">
        <v>54933.84</v>
      </c>
      <c r="J640" s="33" t="n">
        <v>64628.04</v>
      </c>
    </row>
    <row r="641" customFormat="false" ht="15" hidden="false" customHeight="false" outlineLevel="0" collapsed="false">
      <c r="A641" s="3" t="s">
        <v>1031</v>
      </c>
      <c r="B641" s="3" t="s">
        <v>282</v>
      </c>
      <c r="C641" s="3" t="s">
        <v>384</v>
      </c>
      <c r="D641" s="3" t="s">
        <v>381</v>
      </c>
      <c r="E641" s="3" t="s">
        <v>385</v>
      </c>
      <c r="F641" s="16" t="n">
        <v>24</v>
      </c>
      <c r="G641" s="15" t="n">
        <v>0.15</v>
      </c>
      <c r="H641" s="16" t="n">
        <v>13</v>
      </c>
      <c r="I641" s="33" t="n">
        <v>54876.96</v>
      </c>
      <c r="J641" s="33" t="n">
        <v>64561.08</v>
      </c>
    </row>
    <row r="642" customFormat="false" ht="15" hidden="false" customHeight="false" outlineLevel="0" collapsed="false">
      <c r="A642" s="3" t="s">
        <v>1032</v>
      </c>
      <c r="B642" s="3" t="s">
        <v>282</v>
      </c>
      <c r="C642" s="3" t="s">
        <v>405</v>
      </c>
      <c r="D642" s="3" t="s">
        <v>392</v>
      </c>
      <c r="E642" s="3" t="s">
        <v>398</v>
      </c>
      <c r="F642" s="16" t="n">
        <v>12</v>
      </c>
      <c r="G642" s="15" t="n">
        <v>0</v>
      </c>
      <c r="H642" s="16" t="n">
        <v>2</v>
      </c>
      <c r="I642" s="33" t="n">
        <v>54873.12</v>
      </c>
      <c r="J642" s="33" t="n">
        <v>54873.12</v>
      </c>
    </row>
    <row r="643" customFormat="false" ht="15" hidden="false" customHeight="false" outlineLevel="0" collapsed="false">
      <c r="A643" s="3" t="s">
        <v>1033</v>
      </c>
      <c r="B643" s="3" t="s">
        <v>282</v>
      </c>
      <c r="C643" s="3" t="s">
        <v>405</v>
      </c>
      <c r="D643" s="3" t="s">
        <v>392</v>
      </c>
      <c r="E643" s="3" t="s">
        <v>398</v>
      </c>
      <c r="F643" s="16" t="n">
        <v>12</v>
      </c>
      <c r="G643" s="15" t="n">
        <v>0</v>
      </c>
      <c r="H643" s="16" t="n">
        <v>3</v>
      </c>
      <c r="I643" s="33" t="n">
        <v>54845.16</v>
      </c>
      <c r="J643" s="33" t="n">
        <v>54845.16</v>
      </c>
    </row>
    <row r="644" customFormat="false" ht="15" hidden="false" customHeight="false" outlineLevel="0" collapsed="false">
      <c r="A644" s="3" t="s">
        <v>1034</v>
      </c>
      <c r="B644" s="3" t="s">
        <v>282</v>
      </c>
      <c r="C644" s="3" t="s">
        <v>403</v>
      </c>
      <c r="D644" s="3" t="s">
        <v>392</v>
      </c>
      <c r="E644" s="3" t="s">
        <v>398</v>
      </c>
      <c r="F644" s="16" t="n">
        <v>12</v>
      </c>
      <c r="G644" s="15" t="n">
        <v>0</v>
      </c>
      <c r="H644" s="16" t="n">
        <v>3</v>
      </c>
      <c r="I644" s="33" t="n">
        <v>54548.52</v>
      </c>
      <c r="J644" s="33" t="n">
        <v>54548.52</v>
      </c>
    </row>
    <row r="645" customFormat="false" ht="15" hidden="false" customHeight="false" outlineLevel="0" collapsed="false">
      <c r="A645" s="3" t="s">
        <v>1035</v>
      </c>
      <c r="B645" s="3" t="s">
        <v>282</v>
      </c>
      <c r="C645" s="3" t="s">
        <v>387</v>
      </c>
      <c r="D645" s="3" t="s">
        <v>381</v>
      </c>
      <c r="E645" s="3" t="s">
        <v>385</v>
      </c>
      <c r="F645" s="16" t="n">
        <v>12</v>
      </c>
      <c r="G645" s="15" t="n">
        <v>0</v>
      </c>
      <c r="H645" s="16" t="n">
        <v>7</v>
      </c>
      <c r="I645" s="33" t="n">
        <v>54403.44</v>
      </c>
      <c r="J645" s="33" t="n">
        <v>54403.44</v>
      </c>
    </row>
    <row r="646" customFormat="false" ht="15" hidden="false" customHeight="false" outlineLevel="0" collapsed="false">
      <c r="A646" s="3" t="s">
        <v>1036</v>
      </c>
      <c r="B646" s="3" t="s">
        <v>282</v>
      </c>
      <c r="C646" s="3" t="s">
        <v>384</v>
      </c>
      <c r="D646" s="3" t="s">
        <v>392</v>
      </c>
      <c r="E646" s="3" t="s">
        <v>398</v>
      </c>
      <c r="F646" s="16" t="n">
        <v>12</v>
      </c>
      <c r="G646" s="15" t="n">
        <v>0</v>
      </c>
      <c r="H646" s="16" t="n">
        <v>7</v>
      </c>
      <c r="I646" s="33" t="n">
        <v>54334.8</v>
      </c>
      <c r="J646" s="33" t="n">
        <v>54334.8</v>
      </c>
    </row>
    <row r="647" customFormat="false" ht="15" hidden="false" customHeight="false" outlineLevel="0" collapsed="false">
      <c r="A647" s="3" t="s">
        <v>1037</v>
      </c>
      <c r="B647" s="3" t="s">
        <v>282</v>
      </c>
      <c r="C647" s="3" t="s">
        <v>405</v>
      </c>
      <c r="D647" s="3" t="s">
        <v>392</v>
      </c>
      <c r="E647" s="3" t="s">
        <v>382</v>
      </c>
      <c r="F647" s="16" t="n">
        <v>12</v>
      </c>
      <c r="G647" s="15" t="n">
        <v>0</v>
      </c>
      <c r="H647" s="16" t="n">
        <v>10</v>
      </c>
      <c r="I647" s="33" t="n">
        <v>54294.84</v>
      </c>
      <c r="J647" s="33" t="n">
        <v>54294.84</v>
      </c>
    </row>
    <row r="648" customFormat="false" ht="15" hidden="false" customHeight="false" outlineLevel="0" collapsed="false">
      <c r="A648" s="3" t="s">
        <v>1038</v>
      </c>
      <c r="B648" s="3" t="s">
        <v>282</v>
      </c>
      <c r="C648" s="3" t="s">
        <v>401</v>
      </c>
      <c r="D648" s="3" t="s">
        <v>392</v>
      </c>
      <c r="E648" s="3" t="s">
        <v>382</v>
      </c>
      <c r="F648" s="16" t="n">
        <v>12</v>
      </c>
      <c r="G648" s="15" t="n">
        <v>0</v>
      </c>
      <c r="H648" s="16" t="n">
        <v>4</v>
      </c>
      <c r="I648" s="33" t="n">
        <v>54256.32</v>
      </c>
      <c r="J648" s="33" t="n">
        <v>54256.32</v>
      </c>
    </row>
    <row r="649" customFormat="false" ht="15" hidden="false" customHeight="false" outlineLevel="0" collapsed="false">
      <c r="A649" s="3" t="s">
        <v>1039</v>
      </c>
      <c r="B649" s="3" t="s">
        <v>282</v>
      </c>
      <c r="C649" s="3" t="s">
        <v>380</v>
      </c>
      <c r="D649" s="3" t="s">
        <v>418</v>
      </c>
      <c r="E649" s="3" t="s">
        <v>398</v>
      </c>
      <c r="F649" s="16" t="n">
        <v>24</v>
      </c>
      <c r="G649" s="15" t="n">
        <v>0.1</v>
      </c>
      <c r="H649" s="16" t="n">
        <v>1</v>
      </c>
      <c r="I649" s="33" t="n">
        <v>54243.48</v>
      </c>
      <c r="J649" s="33" t="n">
        <v>60270.48</v>
      </c>
    </row>
    <row r="650" customFormat="false" ht="15" hidden="false" customHeight="false" outlineLevel="0" collapsed="false">
      <c r="A650" s="3" t="s">
        <v>1040</v>
      </c>
      <c r="B650" s="3" t="s">
        <v>282</v>
      </c>
      <c r="C650" s="3" t="s">
        <v>380</v>
      </c>
      <c r="D650" s="3" t="s">
        <v>392</v>
      </c>
      <c r="E650" s="3" t="s">
        <v>398</v>
      </c>
      <c r="F650" s="16" t="n">
        <v>12</v>
      </c>
      <c r="G650" s="15" t="n">
        <v>0.1</v>
      </c>
      <c r="H650" s="16" t="n">
        <v>11</v>
      </c>
      <c r="I650" s="33" t="n">
        <v>54195.36</v>
      </c>
      <c r="J650" s="33" t="n">
        <v>60217.08</v>
      </c>
    </row>
    <row r="651" customFormat="false" ht="15" hidden="false" customHeight="false" outlineLevel="0" collapsed="false">
      <c r="A651" s="3" t="s">
        <v>1041</v>
      </c>
      <c r="B651" s="3" t="s">
        <v>282</v>
      </c>
      <c r="C651" s="3" t="s">
        <v>405</v>
      </c>
      <c r="D651" s="3" t="s">
        <v>418</v>
      </c>
      <c r="E651" s="3" t="s">
        <v>398</v>
      </c>
      <c r="F651" s="16" t="n">
        <v>12</v>
      </c>
      <c r="G651" s="15" t="n">
        <v>0.2</v>
      </c>
      <c r="H651" s="16" t="n">
        <v>3</v>
      </c>
      <c r="I651" s="33" t="n">
        <v>54112.56</v>
      </c>
      <c r="J651" s="33" t="n">
        <v>67640.64</v>
      </c>
    </row>
    <row r="652" customFormat="false" ht="15" hidden="false" customHeight="false" outlineLevel="0" collapsed="false">
      <c r="A652" s="3" t="s">
        <v>1042</v>
      </c>
      <c r="B652" s="3" t="s">
        <v>282</v>
      </c>
      <c r="C652" s="3" t="s">
        <v>396</v>
      </c>
      <c r="D652" s="3" t="s">
        <v>392</v>
      </c>
      <c r="E652" s="3" t="s">
        <v>398</v>
      </c>
      <c r="F652" s="16" t="n">
        <v>24</v>
      </c>
      <c r="G652" s="15" t="n">
        <v>0</v>
      </c>
      <c r="H652" s="16" t="n">
        <v>3</v>
      </c>
      <c r="I652" s="33" t="n">
        <v>53963.04</v>
      </c>
      <c r="J652" s="33" t="n">
        <v>53963.04</v>
      </c>
    </row>
    <row r="653" customFormat="false" ht="15" hidden="false" customHeight="false" outlineLevel="0" collapsed="false">
      <c r="A653" s="3" t="s">
        <v>1043</v>
      </c>
      <c r="B653" s="3" t="s">
        <v>282</v>
      </c>
      <c r="C653" s="3" t="s">
        <v>384</v>
      </c>
      <c r="D653" s="3" t="s">
        <v>381</v>
      </c>
      <c r="E653" s="3" t="s">
        <v>385</v>
      </c>
      <c r="F653" s="16" t="n">
        <v>24</v>
      </c>
      <c r="G653" s="15" t="n">
        <v>0</v>
      </c>
      <c r="H653" s="16" t="n">
        <v>17</v>
      </c>
      <c r="I653" s="33" t="n">
        <v>53928.12</v>
      </c>
      <c r="J653" s="33" t="n">
        <v>53928.12</v>
      </c>
    </row>
    <row r="654" customFormat="false" ht="15" hidden="false" customHeight="false" outlineLevel="0" collapsed="false">
      <c r="A654" s="3" t="s">
        <v>1044</v>
      </c>
      <c r="B654" s="3" t="s">
        <v>282</v>
      </c>
      <c r="C654" s="3" t="s">
        <v>380</v>
      </c>
      <c r="D654" s="3" t="s">
        <v>381</v>
      </c>
      <c r="E654" s="3" t="s">
        <v>398</v>
      </c>
      <c r="F654" s="16" t="n">
        <v>12</v>
      </c>
      <c r="G654" s="15" t="n">
        <v>0</v>
      </c>
      <c r="H654" s="16" t="n">
        <v>12</v>
      </c>
      <c r="I654" s="33" t="n">
        <v>53927.28</v>
      </c>
      <c r="J654" s="33" t="n">
        <v>53927.28</v>
      </c>
    </row>
    <row r="655" customFormat="false" ht="15" hidden="false" customHeight="false" outlineLevel="0" collapsed="false">
      <c r="A655" s="3" t="s">
        <v>1045</v>
      </c>
      <c r="B655" s="3" t="s">
        <v>282</v>
      </c>
      <c r="C655" s="3" t="s">
        <v>396</v>
      </c>
      <c r="D655" s="3" t="s">
        <v>381</v>
      </c>
      <c r="E655" s="3" t="s">
        <v>382</v>
      </c>
      <c r="F655" s="16" t="n">
        <v>12</v>
      </c>
      <c r="G655" s="15" t="n">
        <v>0</v>
      </c>
      <c r="H655" s="16" t="n">
        <v>3</v>
      </c>
      <c r="I655" s="33" t="n">
        <v>53792.76</v>
      </c>
      <c r="J655" s="33" t="n">
        <v>53792.76</v>
      </c>
    </row>
    <row r="656" customFormat="false" ht="15" hidden="false" customHeight="false" outlineLevel="0" collapsed="false">
      <c r="A656" s="3" t="s">
        <v>1046</v>
      </c>
      <c r="B656" s="3" t="s">
        <v>282</v>
      </c>
      <c r="C656" s="3" t="s">
        <v>401</v>
      </c>
      <c r="D656" s="3" t="s">
        <v>418</v>
      </c>
      <c r="E656" s="3" t="s">
        <v>382</v>
      </c>
      <c r="F656" s="16" t="n">
        <v>24</v>
      </c>
      <c r="G656" s="15" t="n">
        <v>0.1</v>
      </c>
      <c r="H656" s="16" t="n">
        <v>24</v>
      </c>
      <c r="I656" s="33" t="n">
        <v>53573.76</v>
      </c>
      <c r="J656" s="33" t="n">
        <v>59526.36</v>
      </c>
    </row>
    <row r="657" customFormat="false" ht="15" hidden="false" customHeight="false" outlineLevel="0" collapsed="false">
      <c r="A657" s="3" t="s">
        <v>1047</v>
      </c>
      <c r="B657" s="3" t="s">
        <v>282</v>
      </c>
      <c r="C657" s="3" t="s">
        <v>401</v>
      </c>
      <c r="D657" s="3" t="s">
        <v>392</v>
      </c>
      <c r="E657" s="3" t="s">
        <v>398</v>
      </c>
      <c r="F657" s="16" t="n">
        <v>24</v>
      </c>
      <c r="G657" s="15" t="n">
        <v>0</v>
      </c>
      <c r="H657" s="16" t="n">
        <v>4</v>
      </c>
      <c r="I657" s="33" t="n">
        <v>53560.44</v>
      </c>
      <c r="J657" s="33" t="n">
        <v>53560.44</v>
      </c>
    </row>
    <row r="658" customFormat="false" ht="15" hidden="false" customHeight="false" outlineLevel="0" collapsed="false">
      <c r="A658" s="3" t="s">
        <v>1048</v>
      </c>
      <c r="B658" s="3" t="s">
        <v>282</v>
      </c>
      <c r="C658" s="3" t="s">
        <v>403</v>
      </c>
      <c r="D658" s="3" t="s">
        <v>418</v>
      </c>
      <c r="E658" s="3" t="s">
        <v>398</v>
      </c>
      <c r="F658" s="16" t="n">
        <v>12</v>
      </c>
      <c r="G658" s="15" t="n">
        <v>0.1</v>
      </c>
      <c r="H658" s="16" t="n">
        <v>10</v>
      </c>
      <c r="I658" s="33" t="n">
        <v>53470.68</v>
      </c>
      <c r="J658" s="33" t="n">
        <v>59411.88</v>
      </c>
    </row>
    <row r="659" customFormat="false" ht="15" hidden="false" customHeight="false" outlineLevel="0" collapsed="false">
      <c r="A659" s="3" t="s">
        <v>1049</v>
      </c>
      <c r="B659" s="3" t="s">
        <v>282</v>
      </c>
      <c r="C659" s="3" t="s">
        <v>384</v>
      </c>
      <c r="D659" s="3" t="s">
        <v>392</v>
      </c>
      <c r="E659" s="3" t="s">
        <v>385</v>
      </c>
      <c r="F659" s="16" t="n">
        <v>24</v>
      </c>
      <c r="G659" s="15" t="n">
        <v>0</v>
      </c>
      <c r="H659" s="16" t="n">
        <v>1</v>
      </c>
      <c r="I659" s="33" t="n">
        <v>53430.84</v>
      </c>
      <c r="J659" s="33" t="n">
        <v>53430.84</v>
      </c>
    </row>
    <row r="660" customFormat="false" ht="15" hidden="false" customHeight="false" outlineLevel="0" collapsed="false">
      <c r="A660" s="3" t="s">
        <v>1050</v>
      </c>
      <c r="B660" s="3" t="s">
        <v>282</v>
      </c>
      <c r="C660" s="3" t="s">
        <v>401</v>
      </c>
      <c r="D660" s="3" t="s">
        <v>418</v>
      </c>
      <c r="E660" s="3" t="s">
        <v>385</v>
      </c>
      <c r="F660" s="16" t="n">
        <v>12</v>
      </c>
      <c r="G660" s="15" t="n">
        <v>0</v>
      </c>
      <c r="H660" s="16" t="n">
        <v>9</v>
      </c>
      <c r="I660" s="33" t="n">
        <v>53390.76</v>
      </c>
      <c r="J660" s="33" t="n">
        <v>53390.76</v>
      </c>
    </row>
    <row r="661" customFormat="false" ht="15" hidden="false" customHeight="false" outlineLevel="0" collapsed="false">
      <c r="A661" s="3" t="s">
        <v>1051</v>
      </c>
      <c r="B661" s="3" t="s">
        <v>282</v>
      </c>
      <c r="C661" s="3" t="s">
        <v>401</v>
      </c>
      <c r="D661" s="3" t="s">
        <v>392</v>
      </c>
      <c r="E661" s="3" t="s">
        <v>398</v>
      </c>
      <c r="F661" s="16" t="n">
        <v>12</v>
      </c>
      <c r="G661" s="15" t="n">
        <v>0</v>
      </c>
      <c r="H661" s="16" t="n">
        <v>3</v>
      </c>
      <c r="I661" s="33" t="n">
        <v>53348.16</v>
      </c>
      <c r="J661" s="33" t="n">
        <v>53348.16</v>
      </c>
    </row>
    <row r="662" customFormat="false" ht="15" hidden="false" customHeight="false" outlineLevel="0" collapsed="false">
      <c r="A662" s="3" t="s">
        <v>1052</v>
      </c>
      <c r="B662" s="3" t="s">
        <v>282</v>
      </c>
      <c r="C662" s="3" t="s">
        <v>384</v>
      </c>
      <c r="D662" s="3" t="s">
        <v>388</v>
      </c>
      <c r="E662" s="3" t="s">
        <v>398</v>
      </c>
      <c r="F662" s="16" t="n">
        <v>12</v>
      </c>
      <c r="G662" s="15" t="n">
        <v>0</v>
      </c>
      <c r="H662" s="16" t="n">
        <v>7</v>
      </c>
      <c r="I662" s="33" t="n">
        <v>53232.96</v>
      </c>
      <c r="J662" s="33" t="n">
        <v>53232.96</v>
      </c>
    </row>
    <row r="663" customFormat="false" ht="15" hidden="false" customHeight="false" outlineLevel="0" collapsed="false">
      <c r="A663" s="3" t="s">
        <v>1053</v>
      </c>
      <c r="B663" s="3" t="s">
        <v>281</v>
      </c>
      <c r="C663" s="3" t="s">
        <v>405</v>
      </c>
      <c r="D663" s="3" t="s">
        <v>381</v>
      </c>
      <c r="E663" s="3" t="s">
        <v>382</v>
      </c>
      <c r="F663" s="16" t="n">
        <v>36</v>
      </c>
      <c r="G663" s="15" t="n">
        <v>0.2</v>
      </c>
      <c r="H663" s="16" t="n">
        <v>31</v>
      </c>
      <c r="I663" s="33" t="n">
        <v>53186.52</v>
      </c>
      <c r="J663" s="33" t="n">
        <v>66483.24</v>
      </c>
    </row>
    <row r="664" customFormat="false" ht="15" hidden="false" customHeight="false" outlineLevel="0" collapsed="false">
      <c r="A664" s="3" t="s">
        <v>1054</v>
      </c>
      <c r="B664" s="3" t="s">
        <v>282</v>
      </c>
      <c r="C664" s="3" t="s">
        <v>387</v>
      </c>
      <c r="D664" s="3" t="s">
        <v>381</v>
      </c>
      <c r="E664" s="3" t="s">
        <v>382</v>
      </c>
      <c r="F664" s="16" t="n">
        <v>12</v>
      </c>
      <c r="G664" s="15" t="n">
        <v>0</v>
      </c>
      <c r="H664" s="16" t="n">
        <v>3</v>
      </c>
      <c r="I664" s="33" t="n">
        <v>52993.8</v>
      </c>
      <c r="J664" s="33" t="n">
        <v>52993.8</v>
      </c>
    </row>
    <row r="665" customFormat="false" ht="15" hidden="false" customHeight="false" outlineLevel="0" collapsed="false">
      <c r="A665" s="3" t="s">
        <v>1055</v>
      </c>
      <c r="B665" s="3" t="s">
        <v>282</v>
      </c>
      <c r="C665" s="3" t="s">
        <v>403</v>
      </c>
      <c r="D665" s="3" t="s">
        <v>381</v>
      </c>
      <c r="E665" s="3" t="s">
        <v>398</v>
      </c>
      <c r="F665" s="16" t="n">
        <v>24</v>
      </c>
      <c r="G665" s="15" t="n">
        <v>0</v>
      </c>
      <c r="H665" s="16" t="n">
        <v>2</v>
      </c>
      <c r="I665" s="33" t="n">
        <v>52977.84</v>
      </c>
      <c r="J665" s="33" t="n">
        <v>52977.84</v>
      </c>
    </row>
    <row r="666" customFormat="false" ht="15" hidden="false" customHeight="false" outlineLevel="0" collapsed="false">
      <c r="A666" s="3" t="s">
        <v>1056</v>
      </c>
      <c r="B666" s="3" t="s">
        <v>282</v>
      </c>
      <c r="C666" s="3" t="s">
        <v>387</v>
      </c>
      <c r="D666" s="3" t="s">
        <v>392</v>
      </c>
      <c r="E666" s="3" t="s">
        <v>382</v>
      </c>
      <c r="F666" s="16" t="n">
        <v>24</v>
      </c>
      <c r="G666" s="15" t="n">
        <v>0.15</v>
      </c>
      <c r="H666" s="16" t="n">
        <v>15</v>
      </c>
      <c r="I666" s="33" t="n">
        <v>52814.64</v>
      </c>
      <c r="J666" s="33" t="n">
        <v>62134.92</v>
      </c>
    </row>
    <row r="667" customFormat="false" ht="15" hidden="false" customHeight="false" outlineLevel="0" collapsed="false">
      <c r="A667" s="3" t="s">
        <v>1057</v>
      </c>
      <c r="B667" s="3" t="s">
        <v>282</v>
      </c>
      <c r="C667" s="3" t="s">
        <v>405</v>
      </c>
      <c r="D667" s="3" t="s">
        <v>692</v>
      </c>
      <c r="E667" s="3" t="s">
        <v>382</v>
      </c>
      <c r="F667" s="16" t="n">
        <v>12</v>
      </c>
      <c r="G667" s="15" t="n">
        <v>0</v>
      </c>
      <c r="H667" s="16" t="n">
        <v>11</v>
      </c>
      <c r="I667" s="33" t="n">
        <v>52785.84</v>
      </c>
      <c r="J667" s="33" t="n">
        <v>52785.84</v>
      </c>
    </row>
    <row r="668" customFormat="false" ht="15" hidden="false" customHeight="false" outlineLevel="0" collapsed="false">
      <c r="A668" s="3" t="s">
        <v>1058</v>
      </c>
      <c r="B668" s="3" t="s">
        <v>282</v>
      </c>
      <c r="C668" s="3" t="s">
        <v>403</v>
      </c>
      <c r="D668" s="3" t="s">
        <v>392</v>
      </c>
      <c r="E668" s="3" t="s">
        <v>398</v>
      </c>
      <c r="F668" s="16" t="n">
        <v>12</v>
      </c>
      <c r="G668" s="15" t="n">
        <v>0</v>
      </c>
      <c r="H668" s="16" t="n">
        <v>10</v>
      </c>
      <c r="I668" s="33" t="n">
        <v>52776.36</v>
      </c>
      <c r="J668" s="33" t="n">
        <v>52776.36</v>
      </c>
    </row>
    <row r="669" customFormat="false" ht="15" hidden="false" customHeight="false" outlineLevel="0" collapsed="false">
      <c r="A669" s="3" t="s">
        <v>1059</v>
      </c>
      <c r="B669" s="3" t="s">
        <v>282</v>
      </c>
      <c r="C669" s="3" t="s">
        <v>403</v>
      </c>
      <c r="D669" s="3" t="s">
        <v>381</v>
      </c>
      <c r="E669" s="3" t="s">
        <v>398</v>
      </c>
      <c r="F669" s="16" t="n">
        <v>12</v>
      </c>
      <c r="G669" s="15" t="n">
        <v>0</v>
      </c>
      <c r="H669" s="16" t="n">
        <v>8</v>
      </c>
      <c r="I669" s="33" t="n">
        <v>52702.2</v>
      </c>
      <c r="J669" s="33" t="n">
        <v>52702.2</v>
      </c>
    </row>
    <row r="670" customFormat="false" ht="15" hidden="false" customHeight="false" outlineLevel="0" collapsed="false">
      <c r="A670" s="3" t="s">
        <v>1060</v>
      </c>
      <c r="B670" s="3" t="s">
        <v>282</v>
      </c>
      <c r="C670" s="3" t="s">
        <v>387</v>
      </c>
      <c r="D670" s="3" t="s">
        <v>418</v>
      </c>
      <c r="E670" s="3" t="s">
        <v>385</v>
      </c>
      <c r="F670" s="16" t="n">
        <v>12</v>
      </c>
      <c r="G670" s="15" t="n">
        <v>0.2</v>
      </c>
      <c r="H670" s="16" t="n">
        <v>1</v>
      </c>
      <c r="I670" s="33" t="n">
        <v>52553.28</v>
      </c>
      <c r="J670" s="33" t="n">
        <v>65691.72</v>
      </c>
    </row>
    <row r="671" customFormat="false" ht="15" hidden="false" customHeight="false" outlineLevel="0" collapsed="false">
      <c r="A671" s="3" t="s">
        <v>1061</v>
      </c>
      <c r="B671" s="3" t="s">
        <v>282</v>
      </c>
      <c r="C671" s="3" t="s">
        <v>380</v>
      </c>
      <c r="D671" s="3" t="s">
        <v>392</v>
      </c>
      <c r="E671" s="3" t="s">
        <v>385</v>
      </c>
      <c r="F671" s="16" t="n">
        <v>24</v>
      </c>
      <c r="G671" s="15" t="n">
        <v>0</v>
      </c>
      <c r="H671" s="16" t="n">
        <v>14</v>
      </c>
      <c r="I671" s="33" t="n">
        <v>52459.92</v>
      </c>
      <c r="J671" s="33" t="n">
        <v>52459.92</v>
      </c>
    </row>
    <row r="672" customFormat="false" ht="15" hidden="false" customHeight="false" outlineLevel="0" collapsed="false">
      <c r="A672" s="3" t="s">
        <v>1062</v>
      </c>
      <c r="B672" s="3" t="s">
        <v>282</v>
      </c>
      <c r="C672" s="3" t="s">
        <v>384</v>
      </c>
      <c r="D672" s="3" t="s">
        <v>392</v>
      </c>
      <c r="E672" s="3" t="s">
        <v>385</v>
      </c>
      <c r="F672" s="16" t="n">
        <v>24</v>
      </c>
      <c r="G672" s="15" t="n">
        <v>0</v>
      </c>
      <c r="H672" s="16" t="n">
        <v>5</v>
      </c>
      <c r="I672" s="33" t="n">
        <v>52454.16</v>
      </c>
      <c r="J672" s="33" t="n">
        <v>52454.16</v>
      </c>
    </row>
    <row r="673" customFormat="false" ht="15" hidden="false" customHeight="false" outlineLevel="0" collapsed="false">
      <c r="A673" s="3" t="s">
        <v>1063</v>
      </c>
      <c r="B673" s="3" t="s">
        <v>282</v>
      </c>
      <c r="C673" s="3" t="s">
        <v>405</v>
      </c>
      <c r="D673" s="3" t="s">
        <v>418</v>
      </c>
      <c r="E673" s="3" t="s">
        <v>398</v>
      </c>
      <c r="F673" s="16" t="n">
        <v>24</v>
      </c>
      <c r="G673" s="15" t="n">
        <v>0</v>
      </c>
      <c r="H673" s="16" t="n">
        <v>17</v>
      </c>
      <c r="I673" s="33" t="n">
        <v>52408.32</v>
      </c>
      <c r="J673" s="33" t="n">
        <v>52408.32</v>
      </c>
    </row>
    <row r="674" customFormat="false" ht="15" hidden="false" customHeight="false" outlineLevel="0" collapsed="false">
      <c r="A674" s="3" t="s">
        <v>1064</v>
      </c>
      <c r="B674" s="3" t="s">
        <v>282</v>
      </c>
      <c r="C674" s="3" t="s">
        <v>384</v>
      </c>
      <c r="D674" s="3" t="s">
        <v>392</v>
      </c>
      <c r="E674" s="3" t="s">
        <v>385</v>
      </c>
      <c r="F674" s="16" t="n">
        <v>12</v>
      </c>
      <c r="G674" s="15" t="n">
        <v>0</v>
      </c>
      <c r="H674" s="16" t="n">
        <v>12</v>
      </c>
      <c r="I674" s="33" t="n">
        <v>52406.4</v>
      </c>
      <c r="J674" s="33" t="n">
        <v>52406.4</v>
      </c>
    </row>
    <row r="675" customFormat="false" ht="15" hidden="false" customHeight="false" outlineLevel="0" collapsed="false">
      <c r="A675" s="3" t="s">
        <v>1065</v>
      </c>
      <c r="B675" s="3" t="s">
        <v>282</v>
      </c>
      <c r="C675" s="3" t="s">
        <v>396</v>
      </c>
      <c r="D675" s="3" t="s">
        <v>418</v>
      </c>
      <c r="E675" s="3" t="s">
        <v>398</v>
      </c>
      <c r="F675" s="16" t="n">
        <v>12</v>
      </c>
      <c r="G675" s="15" t="n">
        <v>0</v>
      </c>
      <c r="H675" s="16" t="n">
        <v>12</v>
      </c>
      <c r="I675" s="33" t="n">
        <v>52385.04</v>
      </c>
      <c r="J675" s="33" t="n">
        <v>52385.04</v>
      </c>
    </row>
    <row r="676" customFormat="false" ht="15" hidden="false" customHeight="false" outlineLevel="0" collapsed="false">
      <c r="A676" s="3" t="s">
        <v>1066</v>
      </c>
      <c r="B676" s="3" t="s">
        <v>282</v>
      </c>
      <c r="C676" s="3" t="s">
        <v>396</v>
      </c>
      <c r="D676" s="3" t="s">
        <v>388</v>
      </c>
      <c r="E676" s="3" t="s">
        <v>382</v>
      </c>
      <c r="F676" s="16" t="n">
        <v>12</v>
      </c>
      <c r="G676" s="15" t="n">
        <v>0</v>
      </c>
      <c r="H676" s="16" t="n">
        <v>1</v>
      </c>
      <c r="I676" s="33" t="n">
        <v>52375.2</v>
      </c>
      <c r="J676" s="33" t="n">
        <v>52375.2</v>
      </c>
    </row>
    <row r="677" customFormat="false" ht="15" hidden="false" customHeight="false" outlineLevel="0" collapsed="false">
      <c r="A677" s="3" t="s">
        <v>1067</v>
      </c>
      <c r="B677" s="3" t="s">
        <v>282</v>
      </c>
      <c r="C677" s="3" t="s">
        <v>396</v>
      </c>
      <c r="D677" s="3" t="s">
        <v>388</v>
      </c>
      <c r="E677" s="3" t="s">
        <v>398</v>
      </c>
      <c r="F677" s="16" t="n">
        <v>12</v>
      </c>
      <c r="G677" s="15" t="n">
        <v>0</v>
      </c>
      <c r="H677" s="16" t="n">
        <v>9</v>
      </c>
      <c r="I677" s="33" t="n">
        <v>52357.44</v>
      </c>
      <c r="J677" s="33" t="n">
        <v>52357.44</v>
      </c>
    </row>
    <row r="678" customFormat="false" ht="15" hidden="false" customHeight="false" outlineLevel="0" collapsed="false">
      <c r="A678" s="3" t="s">
        <v>1068</v>
      </c>
      <c r="B678" s="3" t="s">
        <v>282</v>
      </c>
      <c r="C678" s="3" t="s">
        <v>387</v>
      </c>
      <c r="D678" s="3" t="s">
        <v>381</v>
      </c>
      <c r="E678" s="3" t="s">
        <v>382</v>
      </c>
      <c r="F678" s="16" t="n">
        <v>12</v>
      </c>
      <c r="G678" s="15" t="n">
        <v>0.25</v>
      </c>
      <c r="H678" s="16" t="n">
        <v>4</v>
      </c>
      <c r="I678" s="33" t="n">
        <v>52273.92</v>
      </c>
      <c r="J678" s="33" t="n">
        <v>69698.64</v>
      </c>
    </row>
    <row r="679" customFormat="false" ht="15" hidden="false" customHeight="false" outlineLevel="0" collapsed="false">
      <c r="A679" s="3" t="s">
        <v>1069</v>
      </c>
      <c r="B679" s="3" t="s">
        <v>282</v>
      </c>
      <c r="C679" s="3" t="s">
        <v>401</v>
      </c>
      <c r="D679" s="3" t="s">
        <v>392</v>
      </c>
      <c r="E679" s="3" t="s">
        <v>382</v>
      </c>
      <c r="F679" s="16" t="n">
        <v>24</v>
      </c>
      <c r="G679" s="15" t="n">
        <v>0</v>
      </c>
      <c r="H679" s="16" t="n">
        <v>13</v>
      </c>
      <c r="I679" s="33" t="n">
        <v>52175.52</v>
      </c>
      <c r="J679" s="33" t="n">
        <v>52175.52</v>
      </c>
    </row>
    <row r="680" customFormat="false" ht="15" hidden="false" customHeight="false" outlineLevel="0" collapsed="false">
      <c r="A680" s="3" t="s">
        <v>1070</v>
      </c>
      <c r="B680" s="3" t="s">
        <v>282</v>
      </c>
      <c r="C680" s="3" t="s">
        <v>387</v>
      </c>
      <c r="D680" s="3" t="s">
        <v>388</v>
      </c>
      <c r="E680" s="3" t="s">
        <v>382</v>
      </c>
      <c r="F680" s="16" t="n">
        <v>24</v>
      </c>
      <c r="G680" s="15" t="n">
        <v>0.3</v>
      </c>
      <c r="H680" s="16" t="n">
        <v>19</v>
      </c>
      <c r="I680" s="33" t="n">
        <v>52170.72</v>
      </c>
      <c r="J680" s="33" t="n">
        <v>74529.6</v>
      </c>
    </row>
    <row r="681" customFormat="false" ht="15" hidden="false" customHeight="false" outlineLevel="0" collapsed="false">
      <c r="A681" s="3" t="s">
        <v>1071</v>
      </c>
      <c r="B681" s="3" t="s">
        <v>282</v>
      </c>
      <c r="C681" s="3" t="s">
        <v>401</v>
      </c>
      <c r="D681" s="3" t="s">
        <v>392</v>
      </c>
      <c r="E681" s="3" t="s">
        <v>398</v>
      </c>
      <c r="F681" s="16" t="n">
        <v>24</v>
      </c>
      <c r="G681" s="15" t="n">
        <v>0</v>
      </c>
      <c r="H681" s="16" t="n">
        <v>19</v>
      </c>
      <c r="I681" s="33" t="n">
        <v>52113.84</v>
      </c>
      <c r="J681" s="33" t="n">
        <v>52113.84</v>
      </c>
    </row>
    <row r="682" customFormat="false" ht="15" hidden="false" customHeight="false" outlineLevel="0" collapsed="false">
      <c r="A682" s="3" t="s">
        <v>1072</v>
      </c>
      <c r="B682" s="3" t="s">
        <v>282</v>
      </c>
      <c r="C682" s="3" t="s">
        <v>396</v>
      </c>
      <c r="D682" s="3" t="s">
        <v>392</v>
      </c>
      <c r="E682" s="3" t="s">
        <v>385</v>
      </c>
      <c r="F682" s="16" t="n">
        <v>12</v>
      </c>
      <c r="G682" s="15" t="n">
        <v>0.1</v>
      </c>
      <c r="H682" s="16" t="n">
        <v>11</v>
      </c>
      <c r="I682" s="33" t="n">
        <v>52087.8</v>
      </c>
      <c r="J682" s="33" t="n">
        <v>57875.4</v>
      </c>
    </row>
    <row r="683" customFormat="false" ht="15" hidden="false" customHeight="false" outlineLevel="0" collapsed="false">
      <c r="A683" s="3" t="s">
        <v>1073</v>
      </c>
      <c r="B683" s="3" t="s">
        <v>282</v>
      </c>
      <c r="C683" s="3" t="s">
        <v>401</v>
      </c>
      <c r="D683" s="3" t="s">
        <v>381</v>
      </c>
      <c r="E683" s="3" t="s">
        <v>398</v>
      </c>
      <c r="F683" s="16" t="n">
        <v>24</v>
      </c>
      <c r="G683" s="15" t="n">
        <v>0</v>
      </c>
      <c r="H683" s="16" t="n">
        <v>17</v>
      </c>
      <c r="I683" s="33" t="n">
        <v>51938.28</v>
      </c>
      <c r="J683" s="33" t="n">
        <v>51938.28</v>
      </c>
    </row>
    <row r="684" customFormat="false" ht="15" hidden="false" customHeight="false" outlineLevel="0" collapsed="false">
      <c r="A684" s="3" t="s">
        <v>1074</v>
      </c>
      <c r="B684" s="3" t="s">
        <v>282</v>
      </c>
      <c r="C684" s="3" t="s">
        <v>396</v>
      </c>
      <c r="D684" s="3" t="s">
        <v>381</v>
      </c>
      <c r="E684" s="3" t="s">
        <v>382</v>
      </c>
      <c r="F684" s="16" t="n">
        <v>12</v>
      </c>
      <c r="G684" s="15" t="n">
        <v>0</v>
      </c>
      <c r="H684" s="16" t="n">
        <v>2</v>
      </c>
      <c r="I684" s="33" t="n">
        <v>51902.64</v>
      </c>
      <c r="J684" s="33" t="n">
        <v>51902.64</v>
      </c>
    </row>
    <row r="685" customFormat="false" ht="15" hidden="false" customHeight="false" outlineLevel="0" collapsed="false">
      <c r="A685" s="3" t="s">
        <v>1075</v>
      </c>
      <c r="B685" s="3" t="s">
        <v>282</v>
      </c>
      <c r="C685" s="3" t="s">
        <v>380</v>
      </c>
      <c r="D685" s="3" t="s">
        <v>381</v>
      </c>
      <c r="E685" s="3" t="s">
        <v>385</v>
      </c>
      <c r="F685" s="16" t="n">
        <v>12</v>
      </c>
      <c r="G685" s="15" t="n">
        <v>0.1</v>
      </c>
      <c r="H685" s="16" t="n">
        <v>5</v>
      </c>
      <c r="I685" s="33" t="n">
        <v>51834.12</v>
      </c>
      <c r="J685" s="33" t="n">
        <v>57593.4</v>
      </c>
    </row>
    <row r="686" customFormat="false" ht="15" hidden="false" customHeight="false" outlineLevel="0" collapsed="false">
      <c r="A686" s="3" t="s">
        <v>1076</v>
      </c>
      <c r="B686" s="3" t="s">
        <v>282</v>
      </c>
      <c r="C686" s="3" t="s">
        <v>380</v>
      </c>
      <c r="D686" s="3" t="s">
        <v>381</v>
      </c>
      <c r="E686" s="3" t="s">
        <v>398</v>
      </c>
      <c r="F686" s="16" t="n">
        <v>24</v>
      </c>
      <c r="G686" s="15" t="n">
        <v>0.4</v>
      </c>
      <c r="H686" s="16" t="n">
        <v>3</v>
      </c>
      <c r="I686" s="33" t="n">
        <v>51822.12</v>
      </c>
      <c r="J686" s="33" t="n">
        <v>86370.12</v>
      </c>
    </row>
    <row r="687" customFormat="false" ht="15" hidden="false" customHeight="false" outlineLevel="0" collapsed="false">
      <c r="A687" s="3" t="s">
        <v>1077</v>
      </c>
      <c r="B687" s="3" t="s">
        <v>282</v>
      </c>
      <c r="C687" s="3" t="s">
        <v>401</v>
      </c>
      <c r="D687" s="3" t="s">
        <v>392</v>
      </c>
      <c r="E687" s="3" t="s">
        <v>398</v>
      </c>
      <c r="F687" s="16" t="n">
        <v>24</v>
      </c>
      <c r="G687" s="15" t="n">
        <v>0</v>
      </c>
      <c r="H687" s="16" t="n">
        <v>17</v>
      </c>
      <c r="I687" s="33" t="n">
        <v>51610.08</v>
      </c>
      <c r="J687" s="33" t="n">
        <v>51610.08</v>
      </c>
    </row>
    <row r="688" customFormat="false" ht="15" hidden="false" customHeight="false" outlineLevel="0" collapsed="false">
      <c r="A688" s="3" t="s">
        <v>1078</v>
      </c>
      <c r="B688" s="3" t="s">
        <v>282</v>
      </c>
      <c r="C688" s="3" t="s">
        <v>396</v>
      </c>
      <c r="D688" s="3" t="s">
        <v>392</v>
      </c>
      <c r="E688" s="3" t="s">
        <v>398</v>
      </c>
      <c r="F688" s="16" t="n">
        <v>12</v>
      </c>
      <c r="G688" s="15" t="n">
        <v>0.1</v>
      </c>
      <c r="H688" s="16" t="n">
        <v>2</v>
      </c>
      <c r="I688" s="33" t="n">
        <v>51576.36</v>
      </c>
      <c r="J688" s="33" t="n">
        <v>57307.08</v>
      </c>
    </row>
    <row r="689" customFormat="false" ht="15" hidden="false" customHeight="false" outlineLevel="0" collapsed="false">
      <c r="A689" s="3" t="s">
        <v>1079</v>
      </c>
      <c r="B689" s="3" t="s">
        <v>282</v>
      </c>
      <c r="C689" s="3" t="s">
        <v>380</v>
      </c>
      <c r="D689" s="3" t="s">
        <v>418</v>
      </c>
      <c r="E689" s="3" t="s">
        <v>398</v>
      </c>
      <c r="F689" s="16" t="n">
        <v>12</v>
      </c>
      <c r="G689" s="15" t="n">
        <v>0</v>
      </c>
      <c r="H689" s="16" t="n">
        <v>7</v>
      </c>
      <c r="I689" s="33" t="n">
        <v>51528</v>
      </c>
      <c r="J689" s="33" t="n">
        <v>51528</v>
      </c>
    </row>
    <row r="690" customFormat="false" ht="15" hidden="false" customHeight="false" outlineLevel="0" collapsed="false">
      <c r="A690" s="3" t="s">
        <v>1080</v>
      </c>
      <c r="B690" s="3" t="s">
        <v>282</v>
      </c>
      <c r="C690" s="3" t="s">
        <v>396</v>
      </c>
      <c r="D690" s="3" t="s">
        <v>388</v>
      </c>
      <c r="E690" s="3" t="s">
        <v>398</v>
      </c>
      <c r="F690" s="16" t="n">
        <v>24</v>
      </c>
      <c r="G690" s="15" t="n">
        <v>0</v>
      </c>
      <c r="H690" s="16" t="n">
        <v>11</v>
      </c>
      <c r="I690" s="33" t="n">
        <v>51485.76</v>
      </c>
      <c r="J690" s="33" t="n">
        <v>51485.76</v>
      </c>
    </row>
    <row r="691" customFormat="false" ht="15" hidden="false" customHeight="false" outlineLevel="0" collapsed="false">
      <c r="A691" s="3" t="s">
        <v>1081</v>
      </c>
      <c r="B691" s="3" t="s">
        <v>282</v>
      </c>
      <c r="C691" s="3" t="s">
        <v>405</v>
      </c>
      <c r="D691" s="3" t="s">
        <v>692</v>
      </c>
      <c r="E691" s="3" t="s">
        <v>398</v>
      </c>
      <c r="F691" s="16" t="n">
        <v>12</v>
      </c>
      <c r="G691" s="15" t="n">
        <v>0</v>
      </c>
      <c r="H691" s="16" t="n">
        <v>2</v>
      </c>
      <c r="I691" s="33" t="n">
        <v>51484.8</v>
      </c>
      <c r="J691" s="33" t="n">
        <v>51484.8</v>
      </c>
    </row>
    <row r="692" customFormat="false" ht="15" hidden="false" customHeight="false" outlineLevel="0" collapsed="false">
      <c r="A692" s="3" t="s">
        <v>1082</v>
      </c>
      <c r="B692" s="3" t="s">
        <v>282</v>
      </c>
      <c r="C692" s="3" t="s">
        <v>380</v>
      </c>
      <c r="D692" s="3" t="s">
        <v>392</v>
      </c>
      <c r="E692" s="3" t="s">
        <v>398</v>
      </c>
      <c r="F692" s="16" t="n">
        <v>24</v>
      </c>
      <c r="G692" s="15" t="n">
        <v>0</v>
      </c>
      <c r="H692" s="16" t="n">
        <v>3</v>
      </c>
      <c r="I692" s="33" t="n">
        <v>51474.24</v>
      </c>
      <c r="J692" s="33" t="n">
        <v>51474.24</v>
      </c>
    </row>
    <row r="693" customFormat="false" ht="15" hidden="false" customHeight="false" outlineLevel="0" collapsed="false">
      <c r="A693" s="3" t="s">
        <v>1083</v>
      </c>
      <c r="B693" s="3" t="s">
        <v>282</v>
      </c>
      <c r="C693" s="3" t="s">
        <v>380</v>
      </c>
      <c r="D693" s="3" t="s">
        <v>692</v>
      </c>
      <c r="E693" s="3" t="s">
        <v>385</v>
      </c>
      <c r="F693" s="16" t="n">
        <v>24</v>
      </c>
      <c r="G693" s="15" t="n">
        <v>0</v>
      </c>
      <c r="H693" s="16" t="n">
        <v>7</v>
      </c>
      <c r="I693" s="33" t="n">
        <v>51470.04</v>
      </c>
      <c r="J693" s="33" t="n">
        <v>51470.04</v>
      </c>
    </row>
    <row r="694" customFormat="false" ht="15" hidden="false" customHeight="false" outlineLevel="0" collapsed="false">
      <c r="A694" s="3" t="s">
        <v>1084</v>
      </c>
      <c r="B694" s="3" t="s">
        <v>282</v>
      </c>
      <c r="C694" s="3" t="s">
        <v>396</v>
      </c>
      <c r="D694" s="3" t="s">
        <v>418</v>
      </c>
      <c r="E694" s="3" t="s">
        <v>385</v>
      </c>
      <c r="F694" s="16" t="n">
        <v>12</v>
      </c>
      <c r="G694" s="15" t="n">
        <v>0</v>
      </c>
      <c r="H694" s="16" t="n">
        <v>11</v>
      </c>
      <c r="I694" s="33" t="n">
        <v>51387.48</v>
      </c>
      <c r="J694" s="33" t="n">
        <v>51387.48</v>
      </c>
    </row>
    <row r="695" customFormat="false" ht="15" hidden="false" customHeight="false" outlineLevel="0" collapsed="false">
      <c r="A695" s="3" t="s">
        <v>1085</v>
      </c>
      <c r="B695" s="3" t="s">
        <v>282</v>
      </c>
      <c r="C695" s="3" t="s">
        <v>387</v>
      </c>
      <c r="D695" s="3" t="s">
        <v>381</v>
      </c>
      <c r="E695" s="3" t="s">
        <v>382</v>
      </c>
      <c r="F695" s="16" t="n">
        <v>24</v>
      </c>
      <c r="G695" s="15" t="n">
        <v>0.1</v>
      </c>
      <c r="H695" s="16" t="n">
        <v>16</v>
      </c>
      <c r="I695" s="33" t="n">
        <v>51228</v>
      </c>
      <c r="J695" s="33" t="n">
        <v>56919.96</v>
      </c>
    </row>
    <row r="696" customFormat="false" ht="15" hidden="false" customHeight="false" outlineLevel="0" collapsed="false">
      <c r="A696" s="3" t="s">
        <v>1086</v>
      </c>
      <c r="B696" s="3" t="s">
        <v>282</v>
      </c>
      <c r="C696" s="3" t="s">
        <v>387</v>
      </c>
      <c r="D696" s="3" t="s">
        <v>392</v>
      </c>
      <c r="E696" s="3" t="s">
        <v>398</v>
      </c>
      <c r="F696" s="16" t="n">
        <v>12</v>
      </c>
      <c r="G696" s="15" t="n">
        <v>0.1</v>
      </c>
      <c r="H696" s="16" t="n">
        <v>5</v>
      </c>
      <c r="I696" s="33" t="n">
        <v>51195.48</v>
      </c>
      <c r="J696" s="33" t="n">
        <v>56883.84</v>
      </c>
    </row>
    <row r="697" customFormat="false" ht="15" hidden="false" customHeight="false" outlineLevel="0" collapsed="false">
      <c r="A697" s="3" t="s">
        <v>1087</v>
      </c>
      <c r="B697" s="3" t="s">
        <v>282</v>
      </c>
      <c r="C697" s="3" t="s">
        <v>401</v>
      </c>
      <c r="D697" s="3" t="s">
        <v>392</v>
      </c>
      <c r="E697" s="3" t="s">
        <v>398</v>
      </c>
      <c r="F697" s="16" t="n">
        <v>24</v>
      </c>
      <c r="G697" s="15" t="n">
        <v>0</v>
      </c>
      <c r="H697" s="16" t="n">
        <v>23</v>
      </c>
      <c r="I697" s="33" t="n">
        <v>51121.92</v>
      </c>
      <c r="J697" s="33" t="n">
        <v>51121.92</v>
      </c>
    </row>
    <row r="698" customFormat="false" ht="15" hidden="false" customHeight="false" outlineLevel="0" collapsed="false">
      <c r="A698" s="3" t="s">
        <v>1088</v>
      </c>
      <c r="B698" s="3" t="s">
        <v>282</v>
      </c>
      <c r="C698" s="3" t="s">
        <v>387</v>
      </c>
      <c r="D698" s="3" t="s">
        <v>388</v>
      </c>
      <c r="E698" s="3" t="s">
        <v>385</v>
      </c>
      <c r="F698" s="16" t="n">
        <v>24</v>
      </c>
      <c r="G698" s="15" t="n">
        <v>0</v>
      </c>
      <c r="H698" s="16" t="n">
        <v>23</v>
      </c>
      <c r="I698" s="33" t="n">
        <v>50935.68</v>
      </c>
      <c r="J698" s="33" t="n">
        <v>50935.68</v>
      </c>
    </row>
    <row r="699" customFormat="false" ht="15" hidden="false" customHeight="false" outlineLevel="0" collapsed="false">
      <c r="A699" s="3" t="s">
        <v>1089</v>
      </c>
      <c r="B699" s="3" t="s">
        <v>282</v>
      </c>
      <c r="C699" s="3" t="s">
        <v>387</v>
      </c>
      <c r="D699" s="3" t="s">
        <v>392</v>
      </c>
      <c r="E699" s="3" t="s">
        <v>385</v>
      </c>
      <c r="F699" s="16" t="n">
        <v>12</v>
      </c>
      <c r="G699" s="15" t="n">
        <v>0</v>
      </c>
      <c r="H699" s="16" t="n">
        <v>7</v>
      </c>
      <c r="I699" s="33" t="n">
        <v>50788.56</v>
      </c>
      <c r="J699" s="33" t="n">
        <v>50788.56</v>
      </c>
    </row>
    <row r="700" customFormat="false" ht="15" hidden="false" customHeight="false" outlineLevel="0" collapsed="false">
      <c r="A700" s="3" t="s">
        <v>1090</v>
      </c>
      <c r="B700" s="3" t="s">
        <v>281</v>
      </c>
      <c r="C700" s="3" t="s">
        <v>403</v>
      </c>
      <c r="D700" s="3" t="s">
        <v>381</v>
      </c>
      <c r="E700" s="3" t="s">
        <v>398</v>
      </c>
      <c r="F700" s="16" t="n">
        <v>24</v>
      </c>
      <c r="G700" s="15" t="n">
        <v>0.3</v>
      </c>
      <c r="H700" s="16" t="n">
        <v>21</v>
      </c>
      <c r="I700" s="33" t="n">
        <v>50746.2</v>
      </c>
      <c r="J700" s="33" t="n">
        <v>72494.52</v>
      </c>
    </row>
    <row r="701" customFormat="false" ht="15" hidden="false" customHeight="false" outlineLevel="0" collapsed="false">
      <c r="A701" s="3" t="s">
        <v>1091</v>
      </c>
      <c r="B701" s="3" t="s">
        <v>282</v>
      </c>
      <c r="C701" s="3" t="s">
        <v>401</v>
      </c>
      <c r="D701" s="3" t="s">
        <v>381</v>
      </c>
      <c r="E701" s="3" t="s">
        <v>398</v>
      </c>
      <c r="F701" s="16" t="n">
        <v>12</v>
      </c>
      <c r="G701" s="15" t="n">
        <v>0.05</v>
      </c>
      <c r="H701" s="16" t="n">
        <v>5</v>
      </c>
      <c r="I701" s="33" t="n">
        <v>50673.48</v>
      </c>
      <c r="J701" s="33" t="n">
        <v>53340.6</v>
      </c>
    </row>
    <row r="702" customFormat="false" ht="15" hidden="false" customHeight="false" outlineLevel="0" collapsed="false">
      <c r="A702" s="3" t="s">
        <v>1092</v>
      </c>
      <c r="B702" s="3" t="s">
        <v>282</v>
      </c>
      <c r="C702" s="3" t="s">
        <v>403</v>
      </c>
      <c r="D702" s="3" t="s">
        <v>418</v>
      </c>
      <c r="E702" s="3" t="s">
        <v>385</v>
      </c>
      <c r="F702" s="16" t="n">
        <v>12</v>
      </c>
      <c r="G702" s="15" t="n">
        <v>0.2</v>
      </c>
      <c r="H702" s="16" t="n">
        <v>12</v>
      </c>
      <c r="I702" s="33" t="n">
        <v>50642.4</v>
      </c>
      <c r="J702" s="33" t="n">
        <v>63303</v>
      </c>
    </row>
    <row r="703" customFormat="false" ht="15" hidden="false" customHeight="false" outlineLevel="0" collapsed="false">
      <c r="A703" s="3" t="s">
        <v>1093</v>
      </c>
      <c r="B703" s="3" t="s">
        <v>282</v>
      </c>
      <c r="C703" s="3" t="s">
        <v>384</v>
      </c>
      <c r="D703" s="3" t="s">
        <v>418</v>
      </c>
      <c r="E703" s="3" t="s">
        <v>382</v>
      </c>
      <c r="F703" s="16" t="n">
        <v>12</v>
      </c>
      <c r="G703" s="15" t="n">
        <v>0.3</v>
      </c>
      <c r="H703" s="16" t="n">
        <v>2</v>
      </c>
      <c r="I703" s="33" t="n">
        <v>50548.68</v>
      </c>
      <c r="J703" s="33" t="n">
        <v>72212.4</v>
      </c>
    </row>
    <row r="704" customFormat="false" ht="15" hidden="false" customHeight="false" outlineLevel="0" collapsed="false">
      <c r="A704" s="3" t="s">
        <v>1094</v>
      </c>
      <c r="B704" s="3" t="s">
        <v>282</v>
      </c>
      <c r="C704" s="3" t="s">
        <v>401</v>
      </c>
      <c r="D704" s="3" t="s">
        <v>392</v>
      </c>
      <c r="E704" s="3" t="s">
        <v>398</v>
      </c>
      <c r="F704" s="16" t="n">
        <v>12</v>
      </c>
      <c r="G704" s="15" t="n">
        <v>0</v>
      </c>
      <c r="H704" s="16" t="n">
        <v>10</v>
      </c>
      <c r="I704" s="33" t="n">
        <v>50522.16</v>
      </c>
      <c r="J704" s="33" t="n">
        <v>50522.16</v>
      </c>
    </row>
    <row r="705" customFormat="false" ht="15" hidden="false" customHeight="false" outlineLevel="0" collapsed="false">
      <c r="A705" s="3" t="s">
        <v>1095</v>
      </c>
      <c r="B705" s="3" t="s">
        <v>282</v>
      </c>
      <c r="C705" s="3" t="s">
        <v>380</v>
      </c>
      <c r="D705" s="3" t="s">
        <v>381</v>
      </c>
      <c r="E705" s="3" t="s">
        <v>385</v>
      </c>
      <c r="F705" s="16" t="n">
        <v>24</v>
      </c>
      <c r="G705" s="15" t="n">
        <v>0</v>
      </c>
      <c r="H705" s="16" t="n">
        <v>20</v>
      </c>
      <c r="I705" s="33" t="n">
        <v>50420.76</v>
      </c>
      <c r="J705" s="33" t="n">
        <v>50420.76</v>
      </c>
    </row>
    <row r="706" customFormat="false" ht="15" hidden="false" customHeight="false" outlineLevel="0" collapsed="false">
      <c r="A706" s="3" t="s">
        <v>1096</v>
      </c>
      <c r="B706" s="3" t="s">
        <v>282</v>
      </c>
      <c r="C706" s="3" t="s">
        <v>403</v>
      </c>
      <c r="D706" s="3" t="s">
        <v>418</v>
      </c>
      <c r="E706" s="3" t="s">
        <v>398</v>
      </c>
      <c r="F706" s="16" t="n">
        <v>12</v>
      </c>
      <c r="G706" s="15" t="n">
        <v>0.1</v>
      </c>
      <c r="H706" s="16" t="n">
        <v>11</v>
      </c>
      <c r="I706" s="33" t="n">
        <v>50262.36</v>
      </c>
      <c r="J706" s="33" t="n">
        <v>55847.04</v>
      </c>
    </row>
    <row r="707" customFormat="false" ht="15" hidden="false" customHeight="false" outlineLevel="0" collapsed="false">
      <c r="A707" s="3" t="s">
        <v>1097</v>
      </c>
      <c r="B707" s="3" t="s">
        <v>282</v>
      </c>
      <c r="C707" s="3" t="s">
        <v>384</v>
      </c>
      <c r="D707" s="3" t="s">
        <v>381</v>
      </c>
      <c r="E707" s="3" t="s">
        <v>398</v>
      </c>
      <c r="F707" s="16" t="n">
        <v>24</v>
      </c>
      <c r="G707" s="15" t="n">
        <v>0</v>
      </c>
      <c r="H707" s="16" t="n">
        <v>3</v>
      </c>
      <c r="I707" s="33" t="n">
        <v>50223.72</v>
      </c>
      <c r="J707" s="33" t="n">
        <v>50223.72</v>
      </c>
    </row>
    <row r="708" customFormat="false" ht="15" hidden="false" customHeight="false" outlineLevel="0" collapsed="false">
      <c r="A708" s="3" t="s">
        <v>1098</v>
      </c>
      <c r="B708" s="3" t="s">
        <v>282</v>
      </c>
      <c r="C708" s="3" t="s">
        <v>401</v>
      </c>
      <c r="D708" s="3" t="s">
        <v>392</v>
      </c>
      <c r="E708" s="3" t="s">
        <v>398</v>
      </c>
      <c r="F708" s="16" t="n">
        <v>12</v>
      </c>
      <c r="G708" s="15" t="n">
        <v>0</v>
      </c>
      <c r="H708" s="16" t="n">
        <v>7</v>
      </c>
      <c r="I708" s="33" t="n">
        <v>50222.16</v>
      </c>
      <c r="J708" s="33" t="n">
        <v>50222.16</v>
      </c>
    </row>
    <row r="709" customFormat="false" ht="15" hidden="false" customHeight="false" outlineLevel="0" collapsed="false">
      <c r="A709" s="3" t="s">
        <v>1099</v>
      </c>
      <c r="B709" s="3" t="s">
        <v>282</v>
      </c>
      <c r="C709" s="3" t="s">
        <v>403</v>
      </c>
      <c r="D709" s="3" t="s">
        <v>392</v>
      </c>
      <c r="E709" s="3" t="s">
        <v>398</v>
      </c>
      <c r="F709" s="16" t="n">
        <v>12</v>
      </c>
      <c r="G709" s="15" t="n">
        <v>0</v>
      </c>
      <c r="H709" s="16" t="n">
        <v>7</v>
      </c>
      <c r="I709" s="33" t="n">
        <v>50203.92</v>
      </c>
      <c r="J709" s="33" t="n">
        <v>50203.92</v>
      </c>
    </row>
    <row r="710" customFormat="false" ht="15" hidden="false" customHeight="false" outlineLevel="0" collapsed="false">
      <c r="A710" s="3" t="s">
        <v>1100</v>
      </c>
      <c r="B710" s="3" t="s">
        <v>282</v>
      </c>
      <c r="C710" s="3" t="s">
        <v>384</v>
      </c>
      <c r="D710" s="3" t="s">
        <v>381</v>
      </c>
      <c r="E710" s="3" t="s">
        <v>382</v>
      </c>
      <c r="F710" s="16" t="n">
        <v>24</v>
      </c>
      <c r="G710" s="15" t="n">
        <v>0</v>
      </c>
      <c r="H710" s="16" t="n">
        <v>3</v>
      </c>
      <c r="I710" s="33" t="n">
        <v>50203.32</v>
      </c>
      <c r="J710" s="33" t="n">
        <v>50203.32</v>
      </c>
    </row>
    <row r="711" customFormat="false" ht="15" hidden="false" customHeight="false" outlineLevel="0" collapsed="false">
      <c r="A711" s="3" t="s">
        <v>1101</v>
      </c>
      <c r="B711" s="3" t="s">
        <v>282</v>
      </c>
      <c r="C711" s="3" t="s">
        <v>384</v>
      </c>
      <c r="D711" s="3" t="s">
        <v>392</v>
      </c>
      <c r="E711" s="3" t="s">
        <v>398</v>
      </c>
      <c r="F711" s="16" t="n">
        <v>12</v>
      </c>
      <c r="G711" s="15" t="n">
        <v>0.1</v>
      </c>
      <c r="H711" s="16" t="n">
        <v>5</v>
      </c>
      <c r="I711" s="33" t="n">
        <v>50116.08</v>
      </c>
      <c r="J711" s="33" t="n">
        <v>55684.56</v>
      </c>
    </row>
    <row r="712" customFormat="false" ht="15" hidden="false" customHeight="false" outlineLevel="0" collapsed="false">
      <c r="A712" s="3" t="s">
        <v>1102</v>
      </c>
      <c r="B712" s="3" t="s">
        <v>282</v>
      </c>
      <c r="C712" s="3" t="s">
        <v>401</v>
      </c>
      <c r="D712" s="3" t="s">
        <v>381</v>
      </c>
      <c r="E712" s="3" t="s">
        <v>385</v>
      </c>
      <c r="F712" s="16" t="n">
        <v>12</v>
      </c>
      <c r="G712" s="15" t="n">
        <v>0.1</v>
      </c>
      <c r="H712" s="16" t="n">
        <v>10</v>
      </c>
      <c r="I712" s="33" t="n">
        <v>50007</v>
      </c>
      <c r="J712" s="33" t="n">
        <v>55563.36</v>
      </c>
    </row>
    <row r="713" customFormat="false" ht="15" hidden="false" customHeight="false" outlineLevel="0" collapsed="false">
      <c r="A713" s="3" t="s">
        <v>1103</v>
      </c>
      <c r="B713" s="3" t="s">
        <v>282</v>
      </c>
      <c r="C713" s="3" t="s">
        <v>403</v>
      </c>
      <c r="D713" s="3" t="s">
        <v>692</v>
      </c>
      <c r="E713" s="3" t="s">
        <v>385</v>
      </c>
      <c r="F713" s="16" t="n">
        <v>12</v>
      </c>
      <c r="G713" s="15" t="n">
        <v>0</v>
      </c>
      <c r="H713" s="16" t="n">
        <v>11</v>
      </c>
      <c r="I713" s="33" t="n">
        <v>49951.56</v>
      </c>
      <c r="J713" s="33" t="n">
        <v>49951.56</v>
      </c>
    </row>
    <row r="714" customFormat="false" ht="15" hidden="false" customHeight="false" outlineLevel="0" collapsed="false">
      <c r="A714" s="3" t="s">
        <v>1104</v>
      </c>
      <c r="B714" s="3" t="s">
        <v>282</v>
      </c>
      <c r="C714" s="3" t="s">
        <v>380</v>
      </c>
      <c r="D714" s="3" t="s">
        <v>388</v>
      </c>
      <c r="E714" s="3" t="s">
        <v>398</v>
      </c>
      <c r="F714" s="16" t="n">
        <v>12</v>
      </c>
      <c r="G714" s="15" t="n">
        <v>0.1</v>
      </c>
      <c r="H714" s="16" t="n">
        <v>8</v>
      </c>
      <c r="I714" s="33" t="n">
        <v>49935.96</v>
      </c>
      <c r="J714" s="33" t="n">
        <v>55484.4</v>
      </c>
    </row>
    <row r="715" customFormat="false" ht="15" hidden="false" customHeight="false" outlineLevel="0" collapsed="false">
      <c r="A715" s="3" t="s">
        <v>1105</v>
      </c>
      <c r="B715" s="3" t="s">
        <v>282</v>
      </c>
      <c r="C715" s="3" t="s">
        <v>387</v>
      </c>
      <c r="D715" s="3" t="s">
        <v>381</v>
      </c>
      <c r="E715" s="3" t="s">
        <v>385</v>
      </c>
      <c r="F715" s="16" t="n">
        <v>12</v>
      </c>
      <c r="G715" s="15" t="n">
        <v>0.2</v>
      </c>
      <c r="H715" s="16" t="n">
        <v>9</v>
      </c>
      <c r="I715" s="33" t="n">
        <v>49909.32</v>
      </c>
      <c r="J715" s="33" t="n">
        <v>62386.68</v>
      </c>
    </row>
    <row r="716" customFormat="false" ht="15" hidden="false" customHeight="false" outlineLevel="0" collapsed="false">
      <c r="A716" s="3" t="s">
        <v>1106</v>
      </c>
      <c r="B716" s="3" t="s">
        <v>282</v>
      </c>
      <c r="C716" s="3" t="s">
        <v>396</v>
      </c>
      <c r="D716" s="3" t="s">
        <v>392</v>
      </c>
      <c r="E716" s="3" t="s">
        <v>385</v>
      </c>
      <c r="F716" s="16" t="n">
        <v>12</v>
      </c>
      <c r="G716" s="15" t="n">
        <v>0</v>
      </c>
      <c r="H716" s="16" t="n">
        <v>8</v>
      </c>
      <c r="I716" s="33" t="n">
        <v>49887.24</v>
      </c>
      <c r="J716" s="33" t="n">
        <v>49887.24</v>
      </c>
    </row>
    <row r="717" customFormat="false" ht="15" hidden="false" customHeight="false" outlineLevel="0" collapsed="false">
      <c r="A717" s="3" t="s">
        <v>1107</v>
      </c>
      <c r="B717" s="3" t="s">
        <v>282</v>
      </c>
      <c r="C717" s="3" t="s">
        <v>401</v>
      </c>
      <c r="D717" s="3" t="s">
        <v>381</v>
      </c>
      <c r="E717" s="3" t="s">
        <v>382</v>
      </c>
      <c r="F717" s="16" t="n">
        <v>12</v>
      </c>
      <c r="G717" s="15" t="n">
        <v>0</v>
      </c>
      <c r="H717" s="16" t="n">
        <v>6</v>
      </c>
      <c r="I717" s="33" t="n">
        <v>49877.64</v>
      </c>
      <c r="J717" s="33" t="n">
        <v>49877.64</v>
      </c>
    </row>
    <row r="718" customFormat="false" ht="15" hidden="false" customHeight="false" outlineLevel="0" collapsed="false">
      <c r="A718" s="3" t="s">
        <v>1108</v>
      </c>
      <c r="B718" s="3" t="s">
        <v>282</v>
      </c>
      <c r="C718" s="3" t="s">
        <v>387</v>
      </c>
      <c r="D718" s="3" t="s">
        <v>388</v>
      </c>
      <c r="E718" s="3" t="s">
        <v>385</v>
      </c>
      <c r="F718" s="16" t="n">
        <v>12</v>
      </c>
      <c r="G718" s="15" t="n">
        <v>0</v>
      </c>
      <c r="H718" s="16" t="n">
        <v>5</v>
      </c>
      <c r="I718" s="33" t="n">
        <v>49875.48</v>
      </c>
      <c r="J718" s="33" t="n">
        <v>49875.48</v>
      </c>
    </row>
    <row r="719" customFormat="false" ht="15" hidden="false" customHeight="false" outlineLevel="0" collapsed="false">
      <c r="A719" s="3" t="s">
        <v>1109</v>
      </c>
      <c r="B719" s="3" t="s">
        <v>282</v>
      </c>
      <c r="C719" s="3" t="s">
        <v>396</v>
      </c>
      <c r="D719" s="3" t="s">
        <v>392</v>
      </c>
      <c r="E719" s="3" t="s">
        <v>385</v>
      </c>
      <c r="F719" s="16" t="n">
        <v>24</v>
      </c>
      <c r="G719" s="15" t="n">
        <v>0</v>
      </c>
      <c r="H719" s="16" t="n">
        <v>12</v>
      </c>
      <c r="I719" s="33" t="n">
        <v>49813.32</v>
      </c>
      <c r="J719" s="33" t="n">
        <v>49813.32</v>
      </c>
    </row>
    <row r="720" customFormat="false" ht="15" hidden="false" customHeight="false" outlineLevel="0" collapsed="false">
      <c r="A720" s="3" t="s">
        <v>1110</v>
      </c>
      <c r="B720" s="3" t="s">
        <v>282</v>
      </c>
      <c r="C720" s="3" t="s">
        <v>380</v>
      </c>
      <c r="D720" s="3" t="s">
        <v>418</v>
      </c>
      <c r="E720" s="3" t="s">
        <v>382</v>
      </c>
      <c r="F720" s="16" t="n">
        <v>24</v>
      </c>
      <c r="G720" s="15" t="n">
        <v>0.1</v>
      </c>
      <c r="H720" s="16" t="n">
        <v>13</v>
      </c>
      <c r="I720" s="33" t="n">
        <v>49760.52</v>
      </c>
      <c r="J720" s="33" t="n">
        <v>55289.52</v>
      </c>
    </row>
    <row r="721" customFormat="false" ht="15" hidden="false" customHeight="false" outlineLevel="0" collapsed="false">
      <c r="A721" s="3" t="s">
        <v>1111</v>
      </c>
      <c r="B721" s="3" t="s">
        <v>282</v>
      </c>
      <c r="C721" s="3" t="s">
        <v>403</v>
      </c>
      <c r="D721" s="3" t="s">
        <v>418</v>
      </c>
      <c r="E721" s="3" t="s">
        <v>398</v>
      </c>
      <c r="F721" s="16" t="n">
        <v>24</v>
      </c>
      <c r="G721" s="15" t="n">
        <v>0</v>
      </c>
      <c r="H721" s="16" t="n">
        <v>17</v>
      </c>
      <c r="I721" s="33" t="n">
        <v>49757.16</v>
      </c>
      <c r="J721" s="33" t="n">
        <v>49757.16</v>
      </c>
    </row>
    <row r="722" customFormat="false" ht="15" hidden="false" customHeight="false" outlineLevel="0" collapsed="false">
      <c r="A722" s="3" t="s">
        <v>1112</v>
      </c>
      <c r="B722" s="3" t="s">
        <v>282</v>
      </c>
      <c r="C722" s="3" t="s">
        <v>380</v>
      </c>
      <c r="D722" s="3" t="s">
        <v>392</v>
      </c>
      <c r="E722" s="3" t="s">
        <v>398</v>
      </c>
      <c r="F722" s="16" t="n">
        <v>12</v>
      </c>
      <c r="G722" s="15" t="n">
        <v>0</v>
      </c>
      <c r="H722" s="16" t="n">
        <v>8</v>
      </c>
      <c r="I722" s="33" t="n">
        <v>49747.68</v>
      </c>
      <c r="J722" s="33" t="n">
        <v>49747.68</v>
      </c>
    </row>
    <row r="723" customFormat="false" ht="15" hidden="false" customHeight="false" outlineLevel="0" collapsed="false">
      <c r="A723" s="3" t="s">
        <v>1113</v>
      </c>
      <c r="B723" s="3" t="s">
        <v>282</v>
      </c>
      <c r="C723" s="3" t="s">
        <v>403</v>
      </c>
      <c r="D723" s="3" t="s">
        <v>381</v>
      </c>
      <c r="E723" s="3" t="s">
        <v>382</v>
      </c>
      <c r="F723" s="16" t="n">
        <v>12</v>
      </c>
      <c r="G723" s="15" t="n">
        <v>0</v>
      </c>
      <c r="H723" s="16" t="n">
        <v>11</v>
      </c>
      <c r="I723" s="33" t="n">
        <v>49737.48</v>
      </c>
      <c r="J723" s="33" t="n">
        <v>49737.48</v>
      </c>
    </row>
    <row r="724" customFormat="false" ht="15" hidden="false" customHeight="false" outlineLevel="0" collapsed="false">
      <c r="A724" s="3" t="s">
        <v>1114</v>
      </c>
      <c r="B724" s="3" t="s">
        <v>282</v>
      </c>
      <c r="C724" s="3" t="s">
        <v>384</v>
      </c>
      <c r="D724" s="3" t="s">
        <v>392</v>
      </c>
      <c r="E724" s="3" t="s">
        <v>385</v>
      </c>
      <c r="F724" s="16" t="n">
        <v>12</v>
      </c>
      <c r="G724" s="15" t="n">
        <v>0</v>
      </c>
      <c r="H724" s="16" t="n">
        <v>8</v>
      </c>
      <c r="I724" s="33" t="n">
        <v>49731.84</v>
      </c>
      <c r="J724" s="33" t="n">
        <v>49731.84</v>
      </c>
    </row>
    <row r="725" customFormat="false" ht="15" hidden="false" customHeight="false" outlineLevel="0" collapsed="false">
      <c r="A725" s="3" t="s">
        <v>1115</v>
      </c>
      <c r="B725" s="3" t="s">
        <v>282</v>
      </c>
      <c r="C725" s="3" t="s">
        <v>405</v>
      </c>
      <c r="D725" s="3" t="s">
        <v>392</v>
      </c>
      <c r="E725" s="3" t="s">
        <v>385</v>
      </c>
      <c r="F725" s="16" t="n">
        <v>12</v>
      </c>
      <c r="G725" s="15" t="n">
        <v>0.05</v>
      </c>
      <c r="H725" s="16" t="n">
        <v>1</v>
      </c>
      <c r="I725" s="33" t="n">
        <v>49640.52</v>
      </c>
      <c r="J725" s="33" t="n">
        <v>52253.16</v>
      </c>
    </row>
    <row r="726" customFormat="false" ht="15" hidden="false" customHeight="false" outlineLevel="0" collapsed="false">
      <c r="A726" s="3" t="s">
        <v>1116</v>
      </c>
      <c r="B726" s="3" t="s">
        <v>282</v>
      </c>
      <c r="C726" s="3" t="s">
        <v>384</v>
      </c>
      <c r="D726" s="3" t="s">
        <v>381</v>
      </c>
      <c r="E726" s="3" t="s">
        <v>398</v>
      </c>
      <c r="F726" s="16" t="n">
        <v>12</v>
      </c>
      <c r="G726" s="15" t="n">
        <v>0.2</v>
      </c>
      <c r="H726" s="16" t="n">
        <v>3</v>
      </c>
      <c r="I726" s="33" t="n">
        <v>49447.32</v>
      </c>
      <c r="J726" s="33" t="n">
        <v>61809.12</v>
      </c>
    </row>
    <row r="727" customFormat="false" ht="15" hidden="false" customHeight="false" outlineLevel="0" collapsed="false">
      <c r="A727" s="3" t="s">
        <v>1117</v>
      </c>
      <c r="B727" s="3" t="s">
        <v>282</v>
      </c>
      <c r="C727" s="3" t="s">
        <v>401</v>
      </c>
      <c r="D727" s="3" t="s">
        <v>418</v>
      </c>
      <c r="E727" s="3" t="s">
        <v>382</v>
      </c>
      <c r="F727" s="16" t="n">
        <v>24</v>
      </c>
      <c r="G727" s="15" t="n">
        <v>0</v>
      </c>
      <c r="H727" s="16" t="n">
        <v>2</v>
      </c>
      <c r="I727" s="33" t="n">
        <v>49403.4</v>
      </c>
      <c r="J727" s="33" t="n">
        <v>49403.4</v>
      </c>
    </row>
    <row r="728" customFormat="false" ht="15" hidden="false" customHeight="false" outlineLevel="0" collapsed="false">
      <c r="A728" s="3" t="s">
        <v>1118</v>
      </c>
      <c r="B728" s="3" t="s">
        <v>282</v>
      </c>
      <c r="C728" s="3" t="s">
        <v>405</v>
      </c>
      <c r="D728" s="3" t="s">
        <v>392</v>
      </c>
      <c r="E728" s="3" t="s">
        <v>398</v>
      </c>
      <c r="F728" s="16" t="n">
        <v>24</v>
      </c>
      <c r="G728" s="15" t="n">
        <v>0</v>
      </c>
      <c r="H728" s="16" t="n">
        <v>19</v>
      </c>
      <c r="I728" s="33" t="n">
        <v>49366.2</v>
      </c>
      <c r="J728" s="33" t="n">
        <v>49366.2</v>
      </c>
    </row>
    <row r="729" customFormat="false" ht="15" hidden="false" customHeight="false" outlineLevel="0" collapsed="false">
      <c r="A729" s="3" t="s">
        <v>1119</v>
      </c>
      <c r="B729" s="3" t="s">
        <v>282</v>
      </c>
      <c r="C729" s="3" t="s">
        <v>387</v>
      </c>
      <c r="D729" s="3" t="s">
        <v>392</v>
      </c>
      <c r="E729" s="3" t="s">
        <v>398</v>
      </c>
      <c r="F729" s="16" t="n">
        <v>24</v>
      </c>
      <c r="G729" s="15" t="n">
        <v>0</v>
      </c>
      <c r="H729" s="16" t="n">
        <v>16</v>
      </c>
      <c r="I729" s="33" t="n">
        <v>49345.8</v>
      </c>
      <c r="J729" s="33" t="n">
        <v>49345.8</v>
      </c>
    </row>
    <row r="730" customFormat="false" ht="15" hidden="false" customHeight="false" outlineLevel="0" collapsed="false">
      <c r="A730" s="3" t="s">
        <v>1120</v>
      </c>
      <c r="B730" s="3" t="s">
        <v>282</v>
      </c>
      <c r="C730" s="3" t="s">
        <v>380</v>
      </c>
      <c r="D730" s="3" t="s">
        <v>392</v>
      </c>
      <c r="E730" s="3" t="s">
        <v>385</v>
      </c>
      <c r="F730" s="16" t="n">
        <v>24</v>
      </c>
      <c r="G730" s="15" t="n">
        <v>0</v>
      </c>
      <c r="H730" s="16" t="n">
        <v>20</v>
      </c>
      <c r="I730" s="33" t="n">
        <v>49219.08</v>
      </c>
      <c r="J730" s="33" t="n">
        <v>49219.08</v>
      </c>
    </row>
    <row r="731" customFormat="false" ht="15" hidden="false" customHeight="false" outlineLevel="0" collapsed="false">
      <c r="A731" s="3" t="s">
        <v>1121</v>
      </c>
      <c r="B731" s="3" t="s">
        <v>282</v>
      </c>
      <c r="C731" s="3" t="s">
        <v>387</v>
      </c>
      <c r="D731" s="3" t="s">
        <v>381</v>
      </c>
      <c r="E731" s="3" t="s">
        <v>398</v>
      </c>
      <c r="F731" s="16" t="n">
        <v>24</v>
      </c>
      <c r="G731" s="15" t="n">
        <v>0</v>
      </c>
      <c r="H731" s="16" t="n">
        <v>11</v>
      </c>
      <c r="I731" s="33" t="n">
        <v>49037.4</v>
      </c>
      <c r="J731" s="33" t="n">
        <v>49037.4</v>
      </c>
    </row>
    <row r="732" customFormat="false" ht="15" hidden="false" customHeight="false" outlineLevel="0" collapsed="false">
      <c r="A732" s="3" t="s">
        <v>1122</v>
      </c>
      <c r="B732" s="3" t="s">
        <v>282</v>
      </c>
      <c r="C732" s="3" t="s">
        <v>405</v>
      </c>
      <c r="D732" s="3" t="s">
        <v>381</v>
      </c>
      <c r="E732" s="3" t="s">
        <v>398</v>
      </c>
      <c r="F732" s="16" t="n">
        <v>12</v>
      </c>
      <c r="G732" s="15" t="n">
        <v>0.1</v>
      </c>
      <c r="H732" s="16" t="n">
        <v>10</v>
      </c>
      <c r="I732" s="33" t="n">
        <v>48984.72</v>
      </c>
      <c r="J732" s="33" t="n">
        <v>54427.44</v>
      </c>
    </row>
    <row r="733" customFormat="false" ht="15" hidden="false" customHeight="false" outlineLevel="0" collapsed="false">
      <c r="A733" s="3" t="s">
        <v>1123</v>
      </c>
      <c r="B733" s="3" t="s">
        <v>282</v>
      </c>
      <c r="C733" s="3" t="s">
        <v>403</v>
      </c>
      <c r="D733" s="3" t="s">
        <v>381</v>
      </c>
      <c r="E733" s="3" t="s">
        <v>385</v>
      </c>
      <c r="F733" s="16" t="n">
        <v>24</v>
      </c>
      <c r="G733" s="15" t="n">
        <v>0</v>
      </c>
      <c r="H733" s="16" t="n">
        <v>9</v>
      </c>
      <c r="I733" s="33" t="n">
        <v>48977.52</v>
      </c>
      <c r="J733" s="33" t="n">
        <v>48977.52</v>
      </c>
    </row>
    <row r="734" customFormat="false" ht="15" hidden="false" customHeight="false" outlineLevel="0" collapsed="false">
      <c r="A734" s="3" t="s">
        <v>1124</v>
      </c>
      <c r="B734" s="3" t="s">
        <v>282</v>
      </c>
      <c r="C734" s="3" t="s">
        <v>384</v>
      </c>
      <c r="D734" s="3" t="s">
        <v>388</v>
      </c>
      <c r="E734" s="3" t="s">
        <v>398</v>
      </c>
      <c r="F734" s="16" t="n">
        <v>12</v>
      </c>
      <c r="G734" s="15" t="n">
        <v>0</v>
      </c>
      <c r="H734" s="16" t="n">
        <v>5</v>
      </c>
      <c r="I734" s="33" t="n">
        <v>48965.28</v>
      </c>
      <c r="J734" s="33" t="n">
        <v>48965.28</v>
      </c>
    </row>
    <row r="735" customFormat="false" ht="15" hidden="false" customHeight="false" outlineLevel="0" collapsed="false">
      <c r="A735" s="3" t="s">
        <v>1125</v>
      </c>
      <c r="B735" s="3" t="s">
        <v>282</v>
      </c>
      <c r="C735" s="3" t="s">
        <v>401</v>
      </c>
      <c r="D735" s="3" t="s">
        <v>381</v>
      </c>
      <c r="E735" s="3" t="s">
        <v>398</v>
      </c>
      <c r="F735" s="16" t="n">
        <v>12</v>
      </c>
      <c r="G735" s="15" t="n">
        <v>0</v>
      </c>
      <c r="H735" s="16" t="n">
        <v>8</v>
      </c>
      <c r="I735" s="33" t="n">
        <v>48896.88</v>
      </c>
      <c r="J735" s="33" t="n">
        <v>48896.88</v>
      </c>
    </row>
    <row r="736" customFormat="false" ht="15" hidden="false" customHeight="false" outlineLevel="0" collapsed="false">
      <c r="A736" s="3" t="s">
        <v>1126</v>
      </c>
      <c r="B736" s="3" t="s">
        <v>282</v>
      </c>
      <c r="C736" s="3" t="s">
        <v>396</v>
      </c>
      <c r="D736" s="3" t="s">
        <v>388</v>
      </c>
      <c r="E736" s="3" t="s">
        <v>398</v>
      </c>
      <c r="F736" s="16" t="n">
        <v>12</v>
      </c>
      <c r="G736" s="15" t="n">
        <v>0</v>
      </c>
      <c r="H736" s="16" t="n">
        <v>1</v>
      </c>
      <c r="I736" s="33" t="n">
        <v>48894.6</v>
      </c>
      <c r="J736" s="33" t="n">
        <v>48894.6</v>
      </c>
    </row>
    <row r="737" customFormat="false" ht="15" hidden="false" customHeight="false" outlineLevel="0" collapsed="false">
      <c r="A737" s="3" t="s">
        <v>1127</v>
      </c>
      <c r="B737" s="3" t="s">
        <v>282</v>
      </c>
      <c r="C737" s="3" t="s">
        <v>384</v>
      </c>
      <c r="D737" s="3" t="s">
        <v>392</v>
      </c>
      <c r="E737" s="3" t="s">
        <v>398</v>
      </c>
      <c r="F737" s="16" t="n">
        <v>12</v>
      </c>
      <c r="G737" s="15" t="n">
        <v>0</v>
      </c>
      <c r="H737" s="16" t="n">
        <v>6</v>
      </c>
      <c r="I737" s="33" t="n">
        <v>48854.16</v>
      </c>
      <c r="J737" s="33" t="n">
        <v>48854.16</v>
      </c>
    </row>
    <row r="738" customFormat="false" ht="15" hidden="false" customHeight="false" outlineLevel="0" collapsed="false">
      <c r="A738" s="3" t="s">
        <v>1128</v>
      </c>
      <c r="B738" s="3" t="s">
        <v>282</v>
      </c>
      <c r="C738" s="3" t="s">
        <v>403</v>
      </c>
      <c r="D738" s="3" t="s">
        <v>388</v>
      </c>
      <c r="E738" s="3" t="s">
        <v>398</v>
      </c>
      <c r="F738" s="16" t="n">
        <v>12</v>
      </c>
      <c r="G738" s="15" t="n">
        <v>0</v>
      </c>
      <c r="H738" s="16" t="n">
        <v>10</v>
      </c>
      <c r="I738" s="33" t="n">
        <v>48836.4</v>
      </c>
      <c r="J738" s="33" t="n">
        <v>48836.4</v>
      </c>
    </row>
    <row r="739" customFormat="false" ht="15" hidden="false" customHeight="false" outlineLevel="0" collapsed="false">
      <c r="A739" s="3" t="s">
        <v>1129</v>
      </c>
      <c r="B739" s="3" t="s">
        <v>282</v>
      </c>
      <c r="C739" s="3" t="s">
        <v>405</v>
      </c>
      <c r="D739" s="3" t="s">
        <v>392</v>
      </c>
      <c r="E739" s="3" t="s">
        <v>398</v>
      </c>
      <c r="F739" s="16" t="n">
        <v>24</v>
      </c>
      <c r="G739" s="15" t="n">
        <v>0</v>
      </c>
      <c r="H739" s="16" t="n">
        <v>15</v>
      </c>
      <c r="I739" s="33" t="n">
        <v>48821.88</v>
      </c>
      <c r="J739" s="33" t="n">
        <v>48821.88</v>
      </c>
    </row>
    <row r="740" customFormat="false" ht="15" hidden="false" customHeight="false" outlineLevel="0" collapsed="false">
      <c r="A740" s="3" t="s">
        <v>1130</v>
      </c>
      <c r="B740" s="3" t="s">
        <v>282</v>
      </c>
      <c r="C740" s="3" t="s">
        <v>401</v>
      </c>
      <c r="D740" s="3" t="s">
        <v>381</v>
      </c>
      <c r="E740" s="3" t="s">
        <v>398</v>
      </c>
      <c r="F740" s="16" t="n">
        <v>12</v>
      </c>
      <c r="G740" s="15" t="n">
        <v>0</v>
      </c>
      <c r="H740" s="16" t="n">
        <v>5</v>
      </c>
      <c r="I740" s="33" t="n">
        <v>48768</v>
      </c>
      <c r="J740" s="33" t="n">
        <v>48768</v>
      </c>
    </row>
    <row r="741" customFormat="false" ht="15" hidden="false" customHeight="false" outlineLevel="0" collapsed="false">
      <c r="A741" s="3" t="s">
        <v>1131</v>
      </c>
      <c r="B741" s="3" t="s">
        <v>282</v>
      </c>
      <c r="C741" s="3" t="s">
        <v>380</v>
      </c>
      <c r="D741" s="3" t="s">
        <v>392</v>
      </c>
      <c r="E741" s="3" t="s">
        <v>385</v>
      </c>
      <c r="F741" s="16" t="n">
        <v>12</v>
      </c>
      <c r="G741" s="15" t="n">
        <v>0.025</v>
      </c>
      <c r="H741" s="16" t="n">
        <v>4</v>
      </c>
      <c r="I741" s="33" t="n">
        <v>48744.96</v>
      </c>
      <c r="J741" s="33" t="n">
        <v>49994.88</v>
      </c>
    </row>
    <row r="742" customFormat="false" ht="15" hidden="false" customHeight="false" outlineLevel="0" collapsed="false">
      <c r="A742" s="3" t="s">
        <v>1132</v>
      </c>
      <c r="B742" s="3" t="s">
        <v>282</v>
      </c>
      <c r="C742" s="3" t="s">
        <v>396</v>
      </c>
      <c r="D742" s="3" t="s">
        <v>392</v>
      </c>
      <c r="E742" s="3" t="s">
        <v>385</v>
      </c>
      <c r="F742" s="16" t="n">
        <v>12</v>
      </c>
      <c r="G742" s="15" t="n">
        <v>0</v>
      </c>
      <c r="H742" s="16" t="n">
        <v>9</v>
      </c>
      <c r="I742" s="33" t="n">
        <v>48405.6</v>
      </c>
      <c r="J742" s="33" t="n">
        <v>48405.6</v>
      </c>
    </row>
    <row r="743" customFormat="false" ht="15" hidden="false" customHeight="false" outlineLevel="0" collapsed="false">
      <c r="A743" s="3" t="s">
        <v>1133</v>
      </c>
      <c r="B743" s="3" t="s">
        <v>282</v>
      </c>
      <c r="C743" s="3" t="s">
        <v>403</v>
      </c>
      <c r="D743" s="3" t="s">
        <v>388</v>
      </c>
      <c r="E743" s="3" t="s">
        <v>385</v>
      </c>
      <c r="F743" s="16" t="n">
        <v>12</v>
      </c>
      <c r="G743" s="15" t="n">
        <v>0</v>
      </c>
      <c r="H743" s="16" t="n">
        <v>10</v>
      </c>
      <c r="I743" s="33" t="n">
        <v>48364.92</v>
      </c>
      <c r="J743" s="33" t="n">
        <v>48364.92</v>
      </c>
    </row>
    <row r="744" customFormat="false" ht="15" hidden="false" customHeight="false" outlineLevel="0" collapsed="false">
      <c r="A744" s="3" t="s">
        <v>1134</v>
      </c>
      <c r="B744" s="3" t="s">
        <v>282</v>
      </c>
      <c r="C744" s="3" t="s">
        <v>396</v>
      </c>
      <c r="D744" s="3" t="s">
        <v>388</v>
      </c>
      <c r="E744" s="3" t="s">
        <v>385</v>
      </c>
      <c r="F744" s="16" t="n">
        <v>12</v>
      </c>
      <c r="G744" s="15" t="n">
        <v>0</v>
      </c>
      <c r="H744" s="16" t="n">
        <v>12</v>
      </c>
      <c r="I744" s="33" t="n">
        <v>48204.24</v>
      </c>
      <c r="J744" s="33" t="n">
        <v>48204.24</v>
      </c>
    </row>
    <row r="745" customFormat="false" ht="15" hidden="false" customHeight="false" outlineLevel="0" collapsed="false">
      <c r="A745" s="3" t="s">
        <v>1135</v>
      </c>
      <c r="B745" s="3" t="s">
        <v>282</v>
      </c>
      <c r="C745" s="3" t="s">
        <v>384</v>
      </c>
      <c r="D745" s="3" t="s">
        <v>381</v>
      </c>
      <c r="E745" s="3" t="s">
        <v>385</v>
      </c>
      <c r="F745" s="16" t="n">
        <v>24</v>
      </c>
      <c r="G745" s="15" t="n">
        <v>0.25</v>
      </c>
      <c r="H745" s="16" t="n">
        <v>16</v>
      </c>
      <c r="I745" s="33" t="n">
        <v>48184.32</v>
      </c>
      <c r="J745" s="33" t="n">
        <v>64245.72</v>
      </c>
    </row>
    <row r="746" customFormat="false" ht="15" hidden="false" customHeight="false" outlineLevel="0" collapsed="false">
      <c r="A746" s="3" t="s">
        <v>1136</v>
      </c>
      <c r="B746" s="3" t="s">
        <v>282</v>
      </c>
      <c r="C746" s="3" t="s">
        <v>387</v>
      </c>
      <c r="D746" s="3" t="s">
        <v>418</v>
      </c>
      <c r="E746" s="3" t="s">
        <v>385</v>
      </c>
      <c r="F746" s="16" t="n">
        <v>12</v>
      </c>
      <c r="G746" s="15" t="n">
        <v>0.1</v>
      </c>
      <c r="H746" s="16" t="n">
        <v>5</v>
      </c>
      <c r="I746" s="33" t="n">
        <v>48075.36</v>
      </c>
      <c r="J746" s="33" t="n">
        <v>53417.16</v>
      </c>
    </row>
    <row r="747" customFormat="false" ht="15" hidden="false" customHeight="false" outlineLevel="0" collapsed="false">
      <c r="A747" s="3" t="s">
        <v>1137</v>
      </c>
      <c r="B747" s="3" t="s">
        <v>282</v>
      </c>
      <c r="C747" s="3" t="s">
        <v>387</v>
      </c>
      <c r="D747" s="3" t="s">
        <v>418</v>
      </c>
      <c r="E747" s="3" t="s">
        <v>398</v>
      </c>
      <c r="F747" s="16" t="n">
        <v>24</v>
      </c>
      <c r="G747" s="15" t="n">
        <v>0</v>
      </c>
      <c r="H747" s="16" t="n">
        <v>3</v>
      </c>
      <c r="I747" s="33" t="n">
        <v>48066.6</v>
      </c>
      <c r="J747" s="33" t="n">
        <v>48066.6</v>
      </c>
    </row>
    <row r="748" customFormat="false" ht="15" hidden="false" customHeight="false" outlineLevel="0" collapsed="false">
      <c r="A748" s="3" t="s">
        <v>1138</v>
      </c>
      <c r="B748" s="3" t="s">
        <v>282</v>
      </c>
      <c r="C748" s="3" t="s">
        <v>403</v>
      </c>
      <c r="D748" s="3" t="s">
        <v>388</v>
      </c>
      <c r="E748" s="3" t="s">
        <v>398</v>
      </c>
      <c r="F748" s="16" t="n">
        <v>24</v>
      </c>
      <c r="G748" s="15" t="n">
        <v>0</v>
      </c>
      <c r="H748" s="16" t="n">
        <v>15</v>
      </c>
      <c r="I748" s="33" t="n">
        <v>48042.6</v>
      </c>
      <c r="J748" s="33" t="n">
        <v>48042.6</v>
      </c>
    </row>
    <row r="749" customFormat="false" ht="15" hidden="false" customHeight="false" outlineLevel="0" collapsed="false">
      <c r="A749" s="3" t="s">
        <v>1139</v>
      </c>
      <c r="B749" s="3" t="s">
        <v>282</v>
      </c>
      <c r="C749" s="3" t="s">
        <v>396</v>
      </c>
      <c r="D749" s="3" t="s">
        <v>392</v>
      </c>
      <c r="E749" s="3" t="s">
        <v>398</v>
      </c>
      <c r="F749" s="16" t="n">
        <v>24</v>
      </c>
      <c r="G749" s="15" t="n">
        <v>0</v>
      </c>
      <c r="H749" s="16" t="n">
        <v>23</v>
      </c>
      <c r="I749" s="33" t="n">
        <v>48041.88</v>
      </c>
      <c r="J749" s="33" t="n">
        <v>48041.88</v>
      </c>
    </row>
    <row r="750" customFormat="false" ht="15" hidden="false" customHeight="false" outlineLevel="0" collapsed="false">
      <c r="A750" s="3" t="s">
        <v>1140</v>
      </c>
      <c r="B750" s="3" t="s">
        <v>282</v>
      </c>
      <c r="C750" s="3" t="s">
        <v>387</v>
      </c>
      <c r="D750" s="3" t="s">
        <v>381</v>
      </c>
      <c r="E750" s="3" t="s">
        <v>385</v>
      </c>
      <c r="F750" s="16" t="n">
        <v>12</v>
      </c>
      <c r="G750" s="15" t="n">
        <v>0.1</v>
      </c>
      <c r="H750" s="16" t="n">
        <v>10</v>
      </c>
      <c r="I750" s="33" t="n">
        <v>47992.56</v>
      </c>
      <c r="J750" s="33" t="n">
        <v>53325.12</v>
      </c>
    </row>
    <row r="751" customFormat="false" ht="15" hidden="false" customHeight="false" outlineLevel="0" collapsed="false">
      <c r="A751" s="3" t="s">
        <v>1141</v>
      </c>
      <c r="B751" s="3" t="s">
        <v>282</v>
      </c>
      <c r="C751" s="3" t="s">
        <v>403</v>
      </c>
      <c r="D751" s="3" t="s">
        <v>388</v>
      </c>
      <c r="E751" s="3" t="s">
        <v>398</v>
      </c>
      <c r="F751" s="16" t="n">
        <v>12</v>
      </c>
      <c r="G751" s="15" t="n">
        <v>0</v>
      </c>
      <c r="H751" s="16" t="n">
        <v>9</v>
      </c>
      <c r="I751" s="33" t="n">
        <v>47961</v>
      </c>
      <c r="J751" s="33" t="n">
        <v>47961</v>
      </c>
    </row>
    <row r="752" customFormat="false" ht="15" hidden="false" customHeight="false" outlineLevel="0" collapsed="false">
      <c r="A752" s="3" t="s">
        <v>1142</v>
      </c>
      <c r="B752" s="3" t="s">
        <v>282</v>
      </c>
      <c r="C752" s="3" t="s">
        <v>405</v>
      </c>
      <c r="D752" s="3" t="s">
        <v>692</v>
      </c>
      <c r="E752" s="3" t="s">
        <v>382</v>
      </c>
      <c r="F752" s="16" t="n">
        <v>12</v>
      </c>
      <c r="G752" s="15" t="n">
        <v>0.075</v>
      </c>
      <c r="H752" s="16" t="n">
        <v>11</v>
      </c>
      <c r="I752" s="33" t="n">
        <v>47860.32</v>
      </c>
      <c r="J752" s="33" t="n">
        <v>51740.88</v>
      </c>
    </row>
    <row r="753" customFormat="false" ht="15" hidden="false" customHeight="false" outlineLevel="0" collapsed="false">
      <c r="A753" s="3" t="s">
        <v>1143</v>
      </c>
      <c r="B753" s="3" t="s">
        <v>282</v>
      </c>
      <c r="C753" s="3" t="s">
        <v>384</v>
      </c>
      <c r="D753" s="3" t="s">
        <v>692</v>
      </c>
      <c r="E753" s="3" t="s">
        <v>382</v>
      </c>
      <c r="F753" s="16" t="n">
        <v>24</v>
      </c>
      <c r="G753" s="15" t="n">
        <v>0</v>
      </c>
      <c r="H753" s="16" t="n">
        <v>3</v>
      </c>
      <c r="I753" s="33" t="n">
        <v>47764.44</v>
      </c>
      <c r="J753" s="33" t="n">
        <v>47764.44</v>
      </c>
    </row>
    <row r="754" customFormat="false" ht="15" hidden="false" customHeight="false" outlineLevel="0" collapsed="false">
      <c r="A754" s="3" t="s">
        <v>1144</v>
      </c>
      <c r="B754" s="3" t="s">
        <v>282</v>
      </c>
      <c r="C754" s="3" t="s">
        <v>384</v>
      </c>
      <c r="D754" s="3" t="s">
        <v>381</v>
      </c>
      <c r="E754" s="3" t="s">
        <v>398</v>
      </c>
      <c r="F754" s="16" t="n">
        <v>12</v>
      </c>
      <c r="G754" s="15" t="n">
        <v>0.1</v>
      </c>
      <c r="H754" s="16" t="n">
        <v>2</v>
      </c>
      <c r="I754" s="33" t="n">
        <v>47703.12</v>
      </c>
      <c r="J754" s="33" t="n">
        <v>53003.4</v>
      </c>
    </row>
    <row r="755" customFormat="false" ht="15" hidden="false" customHeight="false" outlineLevel="0" collapsed="false">
      <c r="A755" s="3" t="s">
        <v>1145</v>
      </c>
      <c r="B755" s="3" t="s">
        <v>282</v>
      </c>
      <c r="C755" s="3" t="s">
        <v>405</v>
      </c>
      <c r="D755" s="3" t="s">
        <v>392</v>
      </c>
      <c r="E755" s="3" t="s">
        <v>398</v>
      </c>
      <c r="F755" s="16" t="n">
        <v>24</v>
      </c>
      <c r="G755" s="15" t="n">
        <v>0</v>
      </c>
      <c r="H755" s="16" t="n">
        <v>12</v>
      </c>
      <c r="I755" s="33" t="n">
        <v>47523.12</v>
      </c>
      <c r="J755" s="33" t="n">
        <v>47523.12</v>
      </c>
    </row>
    <row r="756" customFormat="false" ht="15" hidden="false" customHeight="false" outlineLevel="0" collapsed="false">
      <c r="A756" s="3" t="s">
        <v>1146</v>
      </c>
      <c r="B756" s="3" t="s">
        <v>282</v>
      </c>
      <c r="C756" s="3" t="s">
        <v>401</v>
      </c>
      <c r="D756" s="3" t="s">
        <v>381</v>
      </c>
      <c r="E756" s="3" t="s">
        <v>398</v>
      </c>
      <c r="F756" s="16" t="n">
        <v>12</v>
      </c>
      <c r="G756" s="15" t="n">
        <v>0</v>
      </c>
      <c r="H756" s="16" t="n">
        <v>8</v>
      </c>
      <c r="I756" s="33" t="n">
        <v>47460.36</v>
      </c>
      <c r="J756" s="33" t="n">
        <v>47460.36</v>
      </c>
    </row>
    <row r="757" customFormat="false" ht="15" hidden="false" customHeight="false" outlineLevel="0" collapsed="false">
      <c r="A757" s="3" t="s">
        <v>1147</v>
      </c>
      <c r="B757" s="3" t="s">
        <v>282</v>
      </c>
      <c r="C757" s="3" t="s">
        <v>387</v>
      </c>
      <c r="D757" s="3" t="s">
        <v>392</v>
      </c>
      <c r="E757" s="3" t="s">
        <v>398</v>
      </c>
      <c r="F757" s="16" t="n">
        <v>24</v>
      </c>
      <c r="G757" s="15" t="n">
        <v>0</v>
      </c>
      <c r="H757" s="16" t="n">
        <v>8</v>
      </c>
      <c r="I757" s="33" t="n">
        <v>47432.64</v>
      </c>
      <c r="J757" s="33" t="n">
        <v>47432.64</v>
      </c>
    </row>
    <row r="758" customFormat="false" ht="15" hidden="false" customHeight="false" outlineLevel="0" collapsed="false">
      <c r="A758" s="3" t="s">
        <v>1148</v>
      </c>
      <c r="B758" s="3" t="s">
        <v>282</v>
      </c>
      <c r="C758" s="3" t="s">
        <v>396</v>
      </c>
      <c r="D758" s="3" t="s">
        <v>418</v>
      </c>
      <c r="E758" s="3" t="s">
        <v>382</v>
      </c>
      <c r="F758" s="16" t="n">
        <v>12</v>
      </c>
      <c r="G758" s="15" t="n">
        <v>0.25</v>
      </c>
      <c r="H758" s="16" t="n">
        <v>12</v>
      </c>
      <c r="I758" s="33" t="n">
        <v>47404.32</v>
      </c>
      <c r="J758" s="33" t="n">
        <v>63205.8</v>
      </c>
    </row>
    <row r="759" customFormat="false" ht="15" hidden="false" customHeight="false" outlineLevel="0" collapsed="false">
      <c r="A759" s="3" t="s">
        <v>1149</v>
      </c>
      <c r="B759" s="3" t="s">
        <v>282</v>
      </c>
      <c r="C759" s="3" t="s">
        <v>384</v>
      </c>
      <c r="D759" s="3" t="s">
        <v>392</v>
      </c>
      <c r="E759" s="3" t="s">
        <v>385</v>
      </c>
      <c r="F759" s="16" t="n">
        <v>12</v>
      </c>
      <c r="G759" s="15" t="n">
        <v>0</v>
      </c>
      <c r="H759" s="16" t="n">
        <v>2</v>
      </c>
      <c r="I759" s="33" t="n">
        <v>47340.72</v>
      </c>
      <c r="J759" s="33" t="n">
        <v>47340.72</v>
      </c>
    </row>
    <row r="760" customFormat="false" ht="15" hidden="false" customHeight="false" outlineLevel="0" collapsed="false">
      <c r="A760" s="3" t="s">
        <v>1150</v>
      </c>
      <c r="B760" s="3" t="s">
        <v>282</v>
      </c>
      <c r="C760" s="3" t="s">
        <v>384</v>
      </c>
      <c r="D760" s="3" t="s">
        <v>392</v>
      </c>
      <c r="E760" s="3" t="s">
        <v>398</v>
      </c>
      <c r="F760" s="16" t="n">
        <v>12</v>
      </c>
      <c r="G760" s="15" t="n">
        <v>0</v>
      </c>
      <c r="H760" s="16" t="n">
        <v>1</v>
      </c>
      <c r="I760" s="33" t="n">
        <v>47301.96</v>
      </c>
      <c r="J760" s="33" t="n">
        <v>47301.96</v>
      </c>
    </row>
    <row r="761" customFormat="false" ht="15" hidden="false" customHeight="false" outlineLevel="0" collapsed="false">
      <c r="A761" s="3" t="s">
        <v>1151</v>
      </c>
      <c r="B761" s="3" t="s">
        <v>282</v>
      </c>
      <c r="C761" s="3" t="s">
        <v>401</v>
      </c>
      <c r="D761" s="3" t="s">
        <v>381</v>
      </c>
      <c r="E761" s="3" t="s">
        <v>398</v>
      </c>
      <c r="F761" s="16" t="n">
        <v>12</v>
      </c>
      <c r="G761" s="15" t="n">
        <v>0</v>
      </c>
      <c r="H761" s="16" t="n">
        <v>7</v>
      </c>
      <c r="I761" s="33" t="n">
        <v>47246.64</v>
      </c>
      <c r="J761" s="33" t="n">
        <v>47246.64</v>
      </c>
    </row>
    <row r="762" customFormat="false" ht="15" hidden="false" customHeight="false" outlineLevel="0" collapsed="false">
      <c r="A762" s="3" t="s">
        <v>1152</v>
      </c>
      <c r="B762" s="3" t="s">
        <v>282</v>
      </c>
      <c r="C762" s="3" t="s">
        <v>387</v>
      </c>
      <c r="D762" s="3" t="s">
        <v>392</v>
      </c>
      <c r="E762" s="3" t="s">
        <v>398</v>
      </c>
      <c r="F762" s="16" t="n">
        <v>12</v>
      </c>
      <c r="G762" s="15" t="n">
        <v>0</v>
      </c>
      <c r="H762" s="16" t="n">
        <v>7</v>
      </c>
      <c r="I762" s="33" t="n">
        <v>47113.08</v>
      </c>
      <c r="J762" s="33" t="n">
        <v>47113.08</v>
      </c>
    </row>
    <row r="763" customFormat="false" ht="15" hidden="false" customHeight="false" outlineLevel="0" collapsed="false">
      <c r="A763" s="3" t="s">
        <v>1153</v>
      </c>
      <c r="B763" s="3" t="s">
        <v>282</v>
      </c>
      <c r="C763" s="3" t="s">
        <v>401</v>
      </c>
      <c r="D763" s="3" t="s">
        <v>392</v>
      </c>
      <c r="E763" s="3" t="s">
        <v>382</v>
      </c>
      <c r="F763" s="16" t="n">
        <v>24</v>
      </c>
      <c r="G763" s="15" t="n">
        <v>0.15</v>
      </c>
      <c r="H763" s="16" t="n">
        <v>13</v>
      </c>
      <c r="I763" s="33" t="n">
        <v>47112.72</v>
      </c>
      <c r="J763" s="33" t="n">
        <v>55426.8</v>
      </c>
    </row>
    <row r="764" customFormat="false" ht="15" hidden="false" customHeight="false" outlineLevel="0" collapsed="false">
      <c r="A764" s="3" t="s">
        <v>1154</v>
      </c>
      <c r="B764" s="3" t="s">
        <v>282</v>
      </c>
      <c r="C764" s="3" t="s">
        <v>405</v>
      </c>
      <c r="D764" s="3" t="s">
        <v>381</v>
      </c>
      <c r="E764" s="3" t="s">
        <v>385</v>
      </c>
      <c r="F764" s="16" t="n">
        <v>12</v>
      </c>
      <c r="G764" s="15" t="n">
        <v>0</v>
      </c>
      <c r="H764" s="16" t="n">
        <v>10</v>
      </c>
      <c r="I764" s="33" t="n">
        <v>47047.56</v>
      </c>
      <c r="J764" s="33" t="n">
        <v>47047.56</v>
      </c>
    </row>
    <row r="765" customFormat="false" ht="15" hidden="false" customHeight="false" outlineLevel="0" collapsed="false">
      <c r="A765" s="3" t="s">
        <v>1155</v>
      </c>
      <c r="B765" s="3" t="s">
        <v>282</v>
      </c>
      <c r="C765" s="3" t="s">
        <v>387</v>
      </c>
      <c r="D765" s="3" t="s">
        <v>388</v>
      </c>
      <c r="E765" s="3" t="s">
        <v>382</v>
      </c>
      <c r="F765" s="16" t="n">
        <v>24</v>
      </c>
      <c r="G765" s="15" t="n">
        <v>0</v>
      </c>
      <c r="H765" s="16" t="n">
        <v>19</v>
      </c>
      <c r="I765" s="33" t="n">
        <v>47024.16</v>
      </c>
      <c r="J765" s="33" t="n">
        <v>47024.16</v>
      </c>
    </row>
    <row r="766" customFormat="false" ht="15" hidden="false" customHeight="false" outlineLevel="0" collapsed="false">
      <c r="A766" s="3" t="s">
        <v>1156</v>
      </c>
      <c r="B766" s="3" t="s">
        <v>282</v>
      </c>
      <c r="C766" s="3" t="s">
        <v>396</v>
      </c>
      <c r="D766" s="3" t="s">
        <v>381</v>
      </c>
      <c r="E766" s="3" t="s">
        <v>398</v>
      </c>
      <c r="F766" s="16" t="n">
        <v>24</v>
      </c>
      <c r="G766" s="15" t="n">
        <v>0.1</v>
      </c>
      <c r="H766" s="16" t="n">
        <v>19</v>
      </c>
      <c r="I766" s="33" t="n">
        <v>46878.84</v>
      </c>
      <c r="J766" s="33" t="n">
        <v>52087.56</v>
      </c>
    </row>
    <row r="767" customFormat="false" ht="15" hidden="false" customHeight="false" outlineLevel="0" collapsed="false">
      <c r="A767" s="3" t="s">
        <v>1157</v>
      </c>
      <c r="B767" s="3" t="s">
        <v>282</v>
      </c>
      <c r="C767" s="3" t="s">
        <v>387</v>
      </c>
      <c r="D767" s="3" t="s">
        <v>388</v>
      </c>
      <c r="E767" s="3" t="s">
        <v>398</v>
      </c>
      <c r="F767" s="16" t="n">
        <v>12</v>
      </c>
      <c r="G767" s="15" t="n">
        <v>0.1</v>
      </c>
      <c r="H767" s="16" t="n">
        <v>7</v>
      </c>
      <c r="I767" s="33" t="n">
        <v>46843.44</v>
      </c>
      <c r="J767" s="33" t="n">
        <v>52048.2</v>
      </c>
    </row>
    <row r="768" customFormat="false" ht="15" hidden="false" customHeight="false" outlineLevel="0" collapsed="false">
      <c r="A768" s="3" t="s">
        <v>1158</v>
      </c>
      <c r="B768" s="3" t="s">
        <v>282</v>
      </c>
      <c r="C768" s="3" t="s">
        <v>401</v>
      </c>
      <c r="D768" s="3" t="s">
        <v>418</v>
      </c>
      <c r="E768" s="3" t="s">
        <v>398</v>
      </c>
      <c r="F768" s="16" t="n">
        <v>12</v>
      </c>
      <c r="G768" s="15" t="n">
        <v>0.2</v>
      </c>
      <c r="H768" s="16" t="n">
        <v>12</v>
      </c>
      <c r="I768" s="33" t="n">
        <v>46833.72</v>
      </c>
      <c r="J768" s="33" t="n">
        <v>58542.24</v>
      </c>
    </row>
    <row r="769" customFormat="false" ht="15" hidden="false" customHeight="false" outlineLevel="0" collapsed="false">
      <c r="A769" s="3" t="s">
        <v>1159</v>
      </c>
      <c r="B769" s="3" t="s">
        <v>282</v>
      </c>
      <c r="C769" s="3" t="s">
        <v>380</v>
      </c>
      <c r="D769" s="3" t="s">
        <v>392</v>
      </c>
      <c r="E769" s="3" t="s">
        <v>398</v>
      </c>
      <c r="F769" s="16" t="n">
        <v>24</v>
      </c>
      <c r="G769" s="15" t="n">
        <v>0</v>
      </c>
      <c r="H769" s="16" t="n">
        <v>4</v>
      </c>
      <c r="I769" s="33" t="n">
        <v>46761.84</v>
      </c>
      <c r="J769" s="33" t="n">
        <v>46761.84</v>
      </c>
    </row>
    <row r="770" customFormat="false" ht="15" hidden="false" customHeight="false" outlineLevel="0" collapsed="false">
      <c r="A770" s="3" t="s">
        <v>1160</v>
      </c>
      <c r="B770" s="3" t="s">
        <v>282</v>
      </c>
      <c r="C770" s="3" t="s">
        <v>405</v>
      </c>
      <c r="D770" s="3" t="s">
        <v>418</v>
      </c>
      <c r="E770" s="3" t="s">
        <v>385</v>
      </c>
      <c r="F770" s="16" t="n">
        <v>12</v>
      </c>
      <c r="G770" s="15" t="n">
        <v>0</v>
      </c>
      <c r="H770" s="16" t="n">
        <v>1</v>
      </c>
      <c r="I770" s="33" t="n">
        <v>46758.36</v>
      </c>
      <c r="J770" s="33" t="n">
        <v>46758.36</v>
      </c>
    </row>
    <row r="771" customFormat="false" ht="15" hidden="false" customHeight="false" outlineLevel="0" collapsed="false">
      <c r="A771" s="3" t="s">
        <v>1161</v>
      </c>
      <c r="B771" s="3" t="s">
        <v>282</v>
      </c>
      <c r="C771" s="3" t="s">
        <v>396</v>
      </c>
      <c r="D771" s="3" t="s">
        <v>392</v>
      </c>
      <c r="E771" s="3" t="s">
        <v>398</v>
      </c>
      <c r="F771" s="16" t="n">
        <v>12</v>
      </c>
      <c r="G771" s="15" t="n">
        <v>0</v>
      </c>
      <c r="H771" s="16" t="n">
        <v>7</v>
      </c>
      <c r="I771" s="33" t="n">
        <v>46570.2</v>
      </c>
      <c r="J771" s="33" t="n">
        <v>46570.2</v>
      </c>
    </row>
    <row r="772" customFormat="false" ht="15" hidden="false" customHeight="false" outlineLevel="0" collapsed="false">
      <c r="A772" s="3" t="s">
        <v>1162</v>
      </c>
      <c r="B772" s="3" t="s">
        <v>282</v>
      </c>
      <c r="C772" s="3" t="s">
        <v>401</v>
      </c>
      <c r="D772" s="3" t="s">
        <v>388</v>
      </c>
      <c r="E772" s="3" t="s">
        <v>382</v>
      </c>
      <c r="F772" s="16" t="n">
        <v>24</v>
      </c>
      <c r="G772" s="15" t="n">
        <v>0</v>
      </c>
      <c r="H772" s="16" t="n">
        <v>12</v>
      </c>
      <c r="I772" s="33" t="n">
        <v>46547.4</v>
      </c>
      <c r="J772" s="33" t="n">
        <v>46547.4</v>
      </c>
    </row>
    <row r="773" customFormat="false" ht="15" hidden="false" customHeight="false" outlineLevel="0" collapsed="false">
      <c r="A773" s="3" t="s">
        <v>1163</v>
      </c>
      <c r="B773" s="3" t="s">
        <v>282</v>
      </c>
      <c r="C773" s="3" t="s">
        <v>401</v>
      </c>
      <c r="D773" s="3" t="s">
        <v>381</v>
      </c>
      <c r="E773" s="3" t="s">
        <v>385</v>
      </c>
      <c r="F773" s="16" t="n">
        <v>12</v>
      </c>
      <c r="G773" s="15" t="n">
        <v>0</v>
      </c>
      <c r="H773" s="16" t="n">
        <v>2</v>
      </c>
      <c r="I773" s="33" t="n">
        <v>46535.4</v>
      </c>
      <c r="J773" s="33" t="n">
        <v>46535.4</v>
      </c>
    </row>
    <row r="774" customFormat="false" ht="15" hidden="false" customHeight="false" outlineLevel="0" collapsed="false">
      <c r="A774" s="3" t="s">
        <v>1164</v>
      </c>
      <c r="B774" s="3" t="s">
        <v>282</v>
      </c>
      <c r="C774" s="3" t="s">
        <v>396</v>
      </c>
      <c r="D774" s="3" t="s">
        <v>692</v>
      </c>
      <c r="E774" s="3" t="s">
        <v>398</v>
      </c>
      <c r="F774" s="16" t="n">
        <v>12</v>
      </c>
      <c r="G774" s="15" t="n">
        <v>0</v>
      </c>
      <c r="H774" s="16" t="n">
        <v>7</v>
      </c>
      <c r="I774" s="33" t="n">
        <v>46482</v>
      </c>
      <c r="J774" s="33" t="n">
        <v>46482</v>
      </c>
    </row>
    <row r="775" customFormat="false" ht="15" hidden="false" customHeight="false" outlineLevel="0" collapsed="false">
      <c r="A775" s="3" t="s">
        <v>1165</v>
      </c>
      <c r="B775" s="3" t="s">
        <v>282</v>
      </c>
      <c r="C775" s="3" t="s">
        <v>387</v>
      </c>
      <c r="D775" s="3" t="s">
        <v>392</v>
      </c>
      <c r="E775" s="3" t="s">
        <v>398</v>
      </c>
      <c r="F775" s="16" t="n">
        <v>12</v>
      </c>
      <c r="G775" s="15" t="n">
        <v>0</v>
      </c>
      <c r="H775" s="16" t="n">
        <v>9</v>
      </c>
      <c r="I775" s="33" t="n">
        <v>46439.52</v>
      </c>
      <c r="J775" s="33" t="n">
        <v>46439.52</v>
      </c>
    </row>
    <row r="776" customFormat="false" ht="15" hidden="false" customHeight="false" outlineLevel="0" collapsed="false">
      <c r="A776" s="3" t="s">
        <v>1166</v>
      </c>
      <c r="B776" s="3" t="s">
        <v>282</v>
      </c>
      <c r="C776" s="3" t="s">
        <v>380</v>
      </c>
      <c r="D776" s="3" t="s">
        <v>418</v>
      </c>
      <c r="E776" s="3" t="s">
        <v>382</v>
      </c>
      <c r="F776" s="16" t="n">
        <v>12</v>
      </c>
      <c r="G776" s="15" t="n">
        <v>0.1</v>
      </c>
      <c r="H776" s="16" t="n">
        <v>3</v>
      </c>
      <c r="I776" s="33" t="n">
        <v>46383</v>
      </c>
      <c r="J776" s="33" t="n">
        <v>51536.76</v>
      </c>
    </row>
    <row r="777" customFormat="false" ht="15" hidden="false" customHeight="false" outlineLevel="0" collapsed="false">
      <c r="A777" s="3" t="s">
        <v>1167</v>
      </c>
      <c r="B777" s="3" t="s">
        <v>282</v>
      </c>
      <c r="C777" s="3" t="s">
        <v>401</v>
      </c>
      <c r="D777" s="3" t="s">
        <v>388</v>
      </c>
      <c r="E777" s="3" t="s">
        <v>398</v>
      </c>
      <c r="F777" s="16" t="n">
        <v>24</v>
      </c>
      <c r="G777" s="15" t="n">
        <v>0.15</v>
      </c>
      <c r="H777" s="16" t="n">
        <v>13</v>
      </c>
      <c r="I777" s="33" t="n">
        <v>46359.12</v>
      </c>
      <c r="J777" s="33" t="n">
        <v>54540.12</v>
      </c>
    </row>
    <row r="778" customFormat="false" ht="15" hidden="false" customHeight="false" outlineLevel="0" collapsed="false">
      <c r="A778" s="3" t="s">
        <v>1168</v>
      </c>
      <c r="B778" s="3" t="s">
        <v>282</v>
      </c>
      <c r="C778" s="3" t="s">
        <v>387</v>
      </c>
      <c r="D778" s="3" t="s">
        <v>381</v>
      </c>
      <c r="E778" s="3" t="s">
        <v>385</v>
      </c>
      <c r="F778" s="16" t="n">
        <v>12</v>
      </c>
      <c r="G778" s="15" t="n">
        <v>0</v>
      </c>
      <c r="H778" s="16" t="n">
        <v>1</v>
      </c>
      <c r="I778" s="33" t="n">
        <v>46118.04</v>
      </c>
      <c r="J778" s="33" t="n">
        <v>46118.04</v>
      </c>
    </row>
    <row r="779" customFormat="false" ht="15" hidden="false" customHeight="false" outlineLevel="0" collapsed="false">
      <c r="A779" s="3" t="s">
        <v>1169</v>
      </c>
      <c r="B779" s="3" t="s">
        <v>282</v>
      </c>
      <c r="C779" s="3" t="s">
        <v>396</v>
      </c>
      <c r="D779" s="3" t="s">
        <v>381</v>
      </c>
      <c r="E779" s="3" t="s">
        <v>385</v>
      </c>
      <c r="F779" s="16" t="n">
        <v>24</v>
      </c>
      <c r="G779" s="15" t="n">
        <v>0.05</v>
      </c>
      <c r="H779" s="16" t="n">
        <v>7</v>
      </c>
      <c r="I779" s="33" t="n">
        <v>46108.32</v>
      </c>
      <c r="J779" s="33" t="n">
        <v>48535.08</v>
      </c>
    </row>
    <row r="780" customFormat="false" ht="15" hidden="false" customHeight="false" outlineLevel="0" collapsed="false">
      <c r="A780" s="3" t="s">
        <v>1170</v>
      </c>
      <c r="B780" s="3" t="s">
        <v>282</v>
      </c>
      <c r="C780" s="3" t="s">
        <v>396</v>
      </c>
      <c r="D780" s="3" t="s">
        <v>381</v>
      </c>
      <c r="E780" s="3" t="s">
        <v>398</v>
      </c>
      <c r="F780" s="16" t="n">
        <v>24</v>
      </c>
      <c r="G780" s="15" t="n">
        <v>0</v>
      </c>
      <c r="H780" s="16" t="n">
        <v>24</v>
      </c>
      <c r="I780" s="33" t="n">
        <v>46064.76</v>
      </c>
      <c r="J780" s="33" t="n">
        <v>46064.76</v>
      </c>
    </row>
    <row r="781" customFormat="false" ht="15" hidden="false" customHeight="false" outlineLevel="0" collapsed="false">
      <c r="A781" s="3" t="s">
        <v>1171</v>
      </c>
      <c r="B781" s="3" t="s">
        <v>282</v>
      </c>
      <c r="C781" s="3" t="s">
        <v>401</v>
      </c>
      <c r="D781" s="3" t="s">
        <v>381</v>
      </c>
      <c r="E781" s="3" t="s">
        <v>382</v>
      </c>
      <c r="F781" s="16" t="n">
        <v>12</v>
      </c>
      <c r="G781" s="15" t="n">
        <v>0.2</v>
      </c>
      <c r="H781" s="16" t="n">
        <v>12</v>
      </c>
      <c r="I781" s="33" t="n">
        <v>46056.84</v>
      </c>
      <c r="J781" s="33" t="n">
        <v>57571.08</v>
      </c>
    </row>
    <row r="782" customFormat="false" ht="15" hidden="false" customHeight="false" outlineLevel="0" collapsed="false">
      <c r="A782" s="3" t="s">
        <v>1172</v>
      </c>
      <c r="B782" s="3" t="s">
        <v>282</v>
      </c>
      <c r="C782" s="3" t="s">
        <v>396</v>
      </c>
      <c r="D782" s="3" t="s">
        <v>381</v>
      </c>
      <c r="E782" s="3" t="s">
        <v>398</v>
      </c>
      <c r="F782" s="16" t="n">
        <v>24</v>
      </c>
      <c r="G782" s="15" t="n">
        <v>0.25</v>
      </c>
      <c r="H782" s="16" t="n">
        <v>13</v>
      </c>
      <c r="I782" s="33" t="n">
        <v>45912.24</v>
      </c>
      <c r="J782" s="33" t="n">
        <v>61216.44</v>
      </c>
    </row>
    <row r="783" customFormat="false" ht="15" hidden="false" customHeight="false" outlineLevel="0" collapsed="false">
      <c r="A783" s="3" t="s">
        <v>1173</v>
      </c>
      <c r="B783" s="3" t="s">
        <v>282</v>
      </c>
      <c r="C783" s="3" t="s">
        <v>384</v>
      </c>
      <c r="D783" s="3" t="s">
        <v>381</v>
      </c>
      <c r="E783" s="3" t="s">
        <v>398</v>
      </c>
      <c r="F783" s="16" t="n">
        <v>12</v>
      </c>
      <c r="G783" s="15" t="n">
        <v>0</v>
      </c>
      <c r="H783" s="16" t="n">
        <v>9</v>
      </c>
      <c r="I783" s="33" t="n">
        <v>45773.16</v>
      </c>
      <c r="J783" s="33" t="n">
        <v>45773.16</v>
      </c>
    </row>
    <row r="784" customFormat="false" ht="15" hidden="false" customHeight="false" outlineLevel="0" collapsed="false">
      <c r="A784" s="3" t="s">
        <v>1174</v>
      </c>
      <c r="B784" s="3" t="s">
        <v>282</v>
      </c>
      <c r="C784" s="3" t="s">
        <v>380</v>
      </c>
      <c r="D784" s="3" t="s">
        <v>418</v>
      </c>
      <c r="E784" s="3" t="s">
        <v>398</v>
      </c>
      <c r="F784" s="16" t="n">
        <v>24</v>
      </c>
      <c r="G784" s="15" t="n">
        <v>0</v>
      </c>
      <c r="H784" s="16" t="n">
        <v>17</v>
      </c>
      <c r="I784" s="33" t="n">
        <v>45753.36</v>
      </c>
      <c r="J784" s="33" t="n">
        <v>45753.36</v>
      </c>
    </row>
    <row r="785" customFormat="false" ht="15" hidden="false" customHeight="false" outlineLevel="0" collapsed="false">
      <c r="A785" s="3" t="s">
        <v>1175</v>
      </c>
      <c r="B785" s="3" t="s">
        <v>282</v>
      </c>
      <c r="C785" s="3" t="s">
        <v>384</v>
      </c>
      <c r="D785" s="3" t="s">
        <v>392</v>
      </c>
      <c r="E785" s="3" t="s">
        <v>398</v>
      </c>
      <c r="F785" s="16" t="n">
        <v>12</v>
      </c>
      <c r="G785" s="15" t="n">
        <v>0.2</v>
      </c>
      <c r="H785" s="16" t="n">
        <v>10</v>
      </c>
      <c r="I785" s="33" t="n">
        <v>45701.76</v>
      </c>
      <c r="J785" s="33" t="n">
        <v>57127.2</v>
      </c>
    </row>
    <row r="786" customFormat="false" ht="15" hidden="false" customHeight="false" outlineLevel="0" collapsed="false">
      <c r="A786" s="3" t="s">
        <v>1176</v>
      </c>
      <c r="B786" s="3" t="s">
        <v>282</v>
      </c>
      <c r="C786" s="3" t="s">
        <v>403</v>
      </c>
      <c r="D786" s="3" t="s">
        <v>381</v>
      </c>
      <c r="E786" s="3" t="s">
        <v>382</v>
      </c>
      <c r="F786" s="16" t="n">
        <v>24</v>
      </c>
      <c r="G786" s="15" t="n">
        <v>0</v>
      </c>
      <c r="H786" s="16" t="n">
        <v>12</v>
      </c>
      <c r="I786" s="33" t="n">
        <v>45679.2</v>
      </c>
      <c r="J786" s="33" t="n">
        <v>45679.2</v>
      </c>
    </row>
    <row r="787" customFormat="false" ht="15" hidden="false" customHeight="false" outlineLevel="0" collapsed="false">
      <c r="A787" s="3" t="s">
        <v>1177</v>
      </c>
      <c r="B787" s="3" t="s">
        <v>282</v>
      </c>
      <c r="C787" s="3" t="s">
        <v>403</v>
      </c>
      <c r="D787" s="3" t="s">
        <v>388</v>
      </c>
      <c r="E787" s="3" t="s">
        <v>398</v>
      </c>
      <c r="F787" s="16" t="n">
        <v>24</v>
      </c>
      <c r="G787" s="15" t="n">
        <v>0.25</v>
      </c>
      <c r="H787" s="16" t="n">
        <v>6</v>
      </c>
      <c r="I787" s="33" t="n">
        <v>45634.68</v>
      </c>
      <c r="J787" s="33" t="n">
        <v>60846.24</v>
      </c>
    </row>
    <row r="788" customFormat="false" ht="15" hidden="false" customHeight="false" outlineLevel="0" collapsed="false">
      <c r="A788" s="3" t="s">
        <v>1178</v>
      </c>
      <c r="B788" s="3" t="s">
        <v>282</v>
      </c>
      <c r="C788" s="3" t="s">
        <v>396</v>
      </c>
      <c r="D788" s="3" t="s">
        <v>418</v>
      </c>
      <c r="E788" s="3" t="s">
        <v>398</v>
      </c>
      <c r="F788" s="16" t="n">
        <v>12</v>
      </c>
      <c r="G788" s="15" t="n">
        <v>0.2</v>
      </c>
      <c r="H788" s="16" t="n">
        <v>6</v>
      </c>
      <c r="I788" s="33" t="n">
        <v>45623.28</v>
      </c>
      <c r="J788" s="33" t="n">
        <v>57029.16</v>
      </c>
    </row>
    <row r="789" customFormat="false" ht="15" hidden="false" customHeight="false" outlineLevel="0" collapsed="false">
      <c r="A789" s="3" t="s">
        <v>1179</v>
      </c>
      <c r="B789" s="3" t="s">
        <v>282</v>
      </c>
      <c r="C789" s="3" t="s">
        <v>401</v>
      </c>
      <c r="D789" s="3" t="s">
        <v>381</v>
      </c>
      <c r="E789" s="3" t="s">
        <v>385</v>
      </c>
      <c r="F789" s="16" t="n">
        <v>12</v>
      </c>
      <c r="G789" s="15" t="n">
        <v>0</v>
      </c>
      <c r="H789" s="16" t="n">
        <v>5</v>
      </c>
      <c r="I789" s="33" t="n">
        <v>45540.36</v>
      </c>
      <c r="J789" s="33" t="n">
        <v>45540.36</v>
      </c>
    </row>
    <row r="790" customFormat="false" ht="15" hidden="false" customHeight="false" outlineLevel="0" collapsed="false">
      <c r="A790" s="3" t="s">
        <v>1180</v>
      </c>
      <c r="B790" s="3" t="s">
        <v>282</v>
      </c>
      <c r="C790" s="3" t="s">
        <v>401</v>
      </c>
      <c r="D790" s="3" t="s">
        <v>388</v>
      </c>
      <c r="E790" s="3" t="s">
        <v>382</v>
      </c>
      <c r="F790" s="16" t="n">
        <v>24</v>
      </c>
      <c r="G790" s="15" t="n">
        <v>0</v>
      </c>
      <c r="H790" s="16" t="n">
        <v>18</v>
      </c>
      <c r="I790" s="33" t="n">
        <v>45515.52</v>
      </c>
      <c r="J790" s="33" t="n">
        <v>45515.52</v>
      </c>
    </row>
    <row r="791" customFormat="false" ht="15" hidden="false" customHeight="false" outlineLevel="0" collapsed="false">
      <c r="A791" s="3" t="s">
        <v>1181</v>
      </c>
      <c r="B791" s="3" t="s">
        <v>282</v>
      </c>
      <c r="C791" s="3" t="s">
        <v>396</v>
      </c>
      <c r="D791" s="3" t="s">
        <v>381</v>
      </c>
      <c r="E791" s="3" t="s">
        <v>385</v>
      </c>
      <c r="F791" s="16" t="n">
        <v>24</v>
      </c>
      <c r="G791" s="15" t="n">
        <v>0</v>
      </c>
      <c r="H791" s="16" t="n">
        <v>7</v>
      </c>
      <c r="I791" s="33" t="n">
        <v>45417.24</v>
      </c>
      <c r="J791" s="33" t="n">
        <v>45417.24</v>
      </c>
    </row>
    <row r="792" customFormat="false" ht="15" hidden="false" customHeight="false" outlineLevel="0" collapsed="false">
      <c r="A792" s="3" t="s">
        <v>1182</v>
      </c>
      <c r="B792" s="3" t="s">
        <v>282</v>
      </c>
      <c r="C792" s="3" t="s">
        <v>403</v>
      </c>
      <c r="D792" s="3" t="s">
        <v>418</v>
      </c>
      <c r="E792" s="3" t="s">
        <v>385</v>
      </c>
      <c r="F792" s="16" t="n">
        <v>12</v>
      </c>
      <c r="G792" s="15" t="n">
        <v>0.1</v>
      </c>
      <c r="H792" s="16" t="n">
        <v>10</v>
      </c>
      <c r="I792" s="33" t="n">
        <v>45293.4</v>
      </c>
      <c r="J792" s="33" t="n">
        <v>50325.96</v>
      </c>
    </row>
    <row r="793" customFormat="false" ht="15" hidden="false" customHeight="false" outlineLevel="0" collapsed="false">
      <c r="A793" s="3" t="s">
        <v>1183</v>
      </c>
      <c r="B793" s="3" t="s">
        <v>282</v>
      </c>
      <c r="C793" s="3" t="s">
        <v>403</v>
      </c>
      <c r="D793" s="3" t="s">
        <v>388</v>
      </c>
      <c r="E793" s="3" t="s">
        <v>385</v>
      </c>
      <c r="F793" s="16" t="n">
        <v>24</v>
      </c>
      <c r="G793" s="15" t="n">
        <v>0</v>
      </c>
      <c r="H793" s="16" t="n">
        <v>24</v>
      </c>
      <c r="I793" s="33" t="n">
        <v>45227.76</v>
      </c>
      <c r="J793" s="33" t="n">
        <v>45227.76</v>
      </c>
    </row>
    <row r="794" customFormat="false" ht="15" hidden="false" customHeight="false" outlineLevel="0" collapsed="false">
      <c r="A794" s="3" t="s">
        <v>1184</v>
      </c>
      <c r="B794" s="3" t="s">
        <v>282</v>
      </c>
      <c r="C794" s="3" t="s">
        <v>401</v>
      </c>
      <c r="D794" s="3" t="s">
        <v>392</v>
      </c>
      <c r="E794" s="3" t="s">
        <v>398</v>
      </c>
      <c r="F794" s="16" t="n">
        <v>24</v>
      </c>
      <c r="G794" s="15" t="n">
        <v>0</v>
      </c>
      <c r="H794" s="16" t="n">
        <v>20</v>
      </c>
      <c r="I794" s="33" t="n">
        <v>45161.88</v>
      </c>
      <c r="J794" s="33" t="n">
        <v>45161.88</v>
      </c>
    </row>
    <row r="795" customFormat="false" ht="15" hidden="false" customHeight="false" outlineLevel="0" collapsed="false">
      <c r="A795" s="3" t="s">
        <v>1185</v>
      </c>
      <c r="B795" s="3" t="s">
        <v>282</v>
      </c>
      <c r="C795" s="3" t="s">
        <v>384</v>
      </c>
      <c r="D795" s="3" t="s">
        <v>418</v>
      </c>
      <c r="E795" s="3" t="s">
        <v>398</v>
      </c>
      <c r="F795" s="16" t="n">
        <v>12</v>
      </c>
      <c r="G795" s="15" t="n">
        <v>0</v>
      </c>
      <c r="H795" s="16" t="n">
        <v>7</v>
      </c>
      <c r="I795" s="33" t="n">
        <v>45095.4</v>
      </c>
      <c r="J795" s="33" t="n">
        <v>45095.4</v>
      </c>
    </row>
    <row r="796" customFormat="false" ht="15" hidden="false" customHeight="false" outlineLevel="0" collapsed="false">
      <c r="A796" s="3" t="s">
        <v>1186</v>
      </c>
      <c r="B796" s="3" t="s">
        <v>283</v>
      </c>
      <c r="C796" s="3" t="s">
        <v>387</v>
      </c>
      <c r="D796" s="3" t="s">
        <v>388</v>
      </c>
      <c r="E796" s="3" t="s">
        <v>398</v>
      </c>
      <c r="F796" s="16" t="n">
        <v>1</v>
      </c>
      <c r="G796" s="15" t="n">
        <v>0.1</v>
      </c>
      <c r="H796" s="16" t="n">
        <v>1</v>
      </c>
      <c r="I796" s="33" t="n">
        <v>45066</v>
      </c>
      <c r="J796" s="33" t="n">
        <v>50073.36</v>
      </c>
    </row>
    <row r="797" customFormat="false" ht="15" hidden="false" customHeight="false" outlineLevel="0" collapsed="false">
      <c r="A797" s="3" t="s">
        <v>1187</v>
      </c>
      <c r="B797" s="3" t="s">
        <v>282</v>
      </c>
      <c r="C797" s="3" t="s">
        <v>401</v>
      </c>
      <c r="D797" s="3" t="s">
        <v>381</v>
      </c>
      <c r="E797" s="3" t="s">
        <v>398</v>
      </c>
      <c r="F797" s="16" t="n">
        <v>12</v>
      </c>
      <c r="G797" s="15" t="n">
        <v>0</v>
      </c>
      <c r="H797" s="16" t="n">
        <v>5</v>
      </c>
      <c r="I797" s="33" t="n">
        <v>44973</v>
      </c>
      <c r="J797" s="33" t="n">
        <v>44973</v>
      </c>
    </row>
    <row r="798" customFormat="false" ht="15" hidden="false" customHeight="false" outlineLevel="0" collapsed="false">
      <c r="A798" s="3" t="s">
        <v>1188</v>
      </c>
      <c r="B798" s="3" t="s">
        <v>282</v>
      </c>
      <c r="C798" s="3" t="s">
        <v>396</v>
      </c>
      <c r="D798" s="3" t="s">
        <v>388</v>
      </c>
      <c r="E798" s="3" t="s">
        <v>382</v>
      </c>
      <c r="F798" s="16" t="n">
        <v>24</v>
      </c>
      <c r="G798" s="15" t="n">
        <v>0</v>
      </c>
      <c r="H798" s="16" t="n">
        <v>2</v>
      </c>
      <c r="I798" s="33" t="n">
        <v>44929.56</v>
      </c>
      <c r="J798" s="33" t="n">
        <v>44929.56</v>
      </c>
    </row>
    <row r="799" customFormat="false" ht="15" hidden="false" customHeight="false" outlineLevel="0" collapsed="false">
      <c r="A799" s="3" t="s">
        <v>1189</v>
      </c>
      <c r="B799" s="3" t="s">
        <v>282</v>
      </c>
      <c r="C799" s="3" t="s">
        <v>384</v>
      </c>
      <c r="D799" s="3" t="s">
        <v>381</v>
      </c>
      <c r="E799" s="3" t="s">
        <v>398</v>
      </c>
      <c r="F799" s="16" t="n">
        <v>24</v>
      </c>
      <c r="G799" s="15" t="n">
        <v>0</v>
      </c>
      <c r="H799" s="16" t="n">
        <v>19</v>
      </c>
      <c r="I799" s="33" t="n">
        <v>44920.8</v>
      </c>
      <c r="J799" s="33" t="n">
        <v>44920.8</v>
      </c>
    </row>
    <row r="800" customFormat="false" ht="15" hidden="false" customHeight="false" outlineLevel="0" collapsed="false">
      <c r="A800" s="3" t="s">
        <v>1190</v>
      </c>
      <c r="B800" s="3" t="s">
        <v>282</v>
      </c>
      <c r="C800" s="3" t="s">
        <v>405</v>
      </c>
      <c r="D800" s="3" t="s">
        <v>381</v>
      </c>
      <c r="E800" s="3" t="s">
        <v>385</v>
      </c>
      <c r="F800" s="16" t="n">
        <v>12</v>
      </c>
      <c r="G800" s="15" t="n">
        <v>0</v>
      </c>
      <c r="H800" s="16" t="n">
        <v>11</v>
      </c>
      <c r="I800" s="33" t="n">
        <v>44894.16</v>
      </c>
      <c r="J800" s="33" t="n">
        <v>44894.16</v>
      </c>
    </row>
    <row r="801" customFormat="false" ht="15" hidden="false" customHeight="false" outlineLevel="0" collapsed="false">
      <c r="A801" s="3" t="s">
        <v>1191</v>
      </c>
      <c r="B801" s="3" t="s">
        <v>282</v>
      </c>
      <c r="C801" s="3" t="s">
        <v>384</v>
      </c>
      <c r="D801" s="3" t="s">
        <v>381</v>
      </c>
      <c r="E801" s="3" t="s">
        <v>398</v>
      </c>
      <c r="F801" s="16" t="n">
        <v>12</v>
      </c>
      <c r="G801" s="15" t="n">
        <v>0.1</v>
      </c>
      <c r="H801" s="16" t="n">
        <v>1</v>
      </c>
      <c r="I801" s="33" t="n">
        <v>44787.24</v>
      </c>
      <c r="J801" s="33" t="n">
        <v>49763.52</v>
      </c>
    </row>
    <row r="802" customFormat="false" ht="15" hidden="false" customHeight="false" outlineLevel="0" collapsed="false">
      <c r="A802" s="3" t="s">
        <v>1192</v>
      </c>
      <c r="B802" s="3" t="s">
        <v>282</v>
      </c>
      <c r="C802" s="3" t="s">
        <v>396</v>
      </c>
      <c r="D802" s="3" t="s">
        <v>392</v>
      </c>
      <c r="E802" s="3" t="s">
        <v>385</v>
      </c>
      <c r="F802" s="16" t="n">
        <v>12</v>
      </c>
      <c r="G802" s="15" t="n">
        <v>0</v>
      </c>
      <c r="H802" s="16" t="n">
        <v>6</v>
      </c>
      <c r="I802" s="33" t="n">
        <v>44744.28</v>
      </c>
      <c r="J802" s="33" t="n">
        <v>44744.28</v>
      </c>
    </row>
    <row r="803" customFormat="false" ht="15" hidden="false" customHeight="false" outlineLevel="0" collapsed="false">
      <c r="A803" s="3" t="s">
        <v>1193</v>
      </c>
      <c r="B803" s="3" t="s">
        <v>282</v>
      </c>
      <c r="C803" s="3" t="s">
        <v>387</v>
      </c>
      <c r="D803" s="3" t="s">
        <v>388</v>
      </c>
      <c r="E803" s="3" t="s">
        <v>398</v>
      </c>
      <c r="F803" s="16" t="n">
        <v>12</v>
      </c>
      <c r="G803" s="15" t="n">
        <v>0.2</v>
      </c>
      <c r="H803" s="16" t="n">
        <v>2</v>
      </c>
      <c r="I803" s="33" t="n">
        <v>44726.76</v>
      </c>
      <c r="J803" s="33" t="n">
        <v>55908.48</v>
      </c>
    </row>
    <row r="804" customFormat="false" ht="15" hidden="false" customHeight="false" outlineLevel="0" collapsed="false">
      <c r="A804" s="3" t="s">
        <v>1194</v>
      </c>
      <c r="B804" s="3" t="s">
        <v>282</v>
      </c>
      <c r="C804" s="3" t="s">
        <v>387</v>
      </c>
      <c r="D804" s="3" t="s">
        <v>692</v>
      </c>
      <c r="E804" s="3" t="s">
        <v>385</v>
      </c>
      <c r="F804" s="16" t="n">
        <v>24</v>
      </c>
      <c r="G804" s="15" t="n">
        <v>0</v>
      </c>
      <c r="H804" s="16" t="n">
        <v>10</v>
      </c>
      <c r="I804" s="33" t="n">
        <v>44714.28</v>
      </c>
      <c r="J804" s="33" t="n">
        <v>44714.28</v>
      </c>
    </row>
    <row r="805" customFormat="false" ht="15" hidden="false" customHeight="false" outlineLevel="0" collapsed="false">
      <c r="A805" s="3" t="s">
        <v>1195</v>
      </c>
      <c r="B805" s="3" t="s">
        <v>282</v>
      </c>
      <c r="C805" s="3" t="s">
        <v>396</v>
      </c>
      <c r="D805" s="3" t="s">
        <v>381</v>
      </c>
      <c r="E805" s="3" t="s">
        <v>398</v>
      </c>
      <c r="F805" s="16" t="n">
        <v>12</v>
      </c>
      <c r="G805" s="15" t="n">
        <v>0</v>
      </c>
      <c r="H805" s="16" t="n">
        <v>4</v>
      </c>
      <c r="I805" s="33" t="n">
        <v>44666.28</v>
      </c>
      <c r="J805" s="33" t="n">
        <v>44666.28</v>
      </c>
    </row>
    <row r="806" customFormat="false" ht="15" hidden="false" customHeight="false" outlineLevel="0" collapsed="false">
      <c r="A806" s="3" t="s">
        <v>1196</v>
      </c>
      <c r="B806" s="3" t="s">
        <v>282</v>
      </c>
      <c r="C806" s="3" t="s">
        <v>384</v>
      </c>
      <c r="D806" s="3" t="s">
        <v>418</v>
      </c>
      <c r="E806" s="3" t="s">
        <v>398</v>
      </c>
      <c r="F806" s="16" t="n">
        <v>24</v>
      </c>
      <c r="G806" s="15" t="n">
        <v>0</v>
      </c>
      <c r="H806" s="16" t="n">
        <v>4</v>
      </c>
      <c r="I806" s="33" t="n">
        <v>44544.6</v>
      </c>
      <c r="J806" s="33" t="n">
        <v>44544.6</v>
      </c>
    </row>
    <row r="807" customFormat="false" ht="15" hidden="false" customHeight="false" outlineLevel="0" collapsed="false">
      <c r="A807" s="3" t="s">
        <v>1197</v>
      </c>
      <c r="B807" s="3" t="s">
        <v>282</v>
      </c>
      <c r="C807" s="3" t="s">
        <v>396</v>
      </c>
      <c r="D807" s="3" t="s">
        <v>692</v>
      </c>
      <c r="E807" s="3" t="s">
        <v>385</v>
      </c>
      <c r="F807" s="16" t="n">
        <v>24</v>
      </c>
      <c r="G807" s="15" t="n">
        <v>0</v>
      </c>
      <c r="H807" s="16" t="n">
        <v>23</v>
      </c>
      <c r="I807" s="33" t="n">
        <v>44369.88</v>
      </c>
      <c r="J807" s="33" t="n">
        <v>44369.88</v>
      </c>
    </row>
    <row r="808" customFormat="false" ht="15" hidden="false" customHeight="false" outlineLevel="0" collapsed="false">
      <c r="A808" s="3" t="s">
        <v>1198</v>
      </c>
      <c r="B808" s="3" t="s">
        <v>282</v>
      </c>
      <c r="C808" s="3" t="s">
        <v>384</v>
      </c>
      <c r="D808" s="3" t="s">
        <v>692</v>
      </c>
      <c r="E808" s="3" t="s">
        <v>398</v>
      </c>
      <c r="F808" s="16" t="n">
        <v>24</v>
      </c>
      <c r="G808" s="15" t="n">
        <v>0</v>
      </c>
      <c r="H808" s="16" t="n">
        <v>22</v>
      </c>
      <c r="I808" s="33" t="n">
        <v>44364.24</v>
      </c>
      <c r="J808" s="33" t="n">
        <v>44364.24</v>
      </c>
    </row>
    <row r="809" customFormat="false" ht="15" hidden="false" customHeight="false" outlineLevel="0" collapsed="false">
      <c r="A809" s="3" t="s">
        <v>1199</v>
      </c>
      <c r="B809" s="3" t="s">
        <v>282</v>
      </c>
      <c r="C809" s="3" t="s">
        <v>401</v>
      </c>
      <c r="D809" s="3" t="s">
        <v>381</v>
      </c>
      <c r="E809" s="3" t="s">
        <v>398</v>
      </c>
      <c r="F809" s="16" t="n">
        <v>12</v>
      </c>
      <c r="G809" s="15" t="n">
        <v>0</v>
      </c>
      <c r="H809" s="16" t="n">
        <v>4</v>
      </c>
      <c r="I809" s="33" t="n">
        <v>44362.32</v>
      </c>
      <c r="J809" s="33" t="n">
        <v>44362.32</v>
      </c>
    </row>
    <row r="810" customFormat="false" ht="15" hidden="false" customHeight="false" outlineLevel="0" collapsed="false">
      <c r="A810" s="3" t="s">
        <v>1200</v>
      </c>
      <c r="B810" s="3" t="s">
        <v>282</v>
      </c>
      <c r="C810" s="3" t="s">
        <v>387</v>
      </c>
      <c r="D810" s="3" t="s">
        <v>381</v>
      </c>
      <c r="E810" s="3" t="s">
        <v>398</v>
      </c>
      <c r="F810" s="16" t="n">
        <v>12</v>
      </c>
      <c r="G810" s="15" t="n">
        <v>0.1</v>
      </c>
      <c r="H810" s="16" t="n">
        <v>9</v>
      </c>
      <c r="I810" s="33" t="n">
        <v>44319.36</v>
      </c>
      <c r="J810" s="33" t="n">
        <v>49243.8</v>
      </c>
    </row>
    <row r="811" customFormat="false" ht="15" hidden="false" customHeight="false" outlineLevel="0" collapsed="false">
      <c r="A811" s="3" t="s">
        <v>1201</v>
      </c>
      <c r="B811" s="3" t="s">
        <v>282</v>
      </c>
      <c r="C811" s="3" t="s">
        <v>387</v>
      </c>
      <c r="D811" s="3" t="s">
        <v>381</v>
      </c>
      <c r="E811" s="3" t="s">
        <v>385</v>
      </c>
      <c r="F811" s="16" t="n">
        <v>24</v>
      </c>
      <c r="G811" s="15" t="n">
        <v>0</v>
      </c>
      <c r="H811" s="16" t="n">
        <v>14</v>
      </c>
      <c r="I811" s="33" t="n">
        <v>44229.84</v>
      </c>
      <c r="J811" s="33" t="n">
        <v>44229.84</v>
      </c>
    </row>
    <row r="812" customFormat="false" ht="15" hidden="false" customHeight="false" outlineLevel="0" collapsed="false">
      <c r="A812" s="3" t="s">
        <v>1202</v>
      </c>
      <c r="B812" s="3" t="s">
        <v>282</v>
      </c>
      <c r="C812" s="3" t="s">
        <v>401</v>
      </c>
      <c r="D812" s="3" t="s">
        <v>388</v>
      </c>
      <c r="E812" s="3" t="s">
        <v>382</v>
      </c>
      <c r="F812" s="16" t="n">
        <v>12</v>
      </c>
      <c r="G812" s="15" t="n">
        <v>0</v>
      </c>
      <c r="H812" s="16" t="n">
        <v>9</v>
      </c>
      <c r="I812" s="33" t="n">
        <v>44158.56</v>
      </c>
      <c r="J812" s="33" t="n">
        <v>44158.56</v>
      </c>
    </row>
    <row r="813" customFormat="false" ht="15" hidden="false" customHeight="false" outlineLevel="0" collapsed="false">
      <c r="A813" s="3" t="s">
        <v>1203</v>
      </c>
      <c r="B813" s="3" t="s">
        <v>282</v>
      </c>
      <c r="C813" s="3" t="s">
        <v>384</v>
      </c>
      <c r="D813" s="3" t="s">
        <v>392</v>
      </c>
      <c r="E813" s="3" t="s">
        <v>398</v>
      </c>
      <c r="F813" s="16" t="n">
        <v>24</v>
      </c>
      <c r="G813" s="15" t="n">
        <v>0</v>
      </c>
      <c r="H813" s="16" t="n">
        <v>4</v>
      </c>
      <c r="I813" s="33" t="n">
        <v>44109.24</v>
      </c>
      <c r="J813" s="33" t="n">
        <v>44109.24</v>
      </c>
    </row>
    <row r="814" customFormat="false" ht="15" hidden="false" customHeight="false" outlineLevel="0" collapsed="false">
      <c r="A814" s="3" t="s">
        <v>1204</v>
      </c>
      <c r="B814" s="3" t="s">
        <v>282</v>
      </c>
      <c r="C814" s="3" t="s">
        <v>403</v>
      </c>
      <c r="D814" s="3" t="s">
        <v>392</v>
      </c>
      <c r="E814" s="3" t="s">
        <v>398</v>
      </c>
      <c r="F814" s="16" t="n">
        <v>12</v>
      </c>
      <c r="G814" s="15" t="n">
        <v>0</v>
      </c>
      <c r="H814" s="16" t="n">
        <v>6</v>
      </c>
      <c r="I814" s="33" t="n">
        <v>44073.48</v>
      </c>
      <c r="J814" s="33" t="n">
        <v>44073.48</v>
      </c>
    </row>
    <row r="815" customFormat="false" ht="15" hidden="false" customHeight="false" outlineLevel="0" collapsed="false">
      <c r="A815" s="3" t="s">
        <v>1205</v>
      </c>
      <c r="B815" s="3" t="s">
        <v>282</v>
      </c>
      <c r="C815" s="3" t="s">
        <v>403</v>
      </c>
      <c r="D815" s="3" t="s">
        <v>392</v>
      </c>
      <c r="E815" s="3" t="s">
        <v>385</v>
      </c>
      <c r="F815" s="16" t="n">
        <v>12</v>
      </c>
      <c r="G815" s="15" t="n">
        <v>0</v>
      </c>
      <c r="H815" s="16" t="n">
        <v>2</v>
      </c>
      <c r="I815" s="33" t="n">
        <v>43977.84</v>
      </c>
      <c r="J815" s="33" t="n">
        <v>43977.84</v>
      </c>
    </row>
    <row r="816" customFormat="false" ht="15" hidden="false" customHeight="false" outlineLevel="0" collapsed="false">
      <c r="A816" s="3" t="s">
        <v>1206</v>
      </c>
      <c r="B816" s="3" t="s">
        <v>282</v>
      </c>
      <c r="C816" s="3" t="s">
        <v>401</v>
      </c>
      <c r="D816" s="3" t="s">
        <v>388</v>
      </c>
      <c r="E816" s="3" t="s">
        <v>382</v>
      </c>
      <c r="F816" s="16" t="n">
        <v>24</v>
      </c>
      <c r="G816" s="15" t="n">
        <v>0.1</v>
      </c>
      <c r="H816" s="16" t="n">
        <v>21</v>
      </c>
      <c r="I816" s="33" t="n">
        <v>43953.84</v>
      </c>
      <c r="J816" s="33" t="n">
        <v>48837.6</v>
      </c>
    </row>
    <row r="817" customFormat="false" ht="15" hidden="false" customHeight="false" outlineLevel="0" collapsed="false">
      <c r="A817" s="3" t="s">
        <v>1207</v>
      </c>
      <c r="B817" s="3" t="s">
        <v>282</v>
      </c>
      <c r="C817" s="3" t="s">
        <v>380</v>
      </c>
      <c r="D817" s="3" t="s">
        <v>418</v>
      </c>
      <c r="E817" s="3" t="s">
        <v>382</v>
      </c>
      <c r="F817" s="16" t="n">
        <v>12</v>
      </c>
      <c r="G817" s="15" t="n">
        <v>0</v>
      </c>
      <c r="H817" s="16" t="n">
        <v>5</v>
      </c>
      <c r="I817" s="33" t="n">
        <v>43905.48</v>
      </c>
      <c r="J817" s="33" t="n">
        <v>43905.48</v>
      </c>
    </row>
    <row r="818" customFormat="false" ht="15" hidden="false" customHeight="false" outlineLevel="0" collapsed="false">
      <c r="A818" s="3" t="s">
        <v>1208</v>
      </c>
      <c r="B818" s="3" t="s">
        <v>282</v>
      </c>
      <c r="C818" s="3" t="s">
        <v>396</v>
      </c>
      <c r="D818" s="3" t="s">
        <v>381</v>
      </c>
      <c r="E818" s="3" t="s">
        <v>382</v>
      </c>
      <c r="F818" s="16" t="n">
        <v>12</v>
      </c>
      <c r="G818" s="15" t="n">
        <v>0</v>
      </c>
      <c r="H818" s="16" t="n">
        <v>1</v>
      </c>
      <c r="I818" s="33" t="n">
        <v>43828.92</v>
      </c>
      <c r="J818" s="33" t="n">
        <v>43828.92</v>
      </c>
    </row>
    <row r="819" customFormat="false" ht="15" hidden="false" customHeight="false" outlineLevel="0" collapsed="false">
      <c r="A819" s="3" t="s">
        <v>1209</v>
      </c>
      <c r="B819" s="3" t="s">
        <v>283</v>
      </c>
      <c r="C819" s="3" t="s">
        <v>380</v>
      </c>
      <c r="D819" s="3" t="s">
        <v>418</v>
      </c>
      <c r="E819" s="3" t="s">
        <v>382</v>
      </c>
      <c r="F819" s="16" t="n">
        <v>1</v>
      </c>
      <c r="G819" s="15" t="n">
        <v>0.35</v>
      </c>
      <c r="H819" s="16" t="n">
        <v>1</v>
      </c>
      <c r="I819" s="33" t="n">
        <v>43803.24</v>
      </c>
      <c r="J819" s="33" t="n">
        <v>67389.6</v>
      </c>
    </row>
    <row r="820" customFormat="false" ht="15" hidden="false" customHeight="false" outlineLevel="0" collapsed="false">
      <c r="A820" s="3" t="s">
        <v>1210</v>
      </c>
      <c r="B820" s="3" t="s">
        <v>282</v>
      </c>
      <c r="C820" s="3" t="s">
        <v>405</v>
      </c>
      <c r="D820" s="3" t="s">
        <v>388</v>
      </c>
      <c r="E820" s="3" t="s">
        <v>398</v>
      </c>
      <c r="F820" s="16" t="n">
        <v>12</v>
      </c>
      <c r="G820" s="15" t="n">
        <v>0</v>
      </c>
      <c r="H820" s="16" t="n">
        <v>6</v>
      </c>
      <c r="I820" s="33" t="n">
        <v>43755.48</v>
      </c>
      <c r="J820" s="33" t="n">
        <v>43755.48</v>
      </c>
    </row>
    <row r="821" customFormat="false" ht="15" hidden="false" customHeight="false" outlineLevel="0" collapsed="false">
      <c r="A821" s="3" t="s">
        <v>1211</v>
      </c>
      <c r="B821" s="3" t="s">
        <v>282</v>
      </c>
      <c r="C821" s="3" t="s">
        <v>405</v>
      </c>
      <c r="D821" s="3" t="s">
        <v>392</v>
      </c>
      <c r="E821" s="3" t="s">
        <v>382</v>
      </c>
      <c r="F821" s="16" t="n">
        <v>12</v>
      </c>
      <c r="G821" s="15" t="n">
        <v>0</v>
      </c>
      <c r="H821" s="16" t="n">
        <v>8</v>
      </c>
      <c r="I821" s="33" t="n">
        <v>43743.84</v>
      </c>
      <c r="J821" s="33" t="n">
        <v>43743.84</v>
      </c>
    </row>
    <row r="822" customFormat="false" ht="15" hidden="false" customHeight="false" outlineLevel="0" collapsed="false">
      <c r="A822" s="3" t="s">
        <v>1212</v>
      </c>
      <c r="B822" s="3" t="s">
        <v>282</v>
      </c>
      <c r="C822" s="3" t="s">
        <v>387</v>
      </c>
      <c r="D822" s="3" t="s">
        <v>388</v>
      </c>
      <c r="E822" s="3" t="s">
        <v>398</v>
      </c>
      <c r="F822" s="16" t="n">
        <v>24</v>
      </c>
      <c r="G822" s="15" t="n">
        <v>0</v>
      </c>
      <c r="H822" s="16" t="n">
        <v>20</v>
      </c>
      <c r="I822" s="33" t="n">
        <v>43524.24</v>
      </c>
      <c r="J822" s="33" t="n">
        <v>43524.24</v>
      </c>
    </row>
    <row r="823" customFormat="false" ht="15" hidden="false" customHeight="false" outlineLevel="0" collapsed="false">
      <c r="A823" s="3" t="s">
        <v>1213</v>
      </c>
      <c r="B823" s="3" t="s">
        <v>282</v>
      </c>
      <c r="C823" s="3" t="s">
        <v>403</v>
      </c>
      <c r="D823" s="3" t="s">
        <v>392</v>
      </c>
      <c r="E823" s="3" t="s">
        <v>385</v>
      </c>
      <c r="F823" s="16" t="n">
        <v>24</v>
      </c>
      <c r="G823" s="15" t="n">
        <v>0.2</v>
      </c>
      <c r="H823" s="16" t="n">
        <v>4</v>
      </c>
      <c r="I823" s="33" t="n">
        <v>43506.12</v>
      </c>
      <c r="J823" s="33" t="n">
        <v>54382.68</v>
      </c>
    </row>
    <row r="824" customFormat="false" ht="15" hidden="false" customHeight="false" outlineLevel="0" collapsed="false">
      <c r="A824" s="3" t="s">
        <v>1214</v>
      </c>
      <c r="B824" s="3" t="s">
        <v>282</v>
      </c>
      <c r="C824" s="3" t="s">
        <v>396</v>
      </c>
      <c r="D824" s="3" t="s">
        <v>418</v>
      </c>
      <c r="E824" s="3" t="s">
        <v>398</v>
      </c>
      <c r="F824" s="16" t="n">
        <v>12</v>
      </c>
      <c r="G824" s="15" t="n">
        <v>0</v>
      </c>
      <c r="H824" s="16" t="n">
        <v>4</v>
      </c>
      <c r="I824" s="33" t="n">
        <v>43430.88</v>
      </c>
      <c r="J824" s="33" t="n">
        <v>43430.88</v>
      </c>
    </row>
    <row r="825" customFormat="false" ht="15" hidden="false" customHeight="false" outlineLevel="0" collapsed="false">
      <c r="A825" s="3" t="s">
        <v>1215</v>
      </c>
      <c r="B825" s="3" t="s">
        <v>282</v>
      </c>
      <c r="C825" s="3" t="s">
        <v>401</v>
      </c>
      <c r="D825" s="3" t="s">
        <v>381</v>
      </c>
      <c r="E825" s="3" t="s">
        <v>382</v>
      </c>
      <c r="F825" s="16" t="n">
        <v>12</v>
      </c>
      <c r="G825" s="15" t="n">
        <v>0.15</v>
      </c>
      <c r="H825" s="16" t="n">
        <v>5</v>
      </c>
      <c r="I825" s="33" t="n">
        <v>43395.12</v>
      </c>
      <c r="J825" s="33" t="n">
        <v>51053.04</v>
      </c>
    </row>
    <row r="826" customFormat="false" ht="15" hidden="false" customHeight="false" outlineLevel="0" collapsed="false">
      <c r="A826" s="3" t="s">
        <v>1216</v>
      </c>
      <c r="B826" s="3" t="s">
        <v>282</v>
      </c>
      <c r="C826" s="3" t="s">
        <v>405</v>
      </c>
      <c r="D826" s="3" t="s">
        <v>381</v>
      </c>
      <c r="E826" s="3" t="s">
        <v>385</v>
      </c>
      <c r="F826" s="16" t="n">
        <v>24</v>
      </c>
      <c r="G826" s="15" t="n">
        <v>0.05</v>
      </c>
      <c r="H826" s="16" t="n">
        <v>11</v>
      </c>
      <c r="I826" s="33" t="n">
        <v>43315.56</v>
      </c>
      <c r="J826" s="33" t="n">
        <v>45595.32</v>
      </c>
    </row>
    <row r="827" customFormat="false" ht="15" hidden="false" customHeight="false" outlineLevel="0" collapsed="false">
      <c r="A827" s="3" t="s">
        <v>1217</v>
      </c>
      <c r="B827" s="3" t="s">
        <v>282</v>
      </c>
      <c r="C827" s="3" t="s">
        <v>401</v>
      </c>
      <c r="D827" s="3" t="s">
        <v>692</v>
      </c>
      <c r="E827" s="3" t="s">
        <v>398</v>
      </c>
      <c r="F827" s="16" t="n">
        <v>12</v>
      </c>
      <c r="G827" s="15" t="n">
        <v>0</v>
      </c>
      <c r="H827" s="16" t="n">
        <v>7</v>
      </c>
      <c r="I827" s="33" t="n">
        <v>43255.8</v>
      </c>
      <c r="J827" s="33" t="n">
        <v>43255.8</v>
      </c>
    </row>
    <row r="828" customFormat="false" ht="15" hidden="false" customHeight="false" outlineLevel="0" collapsed="false">
      <c r="A828" s="3" t="s">
        <v>1218</v>
      </c>
      <c r="B828" s="3" t="s">
        <v>282</v>
      </c>
      <c r="C828" s="3" t="s">
        <v>403</v>
      </c>
      <c r="D828" s="3" t="s">
        <v>381</v>
      </c>
      <c r="E828" s="3" t="s">
        <v>398</v>
      </c>
      <c r="F828" s="16" t="n">
        <v>12</v>
      </c>
      <c r="G828" s="15" t="n">
        <v>0.05</v>
      </c>
      <c r="H828" s="16" t="n">
        <v>10</v>
      </c>
      <c r="I828" s="33" t="n">
        <v>43189.56</v>
      </c>
      <c r="J828" s="33" t="n">
        <v>45462.72</v>
      </c>
    </row>
    <row r="829" customFormat="false" ht="15" hidden="false" customHeight="false" outlineLevel="0" collapsed="false">
      <c r="A829" s="3" t="s">
        <v>1219</v>
      </c>
      <c r="B829" s="3" t="s">
        <v>282</v>
      </c>
      <c r="C829" s="3" t="s">
        <v>403</v>
      </c>
      <c r="D829" s="3" t="s">
        <v>692</v>
      </c>
      <c r="E829" s="3" t="s">
        <v>385</v>
      </c>
      <c r="F829" s="16" t="n">
        <v>12</v>
      </c>
      <c r="G829" s="15" t="n">
        <v>0</v>
      </c>
      <c r="H829" s="16" t="n">
        <v>4</v>
      </c>
      <c r="I829" s="33" t="n">
        <v>43091.52</v>
      </c>
      <c r="J829" s="33" t="n">
        <v>43091.52</v>
      </c>
    </row>
    <row r="830" customFormat="false" ht="15" hidden="false" customHeight="false" outlineLevel="0" collapsed="false">
      <c r="A830" s="3" t="s">
        <v>1220</v>
      </c>
      <c r="B830" s="3" t="s">
        <v>282</v>
      </c>
      <c r="C830" s="3" t="s">
        <v>401</v>
      </c>
      <c r="D830" s="3" t="s">
        <v>381</v>
      </c>
      <c r="E830" s="3" t="s">
        <v>398</v>
      </c>
      <c r="F830" s="16" t="n">
        <v>12</v>
      </c>
      <c r="G830" s="15" t="n">
        <v>0.1</v>
      </c>
      <c r="H830" s="16" t="n">
        <v>3</v>
      </c>
      <c r="I830" s="33" t="n">
        <v>43091.16</v>
      </c>
      <c r="J830" s="33" t="n">
        <v>47879.16</v>
      </c>
    </row>
    <row r="831" customFormat="false" ht="15" hidden="false" customHeight="false" outlineLevel="0" collapsed="false">
      <c r="A831" s="3" t="s">
        <v>1221</v>
      </c>
      <c r="B831" s="3" t="s">
        <v>282</v>
      </c>
      <c r="C831" s="3" t="s">
        <v>405</v>
      </c>
      <c r="D831" s="3" t="s">
        <v>392</v>
      </c>
      <c r="E831" s="3" t="s">
        <v>398</v>
      </c>
      <c r="F831" s="16" t="n">
        <v>12</v>
      </c>
      <c r="G831" s="15" t="n">
        <v>0</v>
      </c>
      <c r="H831" s="16" t="n">
        <v>6</v>
      </c>
      <c r="I831" s="33" t="n">
        <v>43053</v>
      </c>
      <c r="J831" s="33" t="n">
        <v>43053</v>
      </c>
    </row>
    <row r="832" customFormat="false" ht="15" hidden="false" customHeight="false" outlineLevel="0" collapsed="false">
      <c r="A832" s="3" t="s">
        <v>1222</v>
      </c>
      <c r="B832" s="3" t="s">
        <v>282</v>
      </c>
      <c r="C832" s="3" t="s">
        <v>401</v>
      </c>
      <c r="D832" s="3" t="s">
        <v>418</v>
      </c>
      <c r="E832" s="3" t="s">
        <v>385</v>
      </c>
      <c r="F832" s="16" t="n">
        <v>12</v>
      </c>
      <c r="G832" s="15" t="n">
        <v>0.25</v>
      </c>
      <c r="H832" s="16" t="n">
        <v>4</v>
      </c>
      <c r="I832" s="33" t="n">
        <v>43037.4</v>
      </c>
      <c r="J832" s="33" t="n">
        <v>57383.16</v>
      </c>
    </row>
    <row r="833" customFormat="false" ht="15" hidden="false" customHeight="false" outlineLevel="0" collapsed="false">
      <c r="A833" s="3" t="s">
        <v>1223</v>
      </c>
      <c r="B833" s="3" t="s">
        <v>282</v>
      </c>
      <c r="C833" s="3" t="s">
        <v>403</v>
      </c>
      <c r="D833" s="3" t="s">
        <v>381</v>
      </c>
      <c r="E833" s="3" t="s">
        <v>385</v>
      </c>
      <c r="F833" s="16" t="n">
        <v>12</v>
      </c>
      <c r="G833" s="15" t="n">
        <v>0</v>
      </c>
      <c r="H833" s="16" t="n">
        <v>1</v>
      </c>
      <c r="I833" s="33" t="n">
        <v>42911.04</v>
      </c>
      <c r="J833" s="33" t="n">
        <v>42911.04</v>
      </c>
    </row>
    <row r="834" customFormat="false" ht="15" hidden="false" customHeight="false" outlineLevel="0" collapsed="false">
      <c r="A834" s="3" t="s">
        <v>1224</v>
      </c>
      <c r="B834" s="3" t="s">
        <v>282</v>
      </c>
      <c r="C834" s="3" t="s">
        <v>384</v>
      </c>
      <c r="D834" s="3" t="s">
        <v>381</v>
      </c>
      <c r="E834" s="3" t="s">
        <v>385</v>
      </c>
      <c r="F834" s="16" t="n">
        <v>24</v>
      </c>
      <c r="G834" s="15" t="n">
        <v>0.05</v>
      </c>
      <c r="H834" s="16" t="n">
        <v>17</v>
      </c>
      <c r="I834" s="33" t="n">
        <v>42896.28</v>
      </c>
      <c r="J834" s="33" t="n">
        <v>45153.96</v>
      </c>
    </row>
    <row r="835" customFormat="false" ht="15" hidden="false" customHeight="false" outlineLevel="0" collapsed="false">
      <c r="A835" s="3" t="s">
        <v>1225</v>
      </c>
      <c r="B835" s="3" t="s">
        <v>282</v>
      </c>
      <c r="C835" s="3" t="s">
        <v>396</v>
      </c>
      <c r="D835" s="3" t="s">
        <v>392</v>
      </c>
      <c r="E835" s="3" t="s">
        <v>398</v>
      </c>
      <c r="F835" s="16" t="n">
        <v>12</v>
      </c>
      <c r="G835" s="15" t="n">
        <v>0</v>
      </c>
      <c r="H835" s="16" t="n">
        <v>1</v>
      </c>
      <c r="I835" s="33" t="n">
        <v>42870.48</v>
      </c>
      <c r="J835" s="33" t="n">
        <v>42870.48</v>
      </c>
    </row>
    <row r="836" customFormat="false" ht="15" hidden="false" customHeight="false" outlineLevel="0" collapsed="false">
      <c r="A836" s="3" t="s">
        <v>1226</v>
      </c>
      <c r="B836" s="3" t="s">
        <v>282</v>
      </c>
      <c r="C836" s="3" t="s">
        <v>387</v>
      </c>
      <c r="D836" s="3" t="s">
        <v>381</v>
      </c>
      <c r="E836" s="3" t="s">
        <v>398</v>
      </c>
      <c r="F836" s="16" t="n">
        <v>24</v>
      </c>
      <c r="G836" s="15" t="n">
        <v>0</v>
      </c>
      <c r="H836" s="16" t="n">
        <v>14</v>
      </c>
      <c r="I836" s="33" t="n">
        <v>42798.96</v>
      </c>
      <c r="J836" s="33" t="n">
        <v>42798.96</v>
      </c>
    </row>
    <row r="837" customFormat="false" ht="15" hidden="false" customHeight="false" outlineLevel="0" collapsed="false">
      <c r="A837" s="3" t="s">
        <v>1227</v>
      </c>
      <c r="B837" s="3" t="s">
        <v>282</v>
      </c>
      <c r="C837" s="3" t="s">
        <v>403</v>
      </c>
      <c r="D837" s="3" t="s">
        <v>388</v>
      </c>
      <c r="E837" s="3" t="s">
        <v>398</v>
      </c>
      <c r="F837" s="16" t="n">
        <v>24</v>
      </c>
      <c r="G837" s="15" t="n">
        <v>0</v>
      </c>
      <c r="H837" s="16" t="n">
        <v>3</v>
      </c>
      <c r="I837" s="33" t="n">
        <v>42764.4</v>
      </c>
      <c r="J837" s="33" t="n">
        <v>42764.4</v>
      </c>
    </row>
    <row r="838" customFormat="false" ht="15" hidden="false" customHeight="false" outlineLevel="0" collapsed="false">
      <c r="A838" s="3" t="s">
        <v>1228</v>
      </c>
      <c r="B838" s="3" t="s">
        <v>282</v>
      </c>
      <c r="C838" s="3" t="s">
        <v>401</v>
      </c>
      <c r="D838" s="3" t="s">
        <v>388</v>
      </c>
      <c r="E838" s="3" t="s">
        <v>398</v>
      </c>
      <c r="F838" s="16" t="n">
        <v>24</v>
      </c>
      <c r="G838" s="15" t="n">
        <v>0</v>
      </c>
      <c r="H838" s="16" t="n">
        <v>6</v>
      </c>
      <c r="I838" s="33" t="n">
        <v>42753.24</v>
      </c>
      <c r="J838" s="33" t="n">
        <v>42753.24</v>
      </c>
    </row>
    <row r="839" customFormat="false" ht="15" hidden="false" customHeight="false" outlineLevel="0" collapsed="false">
      <c r="A839" s="3" t="s">
        <v>1229</v>
      </c>
      <c r="B839" s="3" t="s">
        <v>282</v>
      </c>
      <c r="C839" s="3" t="s">
        <v>384</v>
      </c>
      <c r="D839" s="3" t="s">
        <v>381</v>
      </c>
      <c r="E839" s="3" t="s">
        <v>398</v>
      </c>
      <c r="F839" s="16" t="n">
        <v>12</v>
      </c>
      <c r="G839" s="15" t="n">
        <v>0</v>
      </c>
      <c r="H839" s="16" t="n">
        <v>3</v>
      </c>
      <c r="I839" s="33" t="n">
        <v>42743.04</v>
      </c>
      <c r="J839" s="33" t="n">
        <v>42743.04</v>
      </c>
    </row>
    <row r="840" customFormat="false" ht="15" hidden="false" customHeight="false" outlineLevel="0" collapsed="false">
      <c r="A840" s="3" t="s">
        <v>1230</v>
      </c>
      <c r="B840" s="3" t="s">
        <v>282</v>
      </c>
      <c r="C840" s="3" t="s">
        <v>380</v>
      </c>
      <c r="D840" s="3" t="s">
        <v>418</v>
      </c>
      <c r="E840" s="3" t="s">
        <v>382</v>
      </c>
      <c r="F840" s="16" t="n">
        <v>12</v>
      </c>
      <c r="G840" s="15" t="n">
        <v>0</v>
      </c>
      <c r="H840" s="16" t="n">
        <v>12</v>
      </c>
      <c r="I840" s="33" t="n">
        <v>42705.84</v>
      </c>
      <c r="J840" s="33" t="n">
        <v>42705.84</v>
      </c>
    </row>
    <row r="841" customFormat="false" ht="15" hidden="false" customHeight="false" outlineLevel="0" collapsed="false">
      <c r="A841" s="3" t="s">
        <v>1231</v>
      </c>
      <c r="B841" s="3" t="s">
        <v>282</v>
      </c>
      <c r="C841" s="3" t="s">
        <v>384</v>
      </c>
      <c r="D841" s="3" t="s">
        <v>392</v>
      </c>
      <c r="E841" s="3" t="s">
        <v>385</v>
      </c>
      <c r="F841" s="16" t="n">
        <v>12</v>
      </c>
      <c r="G841" s="15" t="n">
        <v>0</v>
      </c>
      <c r="H841" s="16" t="n">
        <v>3</v>
      </c>
      <c r="I841" s="33" t="n">
        <v>42685.44</v>
      </c>
      <c r="J841" s="33" t="n">
        <v>42685.44</v>
      </c>
    </row>
    <row r="842" customFormat="false" ht="15" hidden="false" customHeight="false" outlineLevel="0" collapsed="false">
      <c r="A842" s="3" t="s">
        <v>1232</v>
      </c>
      <c r="B842" s="3" t="s">
        <v>282</v>
      </c>
      <c r="C842" s="3" t="s">
        <v>403</v>
      </c>
      <c r="D842" s="3" t="s">
        <v>381</v>
      </c>
      <c r="E842" s="3" t="s">
        <v>398</v>
      </c>
      <c r="F842" s="16" t="n">
        <v>12</v>
      </c>
      <c r="G842" s="15" t="n">
        <v>0</v>
      </c>
      <c r="H842" s="16" t="n">
        <v>2</v>
      </c>
      <c r="I842" s="33" t="n">
        <v>42676.08</v>
      </c>
      <c r="J842" s="33" t="n">
        <v>42676.08</v>
      </c>
    </row>
    <row r="843" customFormat="false" ht="15" hidden="false" customHeight="false" outlineLevel="0" collapsed="false">
      <c r="A843" s="3" t="s">
        <v>1233</v>
      </c>
      <c r="B843" s="3" t="s">
        <v>282</v>
      </c>
      <c r="C843" s="3" t="s">
        <v>405</v>
      </c>
      <c r="D843" s="3" t="s">
        <v>418</v>
      </c>
      <c r="E843" s="3" t="s">
        <v>382</v>
      </c>
      <c r="F843" s="16" t="n">
        <v>24</v>
      </c>
      <c r="G843" s="15" t="n">
        <v>0.05</v>
      </c>
      <c r="H843" s="16" t="n">
        <v>22</v>
      </c>
      <c r="I843" s="33" t="n">
        <v>42611.16</v>
      </c>
      <c r="J843" s="33" t="n">
        <v>44853.84</v>
      </c>
    </row>
    <row r="844" customFormat="false" ht="15" hidden="false" customHeight="false" outlineLevel="0" collapsed="false">
      <c r="A844" s="3" t="s">
        <v>1234</v>
      </c>
      <c r="B844" s="3" t="s">
        <v>282</v>
      </c>
      <c r="C844" s="3" t="s">
        <v>384</v>
      </c>
      <c r="D844" s="3" t="s">
        <v>418</v>
      </c>
      <c r="E844" s="3" t="s">
        <v>382</v>
      </c>
      <c r="F844" s="16" t="n">
        <v>12</v>
      </c>
      <c r="G844" s="15" t="n">
        <v>0</v>
      </c>
      <c r="H844" s="16" t="n">
        <v>8</v>
      </c>
      <c r="I844" s="33" t="n">
        <v>42544.44</v>
      </c>
      <c r="J844" s="33" t="n">
        <v>42544.44</v>
      </c>
    </row>
    <row r="845" customFormat="false" ht="15" hidden="false" customHeight="false" outlineLevel="0" collapsed="false">
      <c r="A845" s="3" t="s">
        <v>1235</v>
      </c>
      <c r="B845" s="3" t="s">
        <v>282</v>
      </c>
      <c r="C845" s="3" t="s">
        <v>403</v>
      </c>
      <c r="D845" s="3" t="s">
        <v>381</v>
      </c>
      <c r="E845" s="3" t="s">
        <v>385</v>
      </c>
      <c r="F845" s="16" t="n">
        <v>12</v>
      </c>
      <c r="G845" s="15" t="n">
        <v>0</v>
      </c>
      <c r="H845" s="16" t="n">
        <v>3</v>
      </c>
      <c r="I845" s="33" t="n">
        <v>42542.4</v>
      </c>
      <c r="J845" s="33" t="n">
        <v>42542.4</v>
      </c>
    </row>
    <row r="846" customFormat="false" ht="15" hidden="false" customHeight="false" outlineLevel="0" collapsed="false">
      <c r="A846" s="3" t="s">
        <v>1236</v>
      </c>
      <c r="B846" s="3" t="s">
        <v>282</v>
      </c>
      <c r="C846" s="3" t="s">
        <v>384</v>
      </c>
      <c r="D846" s="3" t="s">
        <v>418</v>
      </c>
      <c r="E846" s="3" t="s">
        <v>385</v>
      </c>
      <c r="F846" s="16" t="n">
        <v>12</v>
      </c>
      <c r="G846" s="15" t="n">
        <v>0</v>
      </c>
      <c r="H846" s="16" t="n">
        <v>7</v>
      </c>
      <c r="I846" s="33" t="n">
        <v>42452.04</v>
      </c>
      <c r="J846" s="33" t="n">
        <v>42452.04</v>
      </c>
    </row>
    <row r="847" customFormat="false" ht="15" hidden="false" customHeight="false" outlineLevel="0" collapsed="false">
      <c r="A847" s="3" t="s">
        <v>1237</v>
      </c>
      <c r="B847" s="3" t="s">
        <v>282</v>
      </c>
      <c r="C847" s="3" t="s">
        <v>403</v>
      </c>
      <c r="D847" s="3" t="s">
        <v>418</v>
      </c>
      <c r="E847" s="3" t="s">
        <v>398</v>
      </c>
      <c r="F847" s="16" t="n">
        <v>24</v>
      </c>
      <c r="G847" s="15" t="n">
        <v>0.15</v>
      </c>
      <c r="H847" s="16" t="n">
        <v>12</v>
      </c>
      <c r="I847" s="33" t="n">
        <v>42450.84</v>
      </c>
      <c r="J847" s="33" t="n">
        <v>49942.08</v>
      </c>
    </row>
    <row r="848" customFormat="false" ht="15" hidden="false" customHeight="false" outlineLevel="0" collapsed="false">
      <c r="A848" s="3" t="s">
        <v>1238</v>
      </c>
      <c r="B848" s="3" t="s">
        <v>282</v>
      </c>
      <c r="C848" s="3" t="s">
        <v>384</v>
      </c>
      <c r="D848" s="3" t="s">
        <v>392</v>
      </c>
      <c r="E848" s="3" t="s">
        <v>398</v>
      </c>
      <c r="F848" s="16" t="n">
        <v>12</v>
      </c>
      <c r="G848" s="15" t="n">
        <v>0.1</v>
      </c>
      <c r="H848" s="16" t="n">
        <v>9</v>
      </c>
      <c r="I848" s="33" t="n">
        <v>42446.64</v>
      </c>
      <c r="J848" s="33" t="n">
        <v>47162.88</v>
      </c>
    </row>
    <row r="849" customFormat="false" ht="15" hidden="false" customHeight="false" outlineLevel="0" collapsed="false">
      <c r="A849" s="3" t="s">
        <v>1239</v>
      </c>
      <c r="B849" s="3" t="s">
        <v>282</v>
      </c>
      <c r="C849" s="3" t="s">
        <v>403</v>
      </c>
      <c r="D849" s="3" t="s">
        <v>381</v>
      </c>
      <c r="E849" s="3" t="s">
        <v>385</v>
      </c>
      <c r="F849" s="16" t="n">
        <v>12</v>
      </c>
      <c r="G849" s="15" t="n">
        <v>0</v>
      </c>
      <c r="H849" s="16" t="n">
        <v>6</v>
      </c>
      <c r="I849" s="33" t="n">
        <v>42436.8</v>
      </c>
      <c r="J849" s="33" t="n">
        <v>42436.8</v>
      </c>
    </row>
    <row r="850" customFormat="false" ht="15" hidden="false" customHeight="false" outlineLevel="0" collapsed="false">
      <c r="A850" s="3" t="s">
        <v>1240</v>
      </c>
      <c r="B850" s="3" t="s">
        <v>282</v>
      </c>
      <c r="C850" s="3" t="s">
        <v>380</v>
      </c>
      <c r="D850" s="3" t="s">
        <v>392</v>
      </c>
      <c r="E850" s="3" t="s">
        <v>398</v>
      </c>
      <c r="F850" s="16" t="n">
        <v>12</v>
      </c>
      <c r="G850" s="15" t="n">
        <v>0</v>
      </c>
      <c r="H850" s="16" t="n">
        <v>8</v>
      </c>
      <c r="I850" s="33" t="n">
        <v>42359.52</v>
      </c>
      <c r="J850" s="33" t="n">
        <v>42359.52</v>
      </c>
    </row>
    <row r="851" customFormat="false" ht="15" hidden="false" customHeight="false" outlineLevel="0" collapsed="false">
      <c r="A851" s="3" t="s">
        <v>1241</v>
      </c>
      <c r="B851" s="3" t="s">
        <v>282</v>
      </c>
      <c r="C851" s="3" t="s">
        <v>384</v>
      </c>
      <c r="D851" s="3" t="s">
        <v>388</v>
      </c>
      <c r="E851" s="3" t="s">
        <v>398</v>
      </c>
      <c r="F851" s="16" t="n">
        <v>12</v>
      </c>
      <c r="G851" s="15" t="n">
        <v>0</v>
      </c>
      <c r="H851" s="16" t="n">
        <v>5</v>
      </c>
      <c r="I851" s="33" t="n">
        <v>42344.88</v>
      </c>
      <c r="J851" s="33" t="n">
        <v>42344.88</v>
      </c>
    </row>
    <row r="852" customFormat="false" ht="15" hidden="false" customHeight="false" outlineLevel="0" collapsed="false">
      <c r="A852" s="3" t="s">
        <v>1242</v>
      </c>
      <c r="B852" s="3" t="s">
        <v>282</v>
      </c>
      <c r="C852" s="3" t="s">
        <v>396</v>
      </c>
      <c r="D852" s="3" t="s">
        <v>392</v>
      </c>
      <c r="E852" s="3" t="s">
        <v>385</v>
      </c>
      <c r="F852" s="16" t="n">
        <v>24</v>
      </c>
      <c r="G852" s="15" t="n">
        <v>0.1</v>
      </c>
      <c r="H852" s="16" t="n">
        <v>6</v>
      </c>
      <c r="I852" s="33" t="n">
        <v>42319.2</v>
      </c>
      <c r="J852" s="33" t="n">
        <v>47021.28</v>
      </c>
    </row>
    <row r="853" customFormat="false" ht="15" hidden="false" customHeight="false" outlineLevel="0" collapsed="false">
      <c r="A853" s="3" t="s">
        <v>1243</v>
      </c>
      <c r="B853" s="3" t="s">
        <v>282</v>
      </c>
      <c r="C853" s="3" t="s">
        <v>405</v>
      </c>
      <c r="D853" s="3" t="s">
        <v>381</v>
      </c>
      <c r="E853" s="3" t="s">
        <v>398</v>
      </c>
      <c r="F853" s="16" t="n">
        <v>12</v>
      </c>
      <c r="G853" s="15" t="n">
        <v>0</v>
      </c>
      <c r="H853" s="16" t="n">
        <v>7</v>
      </c>
      <c r="I853" s="33" t="n">
        <v>42299.4</v>
      </c>
      <c r="J853" s="33" t="n">
        <v>42299.4</v>
      </c>
    </row>
    <row r="854" customFormat="false" ht="15" hidden="false" customHeight="false" outlineLevel="0" collapsed="false">
      <c r="A854" s="3" t="s">
        <v>1244</v>
      </c>
      <c r="B854" s="3" t="s">
        <v>282</v>
      </c>
      <c r="C854" s="3" t="s">
        <v>401</v>
      </c>
      <c r="D854" s="3" t="s">
        <v>418</v>
      </c>
      <c r="E854" s="3" t="s">
        <v>398</v>
      </c>
      <c r="F854" s="16" t="n">
        <v>24</v>
      </c>
      <c r="G854" s="15" t="n">
        <v>0</v>
      </c>
      <c r="H854" s="16" t="n">
        <v>6</v>
      </c>
      <c r="I854" s="33" t="n">
        <v>42272.52</v>
      </c>
      <c r="J854" s="33" t="n">
        <v>42272.52</v>
      </c>
    </row>
    <row r="855" customFormat="false" ht="15" hidden="false" customHeight="false" outlineLevel="0" collapsed="false">
      <c r="A855" s="3" t="s">
        <v>1245</v>
      </c>
      <c r="B855" s="3" t="s">
        <v>282</v>
      </c>
      <c r="C855" s="3" t="s">
        <v>384</v>
      </c>
      <c r="D855" s="3" t="s">
        <v>392</v>
      </c>
      <c r="E855" s="3" t="s">
        <v>398</v>
      </c>
      <c r="F855" s="16" t="n">
        <v>12</v>
      </c>
      <c r="G855" s="15" t="n">
        <v>0</v>
      </c>
      <c r="H855" s="16" t="n">
        <v>12</v>
      </c>
      <c r="I855" s="33" t="n">
        <v>42222.48</v>
      </c>
      <c r="J855" s="33" t="n">
        <v>42222.48</v>
      </c>
    </row>
    <row r="856" customFormat="false" ht="15" hidden="false" customHeight="false" outlineLevel="0" collapsed="false">
      <c r="A856" s="3" t="s">
        <v>1246</v>
      </c>
      <c r="B856" s="3" t="s">
        <v>282</v>
      </c>
      <c r="C856" s="3" t="s">
        <v>396</v>
      </c>
      <c r="D856" s="3" t="s">
        <v>692</v>
      </c>
      <c r="E856" s="3" t="s">
        <v>398</v>
      </c>
      <c r="F856" s="16" t="n">
        <v>24</v>
      </c>
      <c r="G856" s="15" t="n">
        <v>0.25</v>
      </c>
      <c r="H856" s="16" t="n">
        <v>18</v>
      </c>
      <c r="I856" s="33" t="n">
        <v>42211.92</v>
      </c>
      <c r="J856" s="33" t="n">
        <v>56282.52</v>
      </c>
    </row>
    <row r="857" customFormat="false" ht="15" hidden="false" customHeight="false" outlineLevel="0" collapsed="false">
      <c r="A857" s="3" t="s">
        <v>1247</v>
      </c>
      <c r="B857" s="3" t="s">
        <v>282</v>
      </c>
      <c r="C857" s="3" t="s">
        <v>405</v>
      </c>
      <c r="D857" s="3" t="s">
        <v>392</v>
      </c>
      <c r="E857" s="3" t="s">
        <v>398</v>
      </c>
      <c r="F857" s="16" t="n">
        <v>12</v>
      </c>
      <c r="G857" s="15" t="n">
        <v>0.1</v>
      </c>
      <c r="H857" s="16" t="n">
        <v>1</v>
      </c>
      <c r="I857" s="33" t="n">
        <v>42211.56</v>
      </c>
      <c r="J857" s="33" t="n">
        <v>46901.76</v>
      </c>
    </row>
    <row r="858" customFormat="false" ht="15" hidden="false" customHeight="false" outlineLevel="0" collapsed="false">
      <c r="A858" s="3" t="s">
        <v>1248</v>
      </c>
      <c r="B858" s="3" t="s">
        <v>282</v>
      </c>
      <c r="C858" s="3" t="s">
        <v>384</v>
      </c>
      <c r="D858" s="3" t="s">
        <v>418</v>
      </c>
      <c r="E858" s="3" t="s">
        <v>385</v>
      </c>
      <c r="F858" s="16" t="n">
        <v>12</v>
      </c>
      <c r="G858" s="15" t="n">
        <v>0.1</v>
      </c>
      <c r="H858" s="16" t="n">
        <v>11</v>
      </c>
      <c r="I858" s="33" t="n">
        <v>42189.24</v>
      </c>
      <c r="J858" s="33" t="n">
        <v>46876.92</v>
      </c>
    </row>
    <row r="859" customFormat="false" ht="15" hidden="false" customHeight="false" outlineLevel="0" collapsed="false">
      <c r="A859" s="3" t="s">
        <v>1249</v>
      </c>
      <c r="B859" s="3" t="s">
        <v>282</v>
      </c>
      <c r="C859" s="3" t="s">
        <v>380</v>
      </c>
      <c r="D859" s="3" t="s">
        <v>418</v>
      </c>
      <c r="E859" s="3" t="s">
        <v>385</v>
      </c>
      <c r="F859" s="16" t="n">
        <v>24</v>
      </c>
      <c r="G859" s="15" t="n">
        <v>0.2</v>
      </c>
      <c r="H859" s="16" t="n">
        <v>16</v>
      </c>
      <c r="I859" s="33" t="n">
        <v>42184.44</v>
      </c>
      <c r="J859" s="33" t="n">
        <v>52730.52</v>
      </c>
    </row>
    <row r="860" customFormat="false" ht="15" hidden="false" customHeight="false" outlineLevel="0" collapsed="false">
      <c r="A860" s="3" t="s">
        <v>1250</v>
      </c>
      <c r="B860" s="3" t="s">
        <v>282</v>
      </c>
      <c r="C860" s="3" t="s">
        <v>387</v>
      </c>
      <c r="D860" s="3" t="s">
        <v>392</v>
      </c>
      <c r="E860" s="3" t="s">
        <v>398</v>
      </c>
      <c r="F860" s="16" t="n">
        <v>24</v>
      </c>
      <c r="G860" s="15" t="n">
        <v>0</v>
      </c>
      <c r="H860" s="16" t="n">
        <v>15</v>
      </c>
      <c r="I860" s="33" t="n">
        <v>42062.88</v>
      </c>
      <c r="J860" s="33" t="n">
        <v>42062.88</v>
      </c>
    </row>
    <row r="861" customFormat="false" ht="15" hidden="false" customHeight="false" outlineLevel="0" collapsed="false">
      <c r="A861" s="3" t="s">
        <v>1251</v>
      </c>
      <c r="B861" s="3" t="s">
        <v>282</v>
      </c>
      <c r="C861" s="3" t="s">
        <v>403</v>
      </c>
      <c r="D861" s="3" t="s">
        <v>392</v>
      </c>
      <c r="E861" s="3" t="s">
        <v>398</v>
      </c>
      <c r="F861" s="16" t="n">
        <v>12</v>
      </c>
      <c r="G861" s="15" t="n">
        <v>0.1</v>
      </c>
      <c r="H861" s="16" t="n">
        <v>8</v>
      </c>
      <c r="I861" s="33" t="n">
        <v>42038.64</v>
      </c>
      <c r="J861" s="33" t="n">
        <v>46709.52</v>
      </c>
    </row>
    <row r="862" customFormat="false" ht="15" hidden="false" customHeight="false" outlineLevel="0" collapsed="false">
      <c r="A862" s="3" t="s">
        <v>1252</v>
      </c>
      <c r="B862" s="3" t="s">
        <v>282</v>
      </c>
      <c r="C862" s="3" t="s">
        <v>401</v>
      </c>
      <c r="D862" s="3" t="s">
        <v>381</v>
      </c>
      <c r="E862" s="3" t="s">
        <v>385</v>
      </c>
      <c r="F862" s="16" t="n">
        <v>12</v>
      </c>
      <c r="G862" s="15" t="n">
        <v>0</v>
      </c>
      <c r="H862" s="16" t="n">
        <v>3</v>
      </c>
      <c r="I862" s="33" t="n">
        <v>42008.16</v>
      </c>
      <c r="J862" s="33" t="n">
        <v>42008.16</v>
      </c>
    </row>
    <row r="863" customFormat="false" ht="15" hidden="false" customHeight="false" outlineLevel="0" collapsed="false">
      <c r="A863" s="3" t="s">
        <v>1253</v>
      </c>
      <c r="B863" s="3" t="s">
        <v>282</v>
      </c>
      <c r="C863" s="3" t="s">
        <v>401</v>
      </c>
      <c r="D863" s="3" t="s">
        <v>381</v>
      </c>
      <c r="E863" s="3" t="s">
        <v>385</v>
      </c>
      <c r="F863" s="16" t="n">
        <v>24</v>
      </c>
      <c r="G863" s="15" t="n">
        <v>0</v>
      </c>
      <c r="H863" s="16" t="n">
        <v>15</v>
      </c>
      <c r="I863" s="33" t="n">
        <v>41952.36</v>
      </c>
      <c r="J863" s="33" t="n">
        <v>41952.36</v>
      </c>
    </row>
    <row r="864" customFormat="false" ht="15" hidden="false" customHeight="false" outlineLevel="0" collapsed="false">
      <c r="A864" s="3" t="s">
        <v>1254</v>
      </c>
      <c r="B864" s="3" t="s">
        <v>282</v>
      </c>
      <c r="C864" s="3" t="s">
        <v>403</v>
      </c>
      <c r="D864" s="3" t="s">
        <v>392</v>
      </c>
      <c r="E864" s="3" t="s">
        <v>385</v>
      </c>
      <c r="F864" s="16" t="n">
        <v>12</v>
      </c>
      <c r="G864" s="15" t="n">
        <v>0</v>
      </c>
      <c r="H864" s="16" t="n">
        <v>10</v>
      </c>
      <c r="I864" s="33" t="n">
        <v>41880</v>
      </c>
      <c r="J864" s="33" t="n">
        <v>41880</v>
      </c>
    </row>
    <row r="865" customFormat="false" ht="15" hidden="false" customHeight="false" outlineLevel="0" collapsed="false">
      <c r="A865" s="3" t="s">
        <v>1255</v>
      </c>
      <c r="B865" s="3" t="s">
        <v>282</v>
      </c>
      <c r="C865" s="3" t="s">
        <v>405</v>
      </c>
      <c r="D865" s="3" t="s">
        <v>381</v>
      </c>
      <c r="E865" s="3" t="s">
        <v>382</v>
      </c>
      <c r="F865" s="16" t="n">
        <v>24</v>
      </c>
      <c r="G865" s="15" t="n">
        <v>0.15</v>
      </c>
      <c r="H865" s="16" t="n">
        <v>23</v>
      </c>
      <c r="I865" s="33" t="n">
        <v>41835.36</v>
      </c>
      <c r="J865" s="33" t="n">
        <v>49218.12</v>
      </c>
    </row>
    <row r="866" customFormat="false" ht="15" hidden="false" customHeight="false" outlineLevel="0" collapsed="false">
      <c r="A866" s="3" t="s">
        <v>1256</v>
      </c>
      <c r="B866" s="3" t="s">
        <v>282</v>
      </c>
      <c r="C866" s="3" t="s">
        <v>403</v>
      </c>
      <c r="D866" s="3" t="s">
        <v>381</v>
      </c>
      <c r="E866" s="3" t="s">
        <v>398</v>
      </c>
      <c r="F866" s="16" t="n">
        <v>24</v>
      </c>
      <c r="G866" s="15" t="n">
        <v>0.2</v>
      </c>
      <c r="H866" s="16" t="n">
        <v>19</v>
      </c>
      <c r="I866" s="33" t="n">
        <v>41798.64</v>
      </c>
      <c r="J866" s="33" t="n">
        <v>52248.36</v>
      </c>
    </row>
    <row r="867" customFormat="false" ht="15" hidden="false" customHeight="false" outlineLevel="0" collapsed="false">
      <c r="A867" s="3" t="s">
        <v>1257</v>
      </c>
      <c r="B867" s="3" t="s">
        <v>282</v>
      </c>
      <c r="C867" s="3" t="s">
        <v>396</v>
      </c>
      <c r="D867" s="3" t="s">
        <v>388</v>
      </c>
      <c r="E867" s="3" t="s">
        <v>398</v>
      </c>
      <c r="F867" s="16" t="n">
        <v>12</v>
      </c>
      <c r="G867" s="15" t="n">
        <v>0</v>
      </c>
      <c r="H867" s="16" t="n">
        <v>2</v>
      </c>
      <c r="I867" s="33" t="n">
        <v>41777.04</v>
      </c>
      <c r="J867" s="33" t="n">
        <v>41777.04</v>
      </c>
    </row>
    <row r="868" customFormat="false" ht="15" hidden="false" customHeight="false" outlineLevel="0" collapsed="false">
      <c r="A868" s="3" t="s">
        <v>1258</v>
      </c>
      <c r="B868" s="3" t="s">
        <v>282</v>
      </c>
      <c r="C868" s="3" t="s">
        <v>384</v>
      </c>
      <c r="D868" s="3" t="s">
        <v>381</v>
      </c>
      <c r="E868" s="3" t="s">
        <v>385</v>
      </c>
      <c r="F868" s="16" t="n">
        <v>12</v>
      </c>
      <c r="G868" s="15" t="n">
        <v>0</v>
      </c>
      <c r="H868" s="16" t="n">
        <v>4</v>
      </c>
      <c r="I868" s="33" t="n">
        <v>41762.88</v>
      </c>
      <c r="J868" s="33" t="n">
        <v>41762.88</v>
      </c>
    </row>
    <row r="869" customFormat="false" ht="15" hidden="false" customHeight="false" outlineLevel="0" collapsed="false">
      <c r="A869" s="3" t="s">
        <v>1259</v>
      </c>
      <c r="B869" s="3" t="s">
        <v>282</v>
      </c>
      <c r="C869" s="3" t="s">
        <v>403</v>
      </c>
      <c r="D869" s="3" t="s">
        <v>392</v>
      </c>
      <c r="E869" s="3" t="s">
        <v>398</v>
      </c>
      <c r="F869" s="16" t="n">
        <v>24</v>
      </c>
      <c r="G869" s="15" t="n">
        <v>0</v>
      </c>
      <c r="H869" s="16" t="n">
        <v>8</v>
      </c>
      <c r="I869" s="33" t="n">
        <v>41744.16</v>
      </c>
      <c r="J869" s="33" t="n">
        <v>41744.16</v>
      </c>
    </row>
    <row r="870" customFormat="false" ht="15" hidden="false" customHeight="false" outlineLevel="0" collapsed="false">
      <c r="A870" s="3" t="s">
        <v>1260</v>
      </c>
      <c r="B870" s="3" t="s">
        <v>282</v>
      </c>
      <c r="C870" s="3" t="s">
        <v>405</v>
      </c>
      <c r="D870" s="3" t="s">
        <v>381</v>
      </c>
      <c r="E870" s="3" t="s">
        <v>385</v>
      </c>
      <c r="F870" s="16" t="n">
        <v>12</v>
      </c>
      <c r="G870" s="15" t="n">
        <v>0.1</v>
      </c>
      <c r="H870" s="16" t="n">
        <v>8</v>
      </c>
      <c r="I870" s="33" t="n">
        <v>41715.12</v>
      </c>
      <c r="J870" s="33" t="n">
        <v>46350.12</v>
      </c>
    </row>
    <row r="871" customFormat="false" ht="15" hidden="false" customHeight="false" outlineLevel="0" collapsed="false">
      <c r="A871" s="3" t="s">
        <v>1261</v>
      </c>
      <c r="B871" s="3" t="s">
        <v>282</v>
      </c>
      <c r="C871" s="3" t="s">
        <v>405</v>
      </c>
      <c r="D871" s="3" t="s">
        <v>418</v>
      </c>
      <c r="E871" s="3" t="s">
        <v>385</v>
      </c>
      <c r="F871" s="16" t="n">
        <v>24</v>
      </c>
      <c r="G871" s="15" t="n">
        <v>0</v>
      </c>
      <c r="H871" s="16" t="n">
        <v>7</v>
      </c>
      <c r="I871" s="33" t="n">
        <v>41577.48</v>
      </c>
      <c r="J871" s="33" t="n">
        <v>41577.48</v>
      </c>
    </row>
    <row r="872" customFormat="false" ht="15" hidden="false" customHeight="false" outlineLevel="0" collapsed="false">
      <c r="A872" s="3" t="s">
        <v>1262</v>
      </c>
      <c r="B872" s="3" t="s">
        <v>282</v>
      </c>
      <c r="C872" s="3" t="s">
        <v>396</v>
      </c>
      <c r="D872" s="3" t="s">
        <v>381</v>
      </c>
      <c r="E872" s="3" t="s">
        <v>385</v>
      </c>
      <c r="F872" s="16" t="n">
        <v>24</v>
      </c>
      <c r="G872" s="15" t="n">
        <v>0</v>
      </c>
      <c r="H872" s="16" t="n">
        <v>8</v>
      </c>
      <c r="I872" s="33" t="n">
        <v>41555.16</v>
      </c>
      <c r="J872" s="33" t="n">
        <v>41555.16</v>
      </c>
    </row>
    <row r="873" customFormat="false" ht="15" hidden="false" customHeight="false" outlineLevel="0" collapsed="false">
      <c r="A873" s="3" t="s">
        <v>1263</v>
      </c>
      <c r="B873" s="3" t="s">
        <v>282</v>
      </c>
      <c r="C873" s="3" t="s">
        <v>405</v>
      </c>
      <c r="D873" s="3" t="s">
        <v>392</v>
      </c>
      <c r="E873" s="3" t="s">
        <v>385</v>
      </c>
      <c r="F873" s="16" t="n">
        <v>12</v>
      </c>
      <c r="G873" s="15" t="n">
        <v>0</v>
      </c>
      <c r="H873" s="16" t="n">
        <v>10</v>
      </c>
      <c r="I873" s="33" t="n">
        <v>41481</v>
      </c>
      <c r="J873" s="33" t="n">
        <v>41481</v>
      </c>
    </row>
    <row r="874" customFormat="false" ht="15" hidden="false" customHeight="false" outlineLevel="0" collapsed="false">
      <c r="A874" s="3" t="s">
        <v>1264</v>
      </c>
      <c r="B874" s="3" t="s">
        <v>282</v>
      </c>
      <c r="C874" s="3" t="s">
        <v>380</v>
      </c>
      <c r="D874" s="3" t="s">
        <v>388</v>
      </c>
      <c r="E874" s="3" t="s">
        <v>385</v>
      </c>
      <c r="F874" s="16" t="n">
        <v>24</v>
      </c>
      <c r="G874" s="15" t="n">
        <v>0</v>
      </c>
      <c r="H874" s="16" t="n">
        <v>4</v>
      </c>
      <c r="I874" s="33" t="n">
        <v>41463.24</v>
      </c>
      <c r="J874" s="33" t="n">
        <v>41463.24</v>
      </c>
    </row>
    <row r="875" customFormat="false" ht="15" hidden="false" customHeight="false" outlineLevel="0" collapsed="false">
      <c r="A875" s="3" t="s">
        <v>1265</v>
      </c>
      <c r="B875" s="3" t="s">
        <v>282</v>
      </c>
      <c r="C875" s="3" t="s">
        <v>403</v>
      </c>
      <c r="D875" s="3" t="s">
        <v>418</v>
      </c>
      <c r="E875" s="3" t="s">
        <v>398</v>
      </c>
      <c r="F875" s="16" t="n">
        <v>12</v>
      </c>
      <c r="G875" s="15" t="n">
        <v>0</v>
      </c>
      <c r="H875" s="16" t="n">
        <v>8</v>
      </c>
      <c r="I875" s="33" t="n">
        <v>41463</v>
      </c>
      <c r="J875" s="33" t="n">
        <v>41463</v>
      </c>
    </row>
    <row r="876" customFormat="false" ht="15" hidden="false" customHeight="false" outlineLevel="0" collapsed="false">
      <c r="A876" s="3" t="s">
        <v>1266</v>
      </c>
      <c r="B876" s="3" t="s">
        <v>282</v>
      </c>
      <c r="C876" s="3" t="s">
        <v>396</v>
      </c>
      <c r="D876" s="3" t="s">
        <v>381</v>
      </c>
      <c r="E876" s="3" t="s">
        <v>398</v>
      </c>
      <c r="F876" s="16" t="n">
        <v>24</v>
      </c>
      <c r="G876" s="15" t="n">
        <v>0.2</v>
      </c>
      <c r="H876" s="16" t="n">
        <v>18</v>
      </c>
      <c r="I876" s="33" t="n">
        <v>41268.24</v>
      </c>
      <c r="J876" s="33" t="n">
        <v>51585.24</v>
      </c>
    </row>
    <row r="877" customFormat="false" ht="15" hidden="false" customHeight="false" outlineLevel="0" collapsed="false">
      <c r="A877" s="3" t="s">
        <v>1267</v>
      </c>
      <c r="B877" s="3" t="s">
        <v>282</v>
      </c>
      <c r="C877" s="3" t="s">
        <v>384</v>
      </c>
      <c r="D877" s="3" t="s">
        <v>392</v>
      </c>
      <c r="E877" s="3" t="s">
        <v>382</v>
      </c>
      <c r="F877" s="16" t="n">
        <v>12</v>
      </c>
      <c r="G877" s="15" t="n">
        <v>0</v>
      </c>
      <c r="H877" s="16" t="n">
        <v>1</v>
      </c>
      <c r="I877" s="33" t="n">
        <v>41260.32</v>
      </c>
      <c r="J877" s="33" t="n">
        <v>41260.32</v>
      </c>
    </row>
    <row r="878" customFormat="false" ht="15" hidden="false" customHeight="false" outlineLevel="0" collapsed="false">
      <c r="A878" s="3" t="s">
        <v>1268</v>
      </c>
      <c r="B878" s="3" t="s">
        <v>282</v>
      </c>
      <c r="C878" s="3" t="s">
        <v>380</v>
      </c>
      <c r="D878" s="3" t="s">
        <v>392</v>
      </c>
      <c r="E878" s="3" t="s">
        <v>398</v>
      </c>
      <c r="F878" s="16" t="n">
        <v>24</v>
      </c>
      <c r="G878" s="15" t="n">
        <v>0</v>
      </c>
      <c r="H878" s="16" t="n">
        <v>22</v>
      </c>
      <c r="I878" s="33" t="n">
        <v>41226.36</v>
      </c>
      <c r="J878" s="33" t="n">
        <v>41226.36</v>
      </c>
    </row>
    <row r="879" customFormat="false" ht="15" hidden="false" customHeight="false" outlineLevel="0" collapsed="false">
      <c r="A879" s="3" t="s">
        <v>1269</v>
      </c>
      <c r="B879" s="3" t="s">
        <v>282</v>
      </c>
      <c r="C879" s="3" t="s">
        <v>396</v>
      </c>
      <c r="D879" s="3" t="s">
        <v>381</v>
      </c>
      <c r="E879" s="3" t="s">
        <v>398</v>
      </c>
      <c r="F879" s="16" t="n">
        <v>24</v>
      </c>
      <c r="G879" s="15" t="n">
        <v>0.1</v>
      </c>
      <c r="H879" s="16" t="n">
        <v>19</v>
      </c>
      <c r="I879" s="33" t="n">
        <v>41218.92</v>
      </c>
      <c r="J879" s="33" t="n">
        <v>45798.72</v>
      </c>
    </row>
    <row r="880" customFormat="false" ht="15" hidden="false" customHeight="false" outlineLevel="0" collapsed="false">
      <c r="A880" s="3" t="s">
        <v>1270</v>
      </c>
      <c r="B880" s="3" t="s">
        <v>282</v>
      </c>
      <c r="C880" s="3" t="s">
        <v>396</v>
      </c>
      <c r="D880" s="3" t="s">
        <v>381</v>
      </c>
      <c r="E880" s="3" t="s">
        <v>385</v>
      </c>
      <c r="F880" s="16" t="n">
        <v>12</v>
      </c>
      <c r="G880" s="15" t="n">
        <v>0</v>
      </c>
      <c r="H880" s="16" t="n">
        <v>12</v>
      </c>
      <c r="I880" s="33" t="n">
        <v>41187.72</v>
      </c>
      <c r="J880" s="33" t="n">
        <v>41187.72</v>
      </c>
    </row>
    <row r="881" customFormat="false" ht="15" hidden="false" customHeight="false" outlineLevel="0" collapsed="false">
      <c r="A881" s="3" t="s">
        <v>1271</v>
      </c>
      <c r="B881" s="3" t="s">
        <v>282</v>
      </c>
      <c r="C881" s="3" t="s">
        <v>380</v>
      </c>
      <c r="D881" s="3" t="s">
        <v>381</v>
      </c>
      <c r="E881" s="3" t="s">
        <v>398</v>
      </c>
      <c r="F881" s="16" t="n">
        <v>24</v>
      </c>
      <c r="G881" s="15" t="n">
        <v>0</v>
      </c>
      <c r="H881" s="16" t="n">
        <v>8</v>
      </c>
      <c r="I881" s="33" t="n">
        <v>41167.56</v>
      </c>
      <c r="J881" s="33" t="n">
        <v>41167.56</v>
      </c>
    </row>
    <row r="882" customFormat="false" ht="15" hidden="false" customHeight="false" outlineLevel="0" collapsed="false">
      <c r="A882" s="3" t="s">
        <v>1272</v>
      </c>
      <c r="B882" s="3" t="s">
        <v>282</v>
      </c>
      <c r="C882" s="3" t="s">
        <v>387</v>
      </c>
      <c r="D882" s="3" t="s">
        <v>381</v>
      </c>
      <c r="E882" s="3" t="s">
        <v>398</v>
      </c>
      <c r="F882" s="16" t="n">
        <v>12</v>
      </c>
      <c r="G882" s="15" t="n">
        <v>0.1</v>
      </c>
      <c r="H882" s="16" t="n">
        <v>12</v>
      </c>
      <c r="I882" s="33" t="n">
        <v>41157.48</v>
      </c>
      <c r="J882" s="33" t="n">
        <v>45730.44</v>
      </c>
    </row>
    <row r="883" customFormat="false" ht="15" hidden="false" customHeight="false" outlineLevel="0" collapsed="false">
      <c r="A883" s="3" t="s">
        <v>1273</v>
      </c>
      <c r="B883" s="3" t="s">
        <v>282</v>
      </c>
      <c r="C883" s="3" t="s">
        <v>403</v>
      </c>
      <c r="D883" s="3" t="s">
        <v>418</v>
      </c>
      <c r="E883" s="3" t="s">
        <v>382</v>
      </c>
      <c r="F883" s="16" t="n">
        <v>12</v>
      </c>
      <c r="G883" s="15" t="n">
        <v>0</v>
      </c>
      <c r="H883" s="16" t="n">
        <v>1</v>
      </c>
      <c r="I883" s="33" t="n">
        <v>41096.16</v>
      </c>
      <c r="J883" s="33" t="n">
        <v>41096.16</v>
      </c>
    </row>
    <row r="884" customFormat="false" ht="15" hidden="false" customHeight="false" outlineLevel="0" collapsed="false">
      <c r="A884" s="3" t="s">
        <v>1274</v>
      </c>
      <c r="B884" s="3" t="s">
        <v>282</v>
      </c>
      <c r="C884" s="3" t="s">
        <v>396</v>
      </c>
      <c r="D884" s="3" t="s">
        <v>381</v>
      </c>
      <c r="E884" s="3" t="s">
        <v>398</v>
      </c>
      <c r="F884" s="16" t="n">
        <v>24</v>
      </c>
      <c r="G884" s="15" t="n">
        <v>0.3</v>
      </c>
      <c r="H884" s="16" t="n">
        <v>18</v>
      </c>
      <c r="I884" s="33" t="n">
        <v>40992.72</v>
      </c>
      <c r="J884" s="33" t="n">
        <v>58560.96</v>
      </c>
    </row>
    <row r="885" customFormat="false" ht="15" hidden="false" customHeight="false" outlineLevel="0" collapsed="false">
      <c r="A885" s="3" t="s">
        <v>1275</v>
      </c>
      <c r="B885" s="3" t="s">
        <v>282</v>
      </c>
      <c r="C885" s="3" t="s">
        <v>380</v>
      </c>
      <c r="D885" s="3" t="s">
        <v>381</v>
      </c>
      <c r="E885" s="3" t="s">
        <v>398</v>
      </c>
      <c r="F885" s="16" t="n">
        <v>12</v>
      </c>
      <c r="G885" s="15" t="n">
        <v>0</v>
      </c>
      <c r="H885" s="16" t="n">
        <v>6</v>
      </c>
      <c r="I885" s="33" t="n">
        <v>40962.12</v>
      </c>
      <c r="J885" s="33" t="n">
        <v>40962.12</v>
      </c>
    </row>
    <row r="886" customFormat="false" ht="15" hidden="false" customHeight="false" outlineLevel="0" collapsed="false">
      <c r="A886" s="3" t="s">
        <v>1276</v>
      </c>
      <c r="B886" s="3" t="s">
        <v>283</v>
      </c>
      <c r="C886" s="3" t="s">
        <v>387</v>
      </c>
      <c r="D886" s="3" t="s">
        <v>381</v>
      </c>
      <c r="E886" s="3" t="s">
        <v>382</v>
      </c>
      <c r="F886" s="16" t="n">
        <v>1</v>
      </c>
      <c r="G886" s="15" t="n">
        <v>0</v>
      </c>
      <c r="H886" s="16" t="n">
        <v>1</v>
      </c>
      <c r="I886" s="33" t="n">
        <v>40938.48</v>
      </c>
      <c r="J886" s="33" t="n">
        <v>40938.48</v>
      </c>
    </row>
    <row r="887" customFormat="false" ht="15" hidden="false" customHeight="false" outlineLevel="0" collapsed="false">
      <c r="A887" s="3" t="s">
        <v>1277</v>
      </c>
      <c r="B887" s="3" t="s">
        <v>282</v>
      </c>
      <c r="C887" s="3" t="s">
        <v>401</v>
      </c>
      <c r="D887" s="3" t="s">
        <v>381</v>
      </c>
      <c r="E887" s="3" t="s">
        <v>385</v>
      </c>
      <c r="F887" s="16" t="n">
        <v>24</v>
      </c>
      <c r="G887" s="15" t="n">
        <v>0</v>
      </c>
      <c r="H887" s="16" t="n">
        <v>19</v>
      </c>
      <c r="I887" s="33" t="n">
        <v>40904.16</v>
      </c>
      <c r="J887" s="33" t="n">
        <v>40904.16</v>
      </c>
    </row>
    <row r="888" customFormat="false" ht="15" hidden="false" customHeight="false" outlineLevel="0" collapsed="false">
      <c r="A888" s="3" t="s">
        <v>1278</v>
      </c>
      <c r="B888" s="3" t="s">
        <v>282</v>
      </c>
      <c r="C888" s="3" t="s">
        <v>387</v>
      </c>
      <c r="D888" s="3" t="s">
        <v>692</v>
      </c>
      <c r="E888" s="3" t="s">
        <v>398</v>
      </c>
      <c r="F888" s="16" t="n">
        <v>24</v>
      </c>
      <c r="G888" s="15" t="n">
        <v>0</v>
      </c>
      <c r="H888" s="16" t="n">
        <v>3</v>
      </c>
      <c r="I888" s="33" t="n">
        <v>40871.88</v>
      </c>
      <c r="J888" s="33" t="n">
        <v>40871.88</v>
      </c>
    </row>
    <row r="889" customFormat="false" ht="15" hidden="false" customHeight="false" outlineLevel="0" collapsed="false">
      <c r="A889" s="3" t="s">
        <v>1279</v>
      </c>
      <c r="B889" s="3" t="s">
        <v>282</v>
      </c>
      <c r="C889" s="3" t="s">
        <v>396</v>
      </c>
      <c r="D889" s="3" t="s">
        <v>381</v>
      </c>
      <c r="E889" s="3" t="s">
        <v>382</v>
      </c>
      <c r="F889" s="16" t="n">
        <v>24</v>
      </c>
      <c r="G889" s="15" t="n">
        <v>0</v>
      </c>
      <c r="H889" s="16" t="n">
        <v>2</v>
      </c>
      <c r="I889" s="33" t="n">
        <v>40839</v>
      </c>
      <c r="J889" s="33" t="n">
        <v>40839</v>
      </c>
    </row>
    <row r="890" customFormat="false" ht="15" hidden="false" customHeight="false" outlineLevel="0" collapsed="false">
      <c r="A890" s="3" t="s">
        <v>1280</v>
      </c>
      <c r="B890" s="3" t="s">
        <v>282</v>
      </c>
      <c r="C890" s="3" t="s">
        <v>405</v>
      </c>
      <c r="D890" s="3" t="s">
        <v>418</v>
      </c>
      <c r="E890" s="3" t="s">
        <v>398</v>
      </c>
      <c r="F890" s="16" t="n">
        <v>12</v>
      </c>
      <c r="G890" s="15" t="n">
        <v>0</v>
      </c>
      <c r="H890" s="16" t="n">
        <v>11</v>
      </c>
      <c r="I890" s="33" t="n">
        <v>40816.56</v>
      </c>
      <c r="J890" s="33" t="n">
        <v>40816.56</v>
      </c>
    </row>
    <row r="891" customFormat="false" ht="15" hidden="false" customHeight="false" outlineLevel="0" collapsed="false">
      <c r="A891" s="3" t="s">
        <v>1281</v>
      </c>
      <c r="B891" s="3" t="s">
        <v>282</v>
      </c>
      <c r="C891" s="3" t="s">
        <v>401</v>
      </c>
      <c r="D891" s="3" t="s">
        <v>692</v>
      </c>
      <c r="E891" s="3" t="s">
        <v>398</v>
      </c>
      <c r="F891" s="16" t="n">
        <v>24</v>
      </c>
      <c r="G891" s="15" t="n">
        <v>0</v>
      </c>
      <c r="H891" s="16" t="n">
        <v>11</v>
      </c>
      <c r="I891" s="33" t="n">
        <v>40774.56</v>
      </c>
      <c r="J891" s="33" t="n">
        <v>40774.56</v>
      </c>
    </row>
    <row r="892" customFormat="false" ht="15" hidden="false" customHeight="false" outlineLevel="0" collapsed="false">
      <c r="A892" s="3" t="s">
        <v>1282</v>
      </c>
      <c r="B892" s="3" t="s">
        <v>282</v>
      </c>
      <c r="C892" s="3" t="s">
        <v>380</v>
      </c>
      <c r="D892" s="3" t="s">
        <v>381</v>
      </c>
      <c r="E892" s="3" t="s">
        <v>398</v>
      </c>
      <c r="F892" s="16" t="n">
        <v>12</v>
      </c>
      <c r="G892" s="15" t="n">
        <v>0.1</v>
      </c>
      <c r="H892" s="16" t="n">
        <v>11</v>
      </c>
      <c r="I892" s="33" t="n">
        <v>40772.04</v>
      </c>
      <c r="J892" s="33" t="n">
        <v>45302.16</v>
      </c>
    </row>
    <row r="893" customFormat="false" ht="15" hidden="false" customHeight="false" outlineLevel="0" collapsed="false">
      <c r="A893" s="3" t="s">
        <v>1283</v>
      </c>
      <c r="B893" s="3" t="s">
        <v>282</v>
      </c>
      <c r="C893" s="3" t="s">
        <v>405</v>
      </c>
      <c r="D893" s="3" t="s">
        <v>692</v>
      </c>
      <c r="E893" s="3" t="s">
        <v>398</v>
      </c>
      <c r="F893" s="16" t="n">
        <v>12</v>
      </c>
      <c r="G893" s="15" t="n">
        <v>0</v>
      </c>
      <c r="H893" s="16" t="n">
        <v>9</v>
      </c>
      <c r="I893" s="33" t="n">
        <v>40761.48</v>
      </c>
      <c r="J893" s="33" t="n">
        <v>40761.48</v>
      </c>
    </row>
    <row r="894" customFormat="false" ht="15" hidden="false" customHeight="false" outlineLevel="0" collapsed="false">
      <c r="A894" s="3" t="s">
        <v>1284</v>
      </c>
      <c r="B894" s="3" t="s">
        <v>282</v>
      </c>
      <c r="C894" s="3" t="s">
        <v>405</v>
      </c>
      <c r="D894" s="3" t="s">
        <v>418</v>
      </c>
      <c r="E894" s="3" t="s">
        <v>382</v>
      </c>
      <c r="F894" s="16" t="n">
        <v>24</v>
      </c>
      <c r="G894" s="15" t="n">
        <v>0.15</v>
      </c>
      <c r="H894" s="16" t="n">
        <v>15</v>
      </c>
      <c r="I894" s="33" t="n">
        <v>40732.32</v>
      </c>
      <c r="J894" s="33" t="n">
        <v>47920.32</v>
      </c>
    </row>
    <row r="895" customFormat="false" ht="15" hidden="false" customHeight="false" outlineLevel="0" collapsed="false">
      <c r="A895" s="3" t="s">
        <v>1285</v>
      </c>
      <c r="B895" s="3" t="s">
        <v>282</v>
      </c>
      <c r="C895" s="3" t="s">
        <v>403</v>
      </c>
      <c r="D895" s="3" t="s">
        <v>381</v>
      </c>
      <c r="E895" s="3" t="s">
        <v>382</v>
      </c>
      <c r="F895" s="16" t="n">
        <v>12</v>
      </c>
      <c r="G895" s="15" t="n">
        <v>0.1</v>
      </c>
      <c r="H895" s="16" t="n">
        <v>6</v>
      </c>
      <c r="I895" s="33" t="n">
        <v>40677.6</v>
      </c>
      <c r="J895" s="33" t="n">
        <v>45197.28</v>
      </c>
    </row>
    <row r="896" customFormat="false" ht="15" hidden="false" customHeight="false" outlineLevel="0" collapsed="false">
      <c r="A896" s="3" t="s">
        <v>1286</v>
      </c>
      <c r="B896" s="3" t="s">
        <v>282</v>
      </c>
      <c r="C896" s="3" t="s">
        <v>405</v>
      </c>
      <c r="D896" s="3" t="s">
        <v>381</v>
      </c>
      <c r="E896" s="3" t="s">
        <v>398</v>
      </c>
      <c r="F896" s="16" t="n">
        <v>12</v>
      </c>
      <c r="G896" s="15" t="n">
        <v>0.2</v>
      </c>
      <c r="H896" s="16" t="n">
        <v>9</v>
      </c>
      <c r="I896" s="33" t="n">
        <v>40629.24</v>
      </c>
      <c r="J896" s="33" t="n">
        <v>50786.52</v>
      </c>
    </row>
    <row r="897" customFormat="false" ht="15" hidden="false" customHeight="false" outlineLevel="0" collapsed="false">
      <c r="A897" s="3" t="s">
        <v>1287</v>
      </c>
      <c r="B897" s="3" t="s">
        <v>282</v>
      </c>
      <c r="C897" s="3" t="s">
        <v>405</v>
      </c>
      <c r="D897" s="3" t="s">
        <v>381</v>
      </c>
      <c r="E897" s="3" t="s">
        <v>398</v>
      </c>
      <c r="F897" s="16" t="n">
        <v>24</v>
      </c>
      <c r="G897" s="15" t="n">
        <v>0</v>
      </c>
      <c r="H897" s="16" t="n">
        <v>18</v>
      </c>
      <c r="I897" s="33" t="n">
        <v>40610.04</v>
      </c>
      <c r="J897" s="33" t="n">
        <v>40610.04</v>
      </c>
    </row>
    <row r="898" customFormat="false" ht="15" hidden="false" customHeight="false" outlineLevel="0" collapsed="false">
      <c r="A898" s="3" t="s">
        <v>1288</v>
      </c>
      <c r="B898" s="3" t="s">
        <v>282</v>
      </c>
      <c r="C898" s="3" t="s">
        <v>387</v>
      </c>
      <c r="D898" s="3" t="s">
        <v>381</v>
      </c>
      <c r="E898" s="3" t="s">
        <v>398</v>
      </c>
      <c r="F898" s="16" t="n">
        <v>24</v>
      </c>
      <c r="G898" s="15" t="n">
        <v>0.1</v>
      </c>
      <c r="H898" s="16" t="n">
        <v>22</v>
      </c>
      <c r="I898" s="33" t="n">
        <v>40596.48</v>
      </c>
      <c r="J898" s="33" t="n">
        <v>45107.28</v>
      </c>
    </row>
    <row r="899" customFormat="false" ht="15" hidden="false" customHeight="false" outlineLevel="0" collapsed="false">
      <c r="A899" s="3" t="s">
        <v>1289</v>
      </c>
      <c r="B899" s="3" t="s">
        <v>282</v>
      </c>
      <c r="C899" s="3" t="s">
        <v>403</v>
      </c>
      <c r="D899" s="3" t="s">
        <v>392</v>
      </c>
      <c r="E899" s="3" t="s">
        <v>382</v>
      </c>
      <c r="F899" s="16" t="n">
        <v>12</v>
      </c>
      <c r="G899" s="15" t="n">
        <v>0</v>
      </c>
      <c r="H899" s="16" t="n">
        <v>11</v>
      </c>
      <c r="I899" s="33" t="n">
        <v>40455.48</v>
      </c>
      <c r="J899" s="33" t="n">
        <v>40455.48</v>
      </c>
    </row>
    <row r="900" customFormat="false" ht="15" hidden="false" customHeight="false" outlineLevel="0" collapsed="false">
      <c r="A900" s="3" t="s">
        <v>1290</v>
      </c>
      <c r="B900" s="3" t="s">
        <v>283</v>
      </c>
      <c r="C900" s="3" t="s">
        <v>387</v>
      </c>
      <c r="D900" s="3" t="s">
        <v>381</v>
      </c>
      <c r="E900" s="3" t="s">
        <v>398</v>
      </c>
      <c r="F900" s="16" t="n">
        <v>1</v>
      </c>
      <c r="G900" s="15" t="n">
        <v>0</v>
      </c>
      <c r="H900" s="16" t="n">
        <v>1</v>
      </c>
      <c r="I900" s="33" t="n">
        <v>40406.64</v>
      </c>
      <c r="J900" s="33" t="n">
        <v>40406.64</v>
      </c>
    </row>
    <row r="901" customFormat="false" ht="15" hidden="false" customHeight="false" outlineLevel="0" collapsed="false">
      <c r="A901" s="3" t="s">
        <v>1291</v>
      </c>
      <c r="B901" s="3" t="s">
        <v>282</v>
      </c>
      <c r="C901" s="3" t="s">
        <v>401</v>
      </c>
      <c r="D901" s="3" t="s">
        <v>381</v>
      </c>
      <c r="E901" s="3" t="s">
        <v>398</v>
      </c>
      <c r="F901" s="16" t="n">
        <v>12</v>
      </c>
      <c r="G901" s="15" t="n">
        <v>0</v>
      </c>
      <c r="H901" s="16" t="n">
        <v>4</v>
      </c>
      <c r="I901" s="33" t="n">
        <v>40396.08</v>
      </c>
      <c r="J901" s="33" t="n">
        <v>40396.08</v>
      </c>
    </row>
    <row r="902" customFormat="false" ht="15" hidden="false" customHeight="false" outlineLevel="0" collapsed="false">
      <c r="A902" s="3" t="s">
        <v>1292</v>
      </c>
      <c r="B902" s="3" t="s">
        <v>282</v>
      </c>
      <c r="C902" s="3" t="s">
        <v>401</v>
      </c>
      <c r="D902" s="3" t="s">
        <v>418</v>
      </c>
      <c r="E902" s="3" t="s">
        <v>398</v>
      </c>
      <c r="F902" s="16" t="n">
        <v>12</v>
      </c>
      <c r="G902" s="15" t="n">
        <v>0</v>
      </c>
      <c r="H902" s="16" t="n">
        <v>3</v>
      </c>
      <c r="I902" s="33" t="n">
        <v>40373.52</v>
      </c>
      <c r="J902" s="33" t="n">
        <v>40373.52</v>
      </c>
    </row>
    <row r="903" customFormat="false" ht="15" hidden="false" customHeight="false" outlineLevel="0" collapsed="false">
      <c r="A903" s="3" t="s">
        <v>1293</v>
      </c>
      <c r="B903" s="3" t="s">
        <v>282</v>
      </c>
      <c r="C903" s="3" t="s">
        <v>384</v>
      </c>
      <c r="D903" s="3" t="s">
        <v>418</v>
      </c>
      <c r="E903" s="3" t="s">
        <v>398</v>
      </c>
      <c r="F903" s="16" t="n">
        <v>24</v>
      </c>
      <c r="G903" s="15" t="n">
        <v>0.15</v>
      </c>
      <c r="H903" s="16" t="n">
        <v>15</v>
      </c>
      <c r="I903" s="33" t="n">
        <v>40170.96</v>
      </c>
      <c r="J903" s="33" t="n">
        <v>47259.96</v>
      </c>
    </row>
    <row r="904" customFormat="false" ht="15" hidden="false" customHeight="false" outlineLevel="0" collapsed="false">
      <c r="A904" s="3" t="s">
        <v>1294</v>
      </c>
      <c r="B904" s="3" t="s">
        <v>282</v>
      </c>
      <c r="C904" s="3" t="s">
        <v>384</v>
      </c>
      <c r="D904" s="3" t="s">
        <v>388</v>
      </c>
      <c r="E904" s="3" t="s">
        <v>398</v>
      </c>
      <c r="F904" s="16" t="n">
        <v>12</v>
      </c>
      <c r="G904" s="15" t="n">
        <v>0.25</v>
      </c>
      <c r="H904" s="16" t="n">
        <v>1</v>
      </c>
      <c r="I904" s="33" t="n">
        <v>40070.4</v>
      </c>
      <c r="J904" s="33" t="n">
        <v>53427.12</v>
      </c>
    </row>
    <row r="905" customFormat="false" ht="15" hidden="false" customHeight="false" outlineLevel="0" collapsed="false">
      <c r="A905" s="3" t="s">
        <v>1295</v>
      </c>
      <c r="B905" s="3" t="s">
        <v>282</v>
      </c>
      <c r="C905" s="3" t="s">
        <v>384</v>
      </c>
      <c r="D905" s="3" t="s">
        <v>388</v>
      </c>
      <c r="E905" s="3" t="s">
        <v>398</v>
      </c>
      <c r="F905" s="16" t="n">
        <v>24</v>
      </c>
      <c r="G905" s="15" t="n">
        <v>0.3</v>
      </c>
      <c r="H905" s="16" t="n">
        <v>16</v>
      </c>
      <c r="I905" s="33" t="n">
        <v>40053.36</v>
      </c>
      <c r="J905" s="33" t="n">
        <v>57219</v>
      </c>
    </row>
    <row r="906" customFormat="false" ht="15" hidden="false" customHeight="false" outlineLevel="0" collapsed="false">
      <c r="A906" s="3" t="s">
        <v>1296</v>
      </c>
      <c r="B906" s="3" t="s">
        <v>282</v>
      </c>
      <c r="C906" s="3" t="s">
        <v>401</v>
      </c>
      <c r="D906" s="3" t="s">
        <v>381</v>
      </c>
      <c r="E906" s="3" t="s">
        <v>398</v>
      </c>
      <c r="F906" s="16" t="n">
        <v>12</v>
      </c>
      <c r="G906" s="15" t="n">
        <v>0.2</v>
      </c>
      <c r="H906" s="16" t="n">
        <v>6</v>
      </c>
      <c r="I906" s="33" t="n">
        <v>39862.68</v>
      </c>
      <c r="J906" s="33" t="n">
        <v>49828.32</v>
      </c>
    </row>
    <row r="907" customFormat="false" ht="15" hidden="false" customHeight="false" outlineLevel="0" collapsed="false">
      <c r="A907" s="3" t="s">
        <v>1297</v>
      </c>
      <c r="B907" s="3" t="s">
        <v>282</v>
      </c>
      <c r="C907" s="3" t="s">
        <v>403</v>
      </c>
      <c r="D907" s="3" t="s">
        <v>392</v>
      </c>
      <c r="E907" s="3" t="s">
        <v>382</v>
      </c>
      <c r="F907" s="16" t="n">
        <v>12</v>
      </c>
      <c r="G907" s="15" t="n">
        <v>0.05</v>
      </c>
      <c r="H907" s="16" t="n">
        <v>6</v>
      </c>
      <c r="I907" s="33" t="n">
        <v>39851.4</v>
      </c>
      <c r="J907" s="33" t="n">
        <v>41948.88</v>
      </c>
    </row>
    <row r="908" customFormat="false" ht="15" hidden="false" customHeight="false" outlineLevel="0" collapsed="false">
      <c r="A908" s="3" t="s">
        <v>1298</v>
      </c>
      <c r="B908" s="3" t="s">
        <v>282</v>
      </c>
      <c r="C908" s="3" t="s">
        <v>405</v>
      </c>
      <c r="D908" s="3" t="s">
        <v>381</v>
      </c>
      <c r="E908" s="3" t="s">
        <v>398</v>
      </c>
      <c r="F908" s="16" t="n">
        <v>12</v>
      </c>
      <c r="G908" s="15" t="n">
        <v>0</v>
      </c>
      <c r="H908" s="16" t="n">
        <v>6</v>
      </c>
      <c r="I908" s="33" t="n">
        <v>39793.2</v>
      </c>
      <c r="J908" s="33" t="n">
        <v>39793.2</v>
      </c>
    </row>
    <row r="909" customFormat="false" ht="15" hidden="false" customHeight="false" outlineLevel="0" collapsed="false">
      <c r="A909" s="3" t="s">
        <v>1299</v>
      </c>
      <c r="B909" s="3" t="s">
        <v>282</v>
      </c>
      <c r="C909" s="3" t="s">
        <v>384</v>
      </c>
      <c r="D909" s="3" t="s">
        <v>392</v>
      </c>
      <c r="E909" s="3" t="s">
        <v>385</v>
      </c>
      <c r="F909" s="16" t="n">
        <v>24</v>
      </c>
      <c r="G909" s="15" t="n">
        <v>0</v>
      </c>
      <c r="H909" s="16" t="n">
        <v>21</v>
      </c>
      <c r="I909" s="33" t="n">
        <v>39793.08</v>
      </c>
      <c r="J909" s="33" t="n">
        <v>39793.08</v>
      </c>
    </row>
    <row r="910" customFormat="false" ht="15" hidden="false" customHeight="false" outlineLevel="0" collapsed="false">
      <c r="A910" s="3" t="s">
        <v>1300</v>
      </c>
      <c r="B910" s="3" t="s">
        <v>282</v>
      </c>
      <c r="C910" s="3" t="s">
        <v>403</v>
      </c>
      <c r="D910" s="3" t="s">
        <v>381</v>
      </c>
      <c r="E910" s="3" t="s">
        <v>385</v>
      </c>
      <c r="F910" s="16" t="n">
        <v>24</v>
      </c>
      <c r="G910" s="15" t="n">
        <v>0.1</v>
      </c>
      <c r="H910" s="16" t="n">
        <v>23</v>
      </c>
      <c r="I910" s="33" t="n">
        <v>39784.2</v>
      </c>
      <c r="J910" s="33" t="n">
        <v>44204.76</v>
      </c>
    </row>
    <row r="911" customFormat="false" ht="15" hidden="false" customHeight="false" outlineLevel="0" collapsed="false">
      <c r="A911" s="3" t="s">
        <v>1301</v>
      </c>
      <c r="B911" s="3" t="s">
        <v>282</v>
      </c>
      <c r="C911" s="3" t="s">
        <v>401</v>
      </c>
      <c r="D911" s="3" t="s">
        <v>418</v>
      </c>
      <c r="E911" s="3" t="s">
        <v>398</v>
      </c>
      <c r="F911" s="16" t="n">
        <v>24</v>
      </c>
      <c r="G911" s="15" t="n">
        <v>0.05</v>
      </c>
      <c r="H911" s="16" t="n">
        <v>21</v>
      </c>
      <c r="I911" s="33" t="n">
        <v>39773.04</v>
      </c>
      <c r="J911" s="33" t="n">
        <v>41866.44</v>
      </c>
    </row>
    <row r="912" customFormat="false" ht="15" hidden="false" customHeight="false" outlineLevel="0" collapsed="false">
      <c r="A912" s="3" t="s">
        <v>1302</v>
      </c>
      <c r="B912" s="3" t="s">
        <v>282</v>
      </c>
      <c r="C912" s="3" t="s">
        <v>380</v>
      </c>
      <c r="D912" s="3" t="s">
        <v>392</v>
      </c>
      <c r="E912" s="3" t="s">
        <v>382</v>
      </c>
      <c r="F912" s="16" t="n">
        <v>12</v>
      </c>
      <c r="G912" s="15" t="n">
        <v>0</v>
      </c>
      <c r="H912" s="16" t="n">
        <v>2</v>
      </c>
      <c r="I912" s="33" t="n">
        <v>39750.84</v>
      </c>
      <c r="J912" s="33" t="n">
        <v>39750.84</v>
      </c>
    </row>
    <row r="913" customFormat="false" ht="15" hidden="false" customHeight="false" outlineLevel="0" collapsed="false">
      <c r="A913" s="3" t="s">
        <v>1303</v>
      </c>
      <c r="B913" s="3" t="s">
        <v>282</v>
      </c>
      <c r="C913" s="3" t="s">
        <v>403</v>
      </c>
      <c r="D913" s="3" t="s">
        <v>392</v>
      </c>
      <c r="E913" s="3" t="s">
        <v>385</v>
      </c>
      <c r="F913" s="16" t="n">
        <v>12</v>
      </c>
      <c r="G913" s="15" t="n">
        <v>0.1</v>
      </c>
      <c r="H913" s="16" t="n">
        <v>2</v>
      </c>
      <c r="I913" s="33" t="n">
        <v>39705</v>
      </c>
      <c r="J913" s="33" t="n">
        <v>44116.68</v>
      </c>
    </row>
    <row r="914" customFormat="false" ht="15" hidden="false" customHeight="false" outlineLevel="0" collapsed="false">
      <c r="A914" s="3" t="s">
        <v>1304</v>
      </c>
      <c r="B914" s="3" t="s">
        <v>282</v>
      </c>
      <c r="C914" s="3" t="s">
        <v>380</v>
      </c>
      <c r="D914" s="3" t="s">
        <v>392</v>
      </c>
      <c r="E914" s="3" t="s">
        <v>398</v>
      </c>
      <c r="F914" s="16" t="n">
        <v>12</v>
      </c>
      <c r="G914" s="15" t="n">
        <v>0</v>
      </c>
      <c r="H914" s="16" t="n">
        <v>2</v>
      </c>
      <c r="I914" s="33" t="n">
        <v>39690</v>
      </c>
      <c r="J914" s="33" t="n">
        <v>39690</v>
      </c>
    </row>
    <row r="915" customFormat="false" ht="15" hidden="false" customHeight="false" outlineLevel="0" collapsed="false">
      <c r="A915" s="3" t="s">
        <v>1305</v>
      </c>
      <c r="B915" s="3" t="s">
        <v>282</v>
      </c>
      <c r="C915" s="3" t="s">
        <v>387</v>
      </c>
      <c r="D915" s="3" t="s">
        <v>418</v>
      </c>
      <c r="E915" s="3" t="s">
        <v>398</v>
      </c>
      <c r="F915" s="16" t="n">
        <v>12</v>
      </c>
      <c r="G915" s="15" t="n">
        <v>0</v>
      </c>
      <c r="H915" s="16" t="n">
        <v>9</v>
      </c>
      <c r="I915" s="33" t="n">
        <v>39680.76</v>
      </c>
      <c r="J915" s="33" t="n">
        <v>39680.76</v>
      </c>
    </row>
    <row r="916" customFormat="false" ht="15" hidden="false" customHeight="false" outlineLevel="0" collapsed="false">
      <c r="A916" s="3" t="s">
        <v>1306</v>
      </c>
      <c r="B916" s="3" t="s">
        <v>282</v>
      </c>
      <c r="C916" s="3" t="s">
        <v>396</v>
      </c>
      <c r="D916" s="3" t="s">
        <v>692</v>
      </c>
      <c r="E916" s="3" t="s">
        <v>398</v>
      </c>
      <c r="F916" s="16" t="n">
        <v>24</v>
      </c>
      <c r="G916" s="15" t="n">
        <v>0</v>
      </c>
      <c r="H916" s="16" t="n">
        <v>4</v>
      </c>
      <c r="I916" s="33" t="n">
        <v>39637.8</v>
      </c>
      <c r="J916" s="33" t="n">
        <v>39637.8</v>
      </c>
    </row>
    <row r="917" customFormat="false" ht="15" hidden="false" customHeight="false" outlineLevel="0" collapsed="false">
      <c r="A917" s="3" t="s">
        <v>1307</v>
      </c>
      <c r="B917" s="3" t="s">
        <v>282</v>
      </c>
      <c r="C917" s="3" t="s">
        <v>405</v>
      </c>
      <c r="D917" s="3" t="s">
        <v>381</v>
      </c>
      <c r="E917" s="3" t="s">
        <v>398</v>
      </c>
      <c r="F917" s="16" t="n">
        <v>12</v>
      </c>
      <c r="G917" s="15" t="n">
        <v>0</v>
      </c>
      <c r="H917" s="16" t="n">
        <v>7</v>
      </c>
      <c r="I917" s="33" t="n">
        <v>39509.64</v>
      </c>
      <c r="J917" s="33" t="n">
        <v>39509.64</v>
      </c>
    </row>
    <row r="918" customFormat="false" ht="15" hidden="false" customHeight="false" outlineLevel="0" collapsed="false">
      <c r="A918" s="3" t="s">
        <v>1308</v>
      </c>
      <c r="B918" s="3" t="s">
        <v>282</v>
      </c>
      <c r="C918" s="3" t="s">
        <v>403</v>
      </c>
      <c r="D918" s="3" t="s">
        <v>381</v>
      </c>
      <c r="E918" s="3" t="s">
        <v>398</v>
      </c>
      <c r="F918" s="16" t="n">
        <v>24</v>
      </c>
      <c r="G918" s="15" t="n">
        <v>0</v>
      </c>
      <c r="H918" s="16" t="n">
        <v>24</v>
      </c>
      <c r="I918" s="33" t="n">
        <v>39433.44</v>
      </c>
      <c r="J918" s="33" t="n">
        <v>39433.44</v>
      </c>
    </row>
    <row r="919" customFormat="false" ht="15" hidden="false" customHeight="false" outlineLevel="0" collapsed="false">
      <c r="A919" s="3" t="s">
        <v>1309</v>
      </c>
      <c r="B919" s="3" t="s">
        <v>282</v>
      </c>
      <c r="C919" s="3" t="s">
        <v>401</v>
      </c>
      <c r="D919" s="3" t="s">
        <v>392</v>
      </c>
      <c r="E919" s="3" t="s">
        <v>398</v>
      </c>
      <c r="F919" s="16" t="n">
        <v>24</v>
      </c>
      <c r="G919" s="15" t="n">
        <v>0</v>
      </c>
      <c r="H919" s="16" t="n">
        <v>24</v>
      </c>
      <c r="I919" s="33" t="n">
        <v>39424.8</v>
      </c>
      <c r="J919" s="33" t="n">
        <v>39424.8</v>
      </c>
    </row>
    <row r="920" customFormat="false" ht="15" hidden="false" customHeight="false" outlineLevel="0" collapsed="false">
      <c r="A920" s="3" t="s">
        <v>1310</v>
      </c>
      <c r="B920" s="3" t="s">
        <v>282</v>
      </c>
      <c r="C920" s="3" t="s">
        <v>403</v>
      </c>
      <c r="D920" s="3" t="s">
        <v>392</v>
      </c>
      <c r="E920" s="3" t="s">
        <v>398</v>
      </c>
      <c r="F920" s="16" t="n">
        <v>12</v>
      </c>
      <c r="G920" s="15" t="n">
        <v>0.1</v>
      </c>
      <c r="H920" s="16" t="n">
        <v>12</v>
      </c>
      <c r="I920" s="33" t="n">
        <v>39422.88</v>
      </c>
      <c r="J920" s="33" t="n">
        <v>43803.12</v>
      </c>
    </row>
    <row r="921" customFormat="false" ht="15" hidden="false" customHeight="false" outlineLevel="0" collapsed="false">
      <c r="A921" s="3" t="s">
        <v>1311</v>
      </c>
      <c r="B921" s="3" t="s">
        <v>282</v>
      </c>
      <c r="C921" s="3" t="s">
        <v>384</v>
      </c>
      <c r="D921" s="3" t="s">
        <v>381</v>
      </c>
      <c r="E921" s="3" t="s">
        <v>382</v>
      </c>
      <c r="F921" s="16" t="n">
        <v>24</v>
      </c>
      <c r="G921" s="15" t="n">
        <v>0</v>
      </c>
      <c r="H921" s="16" t="n">
        <v>2</v>
      </c>
      <c r="I921" s="33" t="n">
        <v>39376.8</v>
      </c>
      <c r="J921" s="33" t="n">
        <v>39376.8</v>
      </c>
    </row>
    <row r="922" customFormat="false" ht="15" hidden="false" customHeight="false" outlineLevel="0" collapsed="false">
      <c r="A922" s="3" t="s">
        <v>1312</v>
      </c>
      <c r="B922" s="3" t="s">
        <v>282</v>
      </c>
      <c r="C922" s="3" t="s">
        <v>384</v>
      </c>
      <c r="D922" s="3" t="s">
        <v>392</v>
      </c>
      <c r="E922" s="3" t="s">
        <v>398</v>
      </c>
      <c r="F922" s="16" t="n">
        <v>12</v>
      </c>
      <c r="G922" s="15" t="n">
        <v>0</v>
      </c>
      <c r="H922" s="16" t="n">
        <v>3</v>
      </c>
      <c r="I922" s="33" t="n">
        <v>39373.08</v>
      </c>
      <c r="J922" s="33" t="n">
        <v>39373.08</v>
      </c>
    </row>
    <row r="923" customFormat="false" ht="15" hidden="false" customHeight="false" outlineLevel="0" collapsed="false">
      <c r="A923" s="3" t="s">
        <v>1313</v>
      </c>
      <c r="B923" s="3" t="s">
        <v>282</v>
      </c>
      <c r="C923" s="3" t="s">
        <v>401</v>
      </c>
      <c r="D923" s="3" t="s">
        <v>418</v>
      </c>
      <c r="E923" s="3" t="s">
        <v>398</v>
      </c>
      <c r="F923" s="16" t="n">
        <v>12</v>
      </c>
      <c r="G923" s="15" t="n">
        <v>0.05</v>
      </c>
      <c r="H923" s="16" t="n">
        <v>7</v>
      </c>
      <c r="I923" s="33" t="n">
        <v>39340.68</v>
      </c>
      <c r="J923" s="33" t="n">
        <v>41411.28</v>
      </c>
    </row>
    <row r="924" customFormat="false" ht="15" hidden="false" customHeight="false" outlineLevel="0" collapsed="false">
      <c r="A924" s="3" t="s">
        <v>1314</v>
      </c>
      <c r="B924" s="3" t="s">
        <v>282</v>
      </c>
      <c r="C924" s="3" t="s">
        <v>396</v>
      </c>
      <c r="D924" s="3" t="s">
        <v>392</v>
      </c>
      <c r="E924" s="3" t="s">
        <v>385</v>
      </c>
      <c r="F924" s="16" t="n">
        <v>12</v>
      </c>
      <c r="G924" s="15" t="n">
        <v>0.1</v>
      </c>
      <c r="H924" s="16" t="n">
        <v>4</v>
      </c>
      <c r="I924" s="33" t="n">
        <v>39225.84</v>
      </c>
      <c r="J924" s="33" t="n">
        <v>43584.24</v>
      </c>
    </row>
    <row r="925" customFormat="false" ht="15" hidden="false" customHeight="false" outlineLevel="0" collapsed="false">
      <c r="A925" s="3" t="s">
        <v>1315</v>
      </c>
      <c r="B925" s="3" t="s">
        <v>282</v>
      </c>
      <c r="C925" s="3" t="s">
        <v>401</v>
      </c>
      <c r="D925" s="3" t="s">
        <v>392</v>
      </c>
      <c r="E925" s="3" t="s">
        <v>398</v>
      </c>
      <c r="F925" s="16" t="n">
        <v>12</v>
      </c>
      <c r="G925" s="15" t="n">
        <v>0</v>
      </c>
      <c r="H925" s="16" t="n">
        <v>12</v>
      </c>
      <c r="I925" s="33" t="n">
        <v>39202.2</v>
      </c>
      <c r="J925" s="33" t="n">
        <v>39202.2</v>
      </c>
    </row>
    <row r="926" customFormat="false" ht="15" hidden="false" customHeight="false" outlineLevel="0" collapsed="false">
      <c r="A926" s="3" t="s">
        <v>1316</v>
      </c>
      <c r="B926" s="3" t="s">
        <v>282</v>
      </c>
      <c r="C926" s="3" t="s">
        <v>384</v>
      </c>
      <c r="D926" s="3" t="s">
        <v>418</v>
      </c>
      <c r="E926" s="3" t="s">
        <v>382</v>
      </c>
      <c r="F926" s="16" t="n">
        <v>24</v>
      </c>
      <c r="G926" s="15" t="n">
        <v>0</v>
      </c>
      <c r="H926" s="16" t="n">
        <v>19</v>
      </c>
      <c r="I926" s="33" t="n">
        <v>39177</v>
      </c>
      <c r="J926" s="33" t="n">
        <v>39177</v>
      </c>
    </row>
    <row r="927" customFormat="false" ht="15" hidden="false" customHeight="false" outlineLevel="0" collapsed="false">
      <c r="A927" s="3" t="s">
        <v>1317</v>
      </c>
      <c r="B927" s="3" t="s">
        <v>282</v>
      </c>
      <c r="C927" s="3" t="s">
        <v>405</v>
      </c>
      <c r="D927" s="3" t="s">
        <v>381</v>
      </c>
      <c r="E927" s="3" t="s">
        <v>398</v>
      </c>
      <c r="F927" s="16" t="n">
        <v>12</v>
      </c>
      <c r="G927" s="15" t="n">
        <v>0.3</v>
      </c>
      <c r="H927" s="16" t="n">
        <v>5</v>
      </c>
      <c r="I927" s="33" t="n">
        <v>39176.16</v>
      </c>
      <c r="J927" s="33" t="n">
        <v>55965.96</v>
      </c>
    </row>
    <row r="928" customFormat="false" ht="15" hidden="false" customHeight="false" outlineLevel="0" collapsed="false">
      <c r="A928" s="3" t="s">
        <v>1318</v>
      </c>
      <c r="B928" s="3" t="s">
        <v>282</v>
      </c>
      <c r="C928" s="3" t="s">
        <v>401</v>
      </c>
      <c r="D928" s="3" t="s">
        <v>418</v>
      </c>
      <c r="E928" s="3" t="s">
        <v>398</v>
      </c>
      <c r="F928" s="16" t="n">
        <v>24</v>
      </c>
      <c r="G928" s="15" t="n">
        <v>0.15</v>
      </c>
      <c r="H928" s="16" t="n">
        <v>12</v>
      </c>
      <c r="I928" s="33" t="n">
        <v>39171.84</v>
      </c>
      <c r="J928" s="33" t="n">
        <v>46084.56</v>
      </c>
    </row>
    <row r="929" customFormat="false" ht="15" hidden="false" customHeight="false" outlineLevel="0" collapsed="false">
      <c r="A929" s="3" t="s">
        <v>1319</v>
      </c>
      <c r="B929" s="3" t="s">
        <v>282</v>
      </c>
      <c r="C929" s="3" t="s">
        <v>403</v>
      </c>
      <c r="D929" s="3" t="s">
        <v>388</v>
      </c>
      <c r="E929" s="3" t="s">
        <v>398</v>
      </c>
      <c r="F929" s="16" t="n">
        <v>12</v>
      </c>
      <c r="G929" s="15" t="n">
        <v>0</v>
      </c>
      <c r="H929" s="16" t="n">
        <v>6</v>
      </c>
      <c r="I929" s="33" t="n">
        <v>39006.48</v>
      </c>
      <c r="J929" s="33" t="n">
        <v>39006.48</v>
      </c>
    </row>
    <row r="930" customFormat="false" ht="15" hidden="false" customHeight="false" outlineLevel="0" collapsed="false">
      <c r="A930" s="3" t="s">
        <v>1320</v>
      </c>
      <c r="B930" s="3" t="s">
        <v>282</v>
      </c>
      <c r="C930" s="3" t="s">
        <v>384</v>
      </c>
      <c r="D930" s="3" t="s">
        <v>381</v>
      </c>
      <c r="E930" s="3" t="s">
        <v>398</v>
      </c>
      <c r="F930" s="16" t="n">
        <v>12</v>
      </c>
      <c r="G930" s="15" t="n">
        <v>0</v>
      </c>
      <c r="H930" s="16" t="n">
        <v>9</v>
      </c>
      <c r="I930" s="33" t="n">
        <v>38969.88</v>
      </c>
      <c r="J930" s="33" t="n">
        <v>38969.88</v>
      </c>
    </row>
    <row r="931" customFormat="false" ht="15" hidden="false" customHeight="false" outlineLevel="0" collapsed="false">
      <c r="A931" s="3" t="s">
        <v>1321</v>
      </c>
      <c r="B931" s="3" t="s">
        <v>282</v>
      </c>
      <c r="C931" s="3" t="s">
        <v>403</v>
      </c>
      <c r="D931" s="3" t="s">
        <v>418</v>
      </c>
      <c r="E931" s="3" t="s">
        <v>398</v>
      </c>
      <c r="F931" s="16" t="n">
        <v>12</v>
      </c>
      <c r="G931" s="15" t="n">
        <v>0</v>
      </c>
      <c r="H931" s="16" t="n">
        <v>11</v>
      </c>
      <c r="I931" s="33" t="n">
        <v>38888.28</v>
      </c>
      <c r="J931" s="33" t="n">
        <v>38888.28</v>
      </c>
    </row>
    <row r="932" customFormat="false" ht="15" hidden="false" customHeight="false" outlineLevel="0" collapsed="false">
      <c r="A932" s="3" t="s">
        <v>1322</v>
      </c>
      <c r="B932" s="3" t="s">
        <v>282</v>
      </c>
      <c r="C932" s="3" t="s">
        <v>384</v>
      </c>
      <c r="D932" s="3" t="s">
        <v>388</v>
      </c>
      <c r="E932" s="3" t="s">
        <v>385</v>
      </c>
      <c r="F932" s="16" t="n">
        <v>24</v>
      </c>
      <c r="G932" s="15" t="n">
        <v>0.3</v>
      </c>
      <c r="H932" s="16" t="n">
        <v>12</v>
      </c>
      <c r="I932" s="33" t="n">
        <v>38857.8</v>
      </c>
      <c r="J932" s="33" t="n">
        <v>55511.04</v>
      </c>
    </row>
    <row r="933" customFormat="false" ht="15" hidden="false" customHeight="false" outlineLevel="0" collapsed="false">
      <c r="A933" s="3" t="s">
        <v>1323</v>
      </c>
      <c r="B933" s="3" t="s">
        <v>282</v>
      </c>
      <c r="C933" s="3" t="s">
        <v>396</v>
      </c>
      <c r="D933" s="3" t="s">
        <v>392</v>
      </c>
      <c r="E933" s="3" t="s">
        <v>382</v>
      </c>
      <c r="F933" s="16" t="n">
        <v>24</v>
      </c>
      <c r="G933" s="15" t="n">
        <v>0.1</v>
      </c>
      <c r="H933" s="16" t="n">
        <v>18</v>
      </c>
      <c r="I933" s="33" t="n">
        <v>38817.24</v>
      </c>
      <c r="J933" s="33" t="n">
        <v>43130.28</v>
      </c>
    </row>
    <row r="934" customFormat="false" ht="15" hidden="false" customHeight="false" outlineLevel="0" collapsed="false">
      <c r="A934" s="3" t="s">
        <v>1324</v>
      </c>
      <c r="B934" s="3" t="s">
        <v>282</v>
      </c>
      <c r="C934" s="3" t="s">
        <v>401</v>
      </c>
      <c r="D934" s="3" t="s">
        <v>388</v>
      </c>
      <c r="E934" s="3" t="s">
        <v>385</v>
      </c>
      <c r="F934" s="16" t="n">
        <v>24</v>
      </c>
      <c r="G934" s="15" t="n">
        <v>0</v>
      </c>
      <c r="H934" s="16" t="n">
        <v>4</v>
      </c>
      <c r="I934" s="33" t="n">
        <v>38765.52</v>
      </c>
      <c r="J934" s="33" t="n">
        <v>38765.52</v>
      </c>
    </row>
    <row r="935" customFormat="false" ht="15" hidden="false" customHeight="false" outlineLevel="0" collapsed="false">
      <c r="A935" s="3" t="s">
        <v>1325</v>
      </c>
      <c r="B935" s="3" t="s">
        <v>282</v>
      </c>
      <c r="C935" s="3" t="s">
        <v>384</v>
      </c>
      <c r="D935" s="3" t="s">
        <v>381</v>
      </c>
      <c r="E935" s="3" t="s">
        <v>382</v>
      </c>
      <c r="F935" s="16" t="n">
        <v>24</v>
      </c>
      <c r="G935" s="15" t="n">
        <v>0</v>
      </c>
      <c r="H935" s="16" t="n">
        <v>9</v>
      </c>
      <c r="I935" s="33" t="n">
        <v>38723.28</v>
      </c>
      <c r="J935" s="33" t="n">
        <v>38723.28</v>
      </c>
    </row>
    <row r="936" customFormat="false" ht="15" hidden="false" customHeight="false" outlineLevel="0" collapsed="false">
      <c r="A936" s="3" t="s">
        <v>1326</v>
      </c>
      <c r="B936" s="3" t="s">
        <v>282</v>
      </c>
      <c r="C936" s="3" t="s">
        <v>401</v>
      </c>
      <c r="D936" s="3" t="s">
        <v>418</v>
      </c>
      <c r="E936" s="3" t="s">
        <v>398</v>
      </c>
      <c r="F936" s="16" t="n">
        <v>24</v>
      </c>
      <c r="G936" s="15" t="n">
        <v>0</v>
      </c>
      <c r="H936" s="16" t="n">
        <v>20</v>
      </c>
      <c r="I936" s="33" t="n">
        <v>38722.44</v>
      </c>
      <c r="J936" s="33" t="n">
        <v>38722.44</v>
      </c>
    </row>
    <row r="937" customFormat="false" ht="15" hidden="false" customHeight="false" outlineLevel="0" collapsed="false">
      <c r="A937" s="3" t="s">
        <v>1327</v>
      </c>
      <c r="B937" s="3" t="s">
        <v>282</v>
      </c>
      <c r="C937" s="3" t="s">
        <v>401</v>
      </c>
      <c r="D937" s="3" t="s">
        <v>381</v>
      </c>
      <c r="E937" s="3" t="s">
        <v>385</v>
      </c>
      <c r="F937" s="16" t="n">
        <v>24</v>
      </c>
      <c r="G937" s="15" t="n">
        <v>0</v>
      </c>
      <c r="H937" s="16" t="n">
        <v>17</v>
      </c>
      <c r="I937" s="33" t="n">
        <v>38637.36</v>
      </c>
      <c r="J937" s="33" t="n">
        <v>38637.36</v>
      </c>
    </row>
    <row r="938" customFormat="false" ht="15" hidden="false" customHeight="false" outlineLevel="0" collapsed="false">
      <c r="A938" s="3" t="s">
        <v>1328</v>
      </c>
      <c r="B938" s="3" t="s">
        <v>282</v>
      </c>
      <c r="C938" s="3" t="s">
        <v>387</v>
      </c>
      <c r="D938" s="3" t="s">
        <v>381</v>
      </c>
      <c r="E938" s="3" t="s">
        <v>385</v>
      </c>
      <c r="F938" s="16" t="n">
        <v>12</v>
      </c>
      <c r="G938" s="15" t="n">
        <v>0.1</v>
      </c>
      <c r="H938" s="16" t="n">
        <v>7</v>
      </c>
      <c r="I938" s="33" t="n">
        <v>38619.36</v>
      </c>
      <c r="J938" s="33" t="n">
        <v>42910.44</v>
      </c>
    </row>
    <row r="939" customFormat="false" ht="15" hidden="false" customHeight="false" outlineLevel="0" collapsed="false">
      <c r="A939" s="3" t="s">
        <v>1329</v>
      </c>
      <c r="B939" s="3" t="s">
        <v>282</v>
      </c>
      <c r="C939" s="3" t="s">
        <v>384</v>
      </c>
      <c r="D939" s="3" t="s">
        <v>692</v>
      </c>
      <c r="E939" s="3" t="s">
        <v>398</v>
      </c>
      <c r="F939" s="16" t="n">
        <v>24</v>
      </c>
      <c r="G939" s="15" t="n">
        <v>0</v>
      </c>
      <c r="H939" s="16" t="n">
        <v>22</v>
      </c>
      <c r="I939" s="33" t="n">
        <v>38574.72</v>
      </c>
      <c r="J939" s="33" t="n">
        <v>38574.72</v>
      </c>
    </row>
    <row r="940" customFormat="false" ht="15" hidden="false" customHeight="false" outlineLevel="0" collapsed="false">
      <c r="A940" s="3" t="s">
        <v>1330</v>
      </c>
      <c r="B940" s="3" t="s">
        <v>282</v>
      </c>
      <c r="C940" s="3" t="s">
        <v>401</v>
      </c>
      <c r="D940" s="3" t="s">
        <v>381</v>
      </c>
      <c r="E940" s="3" t="s">
        <v>398</v>
      </c>
      <c r="F940" s="16" t="n">
        <v>12</v>
      </c>
      <c r="G940" s="15" t="n">
        <v>0</v>
      </c>
      <c r="H940" s="16" t="n">
        <v>5</v>
      </c>
      <c r="I940" s="33" t="n">
        <v>38511.36</v>
      </c>
      <c r="J940" s="33" t="n">
        <v>38511.36</v>
      </c>
    </row>
    <row r="941" customFormat="false" ht="15" hidden="false" customHeight="false" outlineLevel="0" collapsed="false">
      <c r="A941" s="3" t="s">
        <v>1331</v>
      </c>
      <c r="B941" s="3" t="s">
        <v>282</v>
      </c>
      <c r="C941" s="3" t="s">
        <v>401</v>
      </c>
      <c r="D941" s="3" t="s">
        <v>381</v>
      </c>
      <c r="E941" s="3" t="s">
        <v>398</v>
      </c>
      <c r="F941" s="16" t="n">
        <v>12</v>
      </c>
      <c r="G941" s="15" t="n">
        <v>0.1</v>
      </c>
      <c r="H941" s="16" t="n">
        <v>1</v>
      </c>
      <c r="I941" s="33" t="n">
        <v>38391.72</v>
      </c>
      <c r="J941" s="33" t="n">
        <v>42657.48</v>
      </c>
    </row>
    <row r="942" customFormat="false" ht="15" hidden="false" customHeight="false" outlineLevel="0" collapsed="false">
      <c r="A942" s="3" t="s">
        <v>1332</v>
      </c>
      <c r="B942" s="3" t="s">
        <v>282</v>
      </c>
      <c r="C942" s="3" t="s">
        <v>396</v>
      </c>
      <c r="D942" s="3" t="s">
        <v>392</v>
      </c>
      <c r="E942" s="3" t="s">
        <v>385</v>
      </c>
      <c r="F942" s="16" t="n">
        <v>24</v>
      </c>
      <c r="G942" s="15" t="n">
        <v>0</v>
      </c>
      <c r="H942" s="16" t="n">
        <v>11</v>
      </c>
      <c r="I942" s="33" t="n">
        <v>38391.48</v>
      </c>
      <c r="J942" s="33" t="n">
        <v>38391.48</v>
      </c>
    </row>
    <row r="943" customFormat="false" ht="15" hidden="false" customHeight="false" outlineLevel="0" collapsed="false">
      <c r="A943" s="3" t="s">
        <v>1333</v>
      </c>
      <c r="B943" s="3" t="s">
        <v>282</v>
      </c>
      <c r="C943" s="3" t="s">
        <v>396</v>
      </c>
      <c r="D943" s="3" t="s">
        <v>381</v>
      </c>
      <c r="E943" s="3" t="s">
        <v>385</v>
      </c>
      <c r="F943" s="16" t="n">
        <v>12</v>
      </c>
      <c r="G943" s="15" t="n">
        <v>0</v>
      </c>
      <c r="H943" s="16" t="n">
        <v>12</v>
      </c>
      <c r="I943" s="33" t="n">
        <v>38383.8</v>
      </c>
      <c r="J943" s="33" t="n">
        <v>38383.8</v>
      </c>
    </row>
    <row r="944" customFormat="false" ht="15" hidden="false" customHeight="false" outlineLevel="0" collapsed="false">
      <c r="A944" s="3" t="s">
        <v>1334</v>
      </c>
      <c r="B944" s="3" t="s">
        <v>282</v>
      </c>
      <c r="C944" s="3" t="s">
        <v>403</v>
      </c>
      <c r="D944" s="3" t="s">
        <v>392</v>
      </c>
      <c r="E944" s="3" t="s">
        <v>398</v>
      </c>
      <c r="F944" s="16" t="n">
        <v>24</v>
      </c>
      <c r="G944" s="15" t="n">
        <v>0.1</v>
      </c>
      <c r="H944" s="16" t="n">
        <v>15</v>
      </c>
      <c r="I944" s="33" t="n">
        <v>38382.24</v>
      </c>
      <c r="J944" s="33" t="n">
        <v>42647.04</v>
      </c>
    </row>
    <row r="945" customFormat="false" ht="15" hidden="false" customHeight="false" outlineLevel="0" collapsed="false">
      <c r="A945" s="3" t="s">
        <v>1335</v>
      </c>
      <c r="B945" s="3" t="s">
        <v>282</v>
      </c>
      <c r="C945" s="3" t="s">
        <v>396</v>
      </c>
      <c r="D945" s="3" t="s">
        <v>381</v>
      </c>
      <c r="E945" s="3" t="s">
        <v>385</v>
      </c>
      <c r="F945" s="16" t="n">
        <v>24</v>
      </c>
      <c r="G945" s="15" t="n">
        <v>0.2</v>
      </c>
      <c r="H945" s="16" t="n">
        <v>16</v>
      </c>
      <c r="I945" s="33" t="n">
        <v>38370.6</v>
      </c>
      <c r="J945" s="33" t="n">
        <v>47963.28</v>
      </c>
    </row>
    <row r="946" customFormat="false" ht="15" hidden="false" customHeight="false" outlineLevel="0" collapsed="false">
      <c r="A946" s="3" t="s">
        <v>1336</v>
      </c>
      <c r="B946" s="3" t="s">
        <v>282</v>
      </c>
      <c r="C946" s="3" t="s">
        <v>380</v>
      </c>
      <c r="D946" s="3" t="s">
        <v>418</v>
      </c>
      <c r="E946" s="3" t="s">
        <v>385</v>
      </c>
      <c r="F946" s="16" t="n">
        <v>24</v>
      </c>
      <c r="G946" s="15" t="n">
        <v>0.1</v>
      </c>
      <c r="H946" s="16" t="n">
        <v>5</v>
      </c>
      <c r="I946" s="33" t="n">
        <v>38356.92</v>
      </c>
      <c r="J946" s="33" t="n">
        <v>42618.84</v>
      </c>
    </row>
    <row r="947" customFormat="false" ht="15" hidden="false" customHeight="false" outlineLevel="0" collapsed="false">
      <c r="A947" s="3" t="s">
        <v>1337</v>
      </c>
      <c r="B947" s="3" t="s">
        <v>282</v>
      </c>
      <c r="C947" s="3" t="s">
        <v>403</v>
      </c>
      <c r="D947" s="3" t="s">
        <v>418</v>
      </c>
      <c r="E947" s="3" t="s">
        <v>385</v>
      </c>
      <c r="F947" s="16" t="n">
        <v>24</v>
      </c>
      <c r="G947" s="15" t="n">
        <v>0</v>
      </c>
      <c r="H947" s="16" t="n">
        <v>20</v>
      </c>
      <c r="I947" s="33" t="n">
        <v>38353.08</v>
      </c>
      <c r="J947" s="33" t="n">
        <v>38353.08</v>
      </c>
    </row>
    <row r="948" customFormat="false" ht="15" hidden="false" customHeight="false" outlineLevel="0" collapsed="false">
      <c r="A948" s="3" t="s">
        <v>1338</v>
      </c>
      <c r="B948" s="3" t="s">
        <v>282</v>
      </c>
      <c r="C948" s="3" t="s">
        <v>387</v>
      </c>
      <c r="D948" s="3" t="s">
        <v>418</v>
      </c>
      <c r="E948" s="3" t="s">
        <v>398</v>
      </c>
      <c r="F948" s="16" t="n">
        <v>12</v>
      </c>
      <c r="G948" s="15" t="n">
        <v>0</v>
      </c>
      <c r="H948" s="16" t="n">
        <v>3</v>
      </c>
      <c r="I948" s="33" t="n">
        <v>38321.28</v>
      </c>
      <c r="J948" s="33" t="n">
        <v>38321.28</v>
      </c>
    </row>
    <row r="949" customFormat="false" ht="15" hidden="false" customHeight="false" outlineLevel="0" collapsed="false">
      <c r="A949" s="3" t="s">
        <v>1339</v>
      </c>
      <c r="B949" s="3" t="s">
        <v>282</v>
      </c>
      <c r="C949" s="3" t="s">
        <v>380</v>
      </c>
      <c r="D949" s="3" t="s">
        <v>381</v>
      </c>
      <c r="E949" s="3" t="s">
        <v>385</v>
      </c>
      <c r="F949" s="16" t="n">
        <v>12</v>
      </c>
      <c r="G949" s="15" t="n">
        <v>0</v>
      </c>
      <c r="H949" s="16" t="n">
        <v>5</v>
      </c>
      <c r="I949" s="33" t="n">
        <v>38207.28</v>
      </c>
      <c r="J949" s="33" t="n">
        <v>38207.28</v>
      </c>
    </row>
    <row r="950" customFormat="false" ht="15" hidden="false" customHeight="false" outlineLevel="0" collapsed="false">
      <c r="A950" s="3" t="s">
        <v>1340</v>
      </c>
      <c r="B950" s="3" t="s">
        <v>282</v>
      </c>
      <c r="C950" s="3" t="s">
        <v>396</v>
      </c>
      <c r="D950" s="3" t="s">
        <v>418</v>
      </c>
      <c r="E950" s="3" t="s">
        <v>382</v>
      </c>
      <c r="F950" s="16" t="n">
        <v>12</v>
      </c>
      <c r="G950" s="15" t="n">
        <v>0.1</v>
      </c>
      <c r="H950" s="16" t="n">
        <v>11</v>
      </c>
      <c r="I950" s="33" t="n">
        <v>38168.64</v>
      </c>
      <c r="J950" s="33" t="n">
        <v>42409.56</v>
      </c>
    </row>
    <row r="951" customFormat="false" ht="15" hidden="false" customHeight="false" outlineLevel="0" collapsed="false">
      <c r="A951" s="3" t="s">
        <v>1341</v>
      </c>
      <c r="B951" s="3" t="s">
        <v>282</v>
      </c>
      <c r="C951" s="3" t="s">
        <v>405</v>
      </c>
      <c r="D951" s="3" t="s">
        <v>388</v>
      </c>
      <c r="E951" s="3" t="s">
        <v>398</v>
      </c>
      <c r="F951" s="16" t="n">
        <v>12</v>
      </c>
      <c r="G951" s="15" t="n">
        <v>0</v>
      </c>
      <c r="H951" s="16" t="n">
        <v>9</v>
      </c>
      <c r="I951" s="33" t="n">
        <v>38137.8</v>
      </c>
      <c r="J951" s="33" t="n">
        <v>38137.8</v>
      </c>
    </row>
    <row r="952" customFormat="false" ht="15" hidden="false" customHeight="false" outlineLevel="0" collapsed="false">
      <c r="A952" s="3" t="s">
        <v>1342</v>
      </c>
      <c r="B952" s="3" t="s">
        <v>282</v>
      </c>
      <c r="C952" s="3" t="s">
        <v>403</v>
      </c>
      <c r="D952" s="3" t="s">
        <v>381</v>
      </c>
      <c r="E952" s="3" t="s">
        <v>385</v>
      </c>
      <c r="F952" s="16" t="n">
        <v>24</v>
      </c>
      <c r="G952" s="15" t="n">
        <v>0</v>
      </c>
      <c r="H952" s="16" t="n">
        <v>18</v>
      </c>
      <c r="I952" s="33" t="n">
        <v>38135.64</v>
      </c>
      <c r="J952" s="33" t="n">
        <v>38135.64</v>
      </c>
    </row>
    <row r="953" customFormat="false" ht="15" hidden="false" customHeight="false" outlineLevel="0" collapsed="false">
      <c r="A953" s="3" t="s">
        <v>1343</v>
      </c>
      <c r="B953" s="3" t="s">
        <v>282</v>
      </c>
      <c r="C953" s="3" t="s">
        <v>401</v>
      </c>
      <c r="D953" s="3" t="s">
        <v>388</v>
      </c>
      <c r="E953" s="3" t="s">
        <v>398</v>
      </c>
      <c r="F953" s="16" t="n">
        <v>12</v>
      </c>
      <c r="G953" s="15" t="n">
        <v>0</v>
      </c>
      <c r="H953" s="16" t="n">
        <v>6</v>
      </c>
      <c r="I953" s="33" t="n">
        <v>38110.92</v>
      </c>
      <c r="J953" s="33" t="n">
        <v>38110.92</v>
      </c>
    </row>
    <row r="954" customFormat="false" ht="15" hidden="false" customHeight="false" outlineLevel="0" collapsed="false">
      <c r="A954" s="3" t="s">
        <v>1344</v>
      </c>
      <c r="B954" s="3" t="s">
        <v>282</v>
      </c>
      <c r="C954" s="3" t="s">
        <v>401</v>
      </c>
      <c r="D954" s="3" t="s">
        <v>392</v>
      </c>
      <c r="E954" s="3" t="s">
        <v>398</v>
      </c>
      <c r="F954" s="16" t="n">
        <v>12</v>
      </c>
      <c r="G954" s="15" t="n">
        <v>0.1</v>
      </c>
      <c r="H954" s="16" t="n">
        <v>8</v>
      </c>
      <c r="I954" s="33" t="n">
        <v>38053.92</v>
      </c>
      <c r="J954" s="33" t="n">
        <v>42282.12</v>
      </c>
    </row>
    <row r="955" customFormat="false" ht="15" hidden="false" customHeight="false" outlineLevel="0" collapsed="false">
      <c r="A955" s="3" t="s">
        <v>1345</v>
      </c>
      <c r="B955" s="3" t="s">
        <v>282</v>
      </c>
      <c r="C955" s="3" t="s">
        <v>384</v>
      </c>
      <c r="D955" s="3" t="s">
        <v>392</v>
      </c>
      <c r="E955" s="3" t="s">
        <v>382</v>
      </c>
      <c r="F955" s="16" t="n">
        <v>24</v>
      </c>
      <c r="G955" s="15" t="n">
        <v>0</v>
      </c>
      <c r="H955" s="16" t="n">
        <v>18</v>
      </c>
      <c r="I955" s="33" t="n">
        <v>37951.44</v>
      </c>
      <c r="J955" s="33" t="n">
        <v>37951.44</v>
      </c>
    </row>
    <row r="956" customFormat="false" ht="15" hidden="false" customHeight="false" outlineLevel="0" collapsed="false">
      <c r="A956" s="3" t="s">
        <v>1346</v>
      </c>
      <c r="B956" s="3" t="s">
        <v>282</v>
      </c>
      <c r="C956" s="3" t="s">
        <v>396</v>
      </c>
      <c r="D956" s="3" t="s">
        <v>418</v>
      </c>
      <c r="E956" s="3" t="s">
        <v>398</v>
      </c>
      <c r="F956" s="16" t="n">
        <v>12</v>
      </c>
      <c r="G956" s="15" t="n">
        <v>0</v>
      </c>
      <c r="H956" s="16" t="n">
        <v>4</v>
      </c>
      <c r="I956" s="33" t="n">
        <v>37924.2</v>
      </c>
      <c r="J956" s="33" t="n">
        <v>37924.2</v>
      </c>
    </row>
    <row r="957" customFormat="false" ht="15" hidden="false" customHeight="false" outlineLevel="0" collapsed="false">
      <c r="A957" s="3" t="s">
        <v>1347</v>
      </c>
      <c r="B957" s="3" t="s">
        <v>282</v>
      </c>
      <c r="C957" s="3" t="s">
        <v>387</v>
      </c>
      <c r="D957" s="3" t="s">
        <v>692</v>
      </c>
      <c r="E957" s="3" t="s">
        <v>385</v>
      </c>
      <c r="F957" s="16" t="n">
        <v>12</v>
      </c>
      <c r="G957" s="15" t="n">
        <v>0</v>
      </c>
      <c r="H957" s="16" t="n">
        <v>6</v>
      </c>
      <c r="I957" s="33" t="n">
        <v>37918.32</v>
      </c>
      <c r="J957" s="33" t="n">
        <v>37918.32</v>
      </c>
    </row>
    <row r="958" customFormat="false" ht="15" hidden="false" customHeight="false" outlineLevel="0" collapsed="false">
      <c r="A958" s="3" t="s">
        <v>1348</v>
      </c>
      <c r="B958" s="3" t="s">
        <v>282</v>
      </c>
      <c r="C958" s="3" t="s">
        <v>384</v>
      </c>
      <c r="D958" s="3" t="s">
        <v>381</v>
      </c>
      <c r="E958" s="3" t="s">
        <v>398</v>
      </c>
      <c r="F958" s="16" t="n">
        <v>12</v>
      </c>
      <c r="G958" s="15" t="n">
        <v>0.2</v>
      </c>
      <c r="H958" s="16" t="n">
        <v>3</v>
      </c>
      <c r="I958" s="33" t="n">
        <v>37914.12</v>
      </c>
      <c r="J958" s="33" t="n">
        <v>47392.68</v>
      </c>
    </row>
    <row r="959" customFormat="false" ht="15" hidden="false" customHeight="false" outlineLevel="0" collapsed="false">
      <c r="A959" s="3" t="s">
        <v>1349</v>
      </c>
      <c r="B959" s="3" t="s">
        <v>282</v>
      </c>
      <c r="C959" s="3" t="s">
        <v>405</v>
      </c>
      <c r="D959" s="3" t="s">
        <v>381</v>
      </c>
      <c r="E959" s="3" t="s">
        <v>398</v>
      </c>
      <c r="F959" s="16" t="n">
        <v>12</v>
      </c>
      <c r="G959" s="15" t="n">
        <v>0.2</v>
      </c>
      <c r="H959" s="16" t="n">
        <v>3</v>
      </c>
      <c r="I959" s="33" t="n">
        <v>37887.84</v>
      </c>
      <c r="J959" s="33" t="n">
        <v>47359.8</v>
      </c>
    </row>
    <row r="960" customFormat="false" ht="15" hidden="false" customHeight="false" outlineLevel="0" collapsed="false">
      <c r="A960" s="3" t="s">
        <v>1350</v>
      </c>
      <c r="B960" s="3" t="s">
        <v>282</v>
      </c>
      <c r="C960" s="3" t="s">
        <v>403</v>
      </c>
      <c r="D960" s="3" t="s">
        <v>392</v>
      </c>
      <c r="E960" s="3" t="s">
        <v>385</v>
      </c>
      <c r="F960" s="16" t="n">
        <v>12</v>
      </c>
      <c r="G960" s="15" t="n">
        <v>0</v>
      </c>
      <c r="H960" s="16" t="n">
        <v>5</v>
      </c>
      <c r="I960" s="33" t="n">
        <v>37848.6</v>
      </c>
      <c r="J960" s="33" t="n">
        <v>37848.6</v>
      </c>
    </row>
    <row r="961" customFormat="false" ht="15" hidden="false" customHeight="false" outlineLevel="0" collapsed="false">
      <c r="A961" s="3" t="s">
        <v>1351</v>
      </c>
      <c r="B961" s="3" t="s">
        <v>282</v>
      </c>
      <c r="C961" s="3" t="s">
        <v>396</v>
      </c>
      <c r="D961" s="3" t="s">
        <v>692</v>
      </c>
      <c r="E961" s="3" t="s">
        <v>385</v>
      </c>
      <c r="F961" s="16" t="n">
        <v>12</v>
      </c>
      <c r="G961" s="15" t="n">
        <v>0.15</v>
      </c>
      <c r="H961" s="16" t="n">
        <v>5</v>
      </c>
      <c r="I961" s="33" t="n">
        <v>37842.36</v>
      </c>
      <c r="J961" s="33" t="n">
        <v>44520.48</v>
      </c>
    </row>
    <row r="962" customFormat="false" ht="15" hidden="false" customHeight="false" outlineLevel="0" collapsed="false">
      <c r="A962" s="3" t="s">
        <v>1352</v>
      </c>
      <c r="B962" s="3" t="s">
        <v>282</v>
      </c>
      <c r="C962" s="3" t="s">
        <v>387</v>
      </c>
      <c r="D962" s="3" t="s">
        <v>392</v>
      </c>
      <c r="E962" s="3" t="s">
        <v>398</v>
      </c>
      <c r="F962" s="16" t="n">
        <v>12</v>
      </c>
      <c r="G962" s="15" t="n">
        <v>0</v>
      </c>
      <c r="H962" s="16" t="n">
        <v>1</v>
      </c>
      <c r="I962" s="33" t="n">
        <v>37818.36</v>
      </c>
      <c r="J962" s="33" t="n">
        <v>37818.36</v>
      </c>
    </row>
    <row r="963" customFormat="false" ht="15" hidden="false" customHeight="false" outlineLevel="0" collapsed="false">
      <c r="A963" s="3" t="s">
        <v>1353</v>
      </c>
      <c r="B963" s="3" t="s">
        <v>282</v>
      </c>
      <c r="C963" s="3" t="s">
        <v>387</v>
      </c>
      <c r="D963" s="3" t="s">
        <v>392</v>
      </c>
      <c r="E963" s="3" t="s">
        <v>385</v>
      </c>
      <c r="F963" s="16" t="n">
        <v>12</v>
      </c>
      <c r="G963" s="15" t="n">
        <v>0.05</v>
      </c>
      <c r="H963" s="16" t="n">
        <v>5</v>
      </c>
      <c r="I963" s="33" t="n">
        <v>37807.68</v>
      </c>
      <c r="J963" s="33" t="n">
        <v>39797.64</v>
      </c>
    </row>
    <row r="964" customFormat="false" ht="15" hidden="false" customHeight="false" outlineLevel="0" collapsed="false">
      <c r="A964" s="3" t="s">
        <v>1354</v>
      </c>
      <c r="B964" s="3" t="s">
        <v>282</v>
      </c>
      <c r="C964" s="3" t="s">
        <v>403</v>
      </c>
      <c r="D964" s="3" t="s">
        <v>418</v>
      </c>
      <c r="E964" s="3" t="s">
        <v>385</v>
      </c>
      <c r="F964" s="16" t="n">
        <v>24</v>
      </c>
      <c r="G964" s="15" t="n">
        <v>0.1</v>
      </c>
      <c r="H964" s="16" t="n">
        <v>12</v>
      </c>
      <c r="I964" s="33" t="n">
        <v>37802.16</v>
      </c>
      <c r="J964" s="33" t="n">
        <v>42002.4</v>
      </c>
    </row>
    <row r="965" customFormat="false" ht="15" hidden="false" customHeight="false" outlineLevel="0" collapsed="false">
      <c r="A965" s="3" t="s">
        <v>1355</v>
      </c>
      <c r="B965" s="3" t="s">
        <v>282</v>
      </c>
      <c r="C965" s="3" t="s">
        <v>401</v>
      </c>
      <c r="D965" s="3" t="s">
        <v>418</v>
      </c>
      <c r="E965" s="3" t="s">
        <v>398</v>
      </c>
      <c r="F965" s="16" t="n">
        <v>12</v>
      </c>
      <c r="G965" s="15" t="n">
        <v>0</v>
      </c>
      <c r="H965" s="16" t="n">
        <v>6</v>
      </c>
      <c r="I965" s="33" t="n">
        <v>37721.04</v>
      </c>
      <c r="J965" s="33" t="n">
        <v>37721.04</v>
      </c>
    </row>
    <row r="966" customFormat="false" ht="15" hidden="false" customHeight="false" outlineLevel="0" collapsed="false">
      <c r="A966" s="3" t="s">
        <v>1356</v>
      </c>
      <c r="B966" s="3" t="s">
        <v>282</v>
      </c>
      <c r="C966" s="3" t="s">
        <v>380</v>
      </c>
      <c r="D966" s="3" t="s">
        <v>381</v>
      </c>
      <c r="E966" s="3" t="s">
        <v>385</v>
      </c>
      <c r="F966" s="16" t="n">
        <v>12</v>
      </c>
      <c r="G966" s="15" t="n">
        <v>0</v>
      </c>
      <c r="H966" s="16" t="n">
        <v>6</v>
      </c>
      <c r="I966" s="33" t="n">
        <v>37566.24</v>
      </c>
      <c r="J966" s="33" t="n">
        <v>37566.24</v>
      </c>
    </row>
    <row r="967" customFormat="false" ht="15" hidden="false" customHeight="false" outlineLevel="0" collapsed="false">
      <c r="A967" s="3" t="s">
        <v>1357</v>
      </c>
      <c r="B967" s="3" t="s">
        <v>282</v>
      </c>
      <c r="C967" s="3" t="s">
        <v>396</v>
      </c>
      <c r="D967" s="3" t="s">
        <v>392</v>
      </c>
      <c r="E967" s="3" t="s">
        <v>382</v>
      </c>
      <c r="F967" s="16" t="n">
        <v>12</v>
      </c>
      <c r="G967" s="15" t="n">
        <v>0</v>
      </c>
      <c r="H967" s="16" t="n">
        <v>11</v>
      </c>
      <c r="I967" s="33" t="n">
        <v>37531.44</v>
      </c>
      <c r="J967" s="33" t="n">
        <v>37531.44</v>
      </c>
    </row>
    <row r="968" customFormat="false" ht="15" hidden="false" customHeight="false" outlineLevel="0" collapsed="false">
      <c r="A968" s="3" t="s">
        <v>1358</v>
      </c>
      <c r="B968" s="3" t="s">
        <v>282</v>
      </c>
      <c r="C968" s="3" t="s">
        <v>396</v>
      </c>
      <c r="D968" s="3" t="s">
        <v>692</v>
      </c>
      <c r="E968" s="3" t="s">
        <v>398</v>
      </c>
      <c r="F968" s="16" t="n">
        <v>12</v>
      </c>
      <c r="G968" s="15" t="n">
        <v>0</v>
      </c>
      <c r="H968" s="16" t="n">
        <v>8</v>
      </c>
      <c r="I968" s="33" t="n">
        <v>37499.88</v>
      </c>
      <c r="J968" s="33" t="n">
        <v>37499.88</v>
      </c>
    </row>
    <row r="969" customFormat="false" ht="15" hidden="false" customHeight="false" outlineLevel="0" collapsed="false">
      <c r="A969" s="3" t="s">
        <v>1359</v>
      </c>
      <c r="B969" s="3" t="s">
        <v>282</v>
      </c>
      <c r="C969" s="3" t="s">
        <v>384</v>
      </c>
      <c r="D969" s="3" t="s">
        <v>392</v>
      </c>
      <c r="E969" s="3" t="s">
        <v>398</v>
      </c>
      <c r="F969" s="16" t="n">
        <v>24</v>
      </c>
      <c r="G969" s="15" t="n">
        <v>0.15</v>
      </c>
      <c r="H969" s="16" t="n">
        <v>4</v>
      </c>
      <c r="I969" s="33" t="n">
        <v>37499.4</v>
      </c>
      <c r="J969" s="33" t="n">
        <v>44116.92</v>
      </c>
    </row>
    <row r="970" customFormat="false" ht="15" hidden="false" customHeight="false" outlineLevel="0" collapsed="false">
      <c r="A970" s="3" t="s">
        <v>1360</v>
      </c>
      <c r="B970" s="3" t="s">
        <v>282</v>
      </c>
      <c r="C970" s="3" t="s">
        <v>405</v>
      </c>
      <c r="D970" s="3" t="s">
        <v>392</v>
      </c>
      <c r="E970" s="3" t="s">
        <v>385</v>
      </c>
      <c r="F970" s="16" t="n">
        <v>12</v>
      </c>
      <c r="G970" s="15" t="n">
        <v>0</v>
      </c>
      <c r="H970" s="16" t="n">
        <v>4</v>
      </c>
      <c r="I970" s="33" t="n">
        <v>37427.4</v>
      </c>
      <c r="J970" s="33" t="n">
        <v>37427.4</v>
      </c>
    </row>
    <row r="971" customFormat="false" ht="15" hidden="false" customHeight="false" outlineLevel="0" collapsed="false">
      <c r="A971" s="3" t="s">
        <v>1361</v>
      </c>
      <c r="B971" s="3" t="s">
        <v>282</v>
      </c>
      <c r="C971" s="3" t="s">
        <v>384</v>
      </c>
      <c r="D971" s="3" t="s">
        <v>418</v>
      </c>
      <c r="E971" s="3" t="s">
        <v>398</v>
      </c>
      <c r="F971" s="16" t="n">
        <v>24</v>
      </c>
      <c r="G971" s="15" t="n">
        <v>0.15</v>
      </c>
      <c r="H971" s="16" t="n">
        <v>18</v>
      </c>
      <c r="I971" s="33" t="n">
        <v>37398.36</v>
      </c>
      <c r="J971" s="33" t="n">
        <v>43998.12</v>
      </c>
    </row>
    <row r="972" customFormat="false" ht="15" hidden="false" customHeight="false" outlineLevel="0" collapsed="false">
      <c r="A972" s="3" t="s">
        <v>1362</v>
      </c>
      <c r="B972" s="3" t="s">
        <v>282</v>
      </c>
      <c r="C972" s="3" t="s">
        <v>380</v>
      </c>
      <c r="D972" s="3" t="s">
        <v>418</v>
      </c>
      <c r="E972" s="3" t="s">
        <v>382</v>
      </c>
      <c r="F972" s="16" t="n">
        <v>12</v>
      </c>
      <c r="G972" s="15" t="n">
        <v>0.1</v>
      </c>
      <c r="H972" s="16" t="n">
        <v>5</v>
      </c>
      <c r="I972" s="33" t="n">
        <v>37335.48</v>
      </c>
      <c r="J972" s="33" t="n">
        <v>41483.76</v>
      </c>
    </row>
    <row r="973" customFormat="false" ht="15" hidden="false" customHeight="false" outlineLevel="0" collapsed="false">
      <c r="A973" s="3" t="s">
        <v>1363</v>
      </c>
      <c r="B973" s="3" t="s">
        <v>282</v>
      </c>
      <c r="C973" s="3" t="s">
        <v>405</v>
      </c>
      <c r="D973" s="3" t="s">
        <v>418</v>
      </c>
      <c r="E973" s="3" t="s">
        <v>398</v>
      </c>
      <c r="F973" s="16" t="n">
        <v>24</v>
      </c>
      <c r="G973" s="15" t="n">
        <v>0</v>
      </c>
      <c r="H973" s="16" t="n">
        <v>22</v>
      </c>
      <c r="I973" s="33" t="n">
        <v>37286.88</v>
      </c>
      <c r="J973" s="33" t="n">
        <v>37286.88</v>
      </c>
    </row>
    <row r="974" customFormat="false" ht="15" hidden="false" customHeight="false" outlineLevel="0" collapsed="false">
      <c r="A974" s="3" t="s">
        <v>1364</v>
      </c>
      <c r="B974" s="3" t="s">
        <v>282</v>
      </c>
      <c r="C974" s="3" t="s">
        <v>405</v>
      </c>
      <c r="D974" s="3" t="s">
        <v>418</v>
      </c>
      <c r="E974" s="3" t="s">
        <v>398</v>
      </c>
      <c r="F974" s="16" t="n">
        <v>12</v>
      </c>
      <c r="G974" s="15" t="n">
        <v>0</v>
      </c>
      <c r="H974" s="16" t="n">
        <v>4</v>
      </c>
      <c r="I974" s="33" t="n">
        <v>37266.96</v>
      </c>
      <c r="J974" s="33" t="n">
        <v>37266.96</v>
      </c>
    </row>
    <row r="975" customFormat="false" ht="15" hidden="false" customHeight="false" outlineLevel="0" collapsed="false">
      <c r="A975" s="3" t="s">
        <v>1365</v>
      </c>
      <c r="B975" s="3" t="s">
        <v>282</v>
      </c>
      <c r="C975" s="3" t="s">
        <v>384</v>
      </c>
      <c r="D975" s="3" t="s">
        <v>418</v>
      </c>
      <c r="E975" s="3" t="s">
        <v>382</v>
      </c>
      <c r="F975" s="16" t="n">
        <v>24</v>
      </c>
      <c r="G975" s="15" t="n">
        <v>0</v>
      </c>
      <c r="H975" s="16" t="n">
        <v>16</v>
      </c>
      <c r="I975" s="33" t="n">
        <v>37245.96</v>
      </c>
      <c r="J975" s="33" t="n">
        <v>37245.96</v>
      </c>
    </row>
    <row r="976" customFormat="false" ht="15" hidden="false" customHeight="false" outlineLevel="0" collapsed="false">
      <c r="A976" s="3" t="s">
        <v>1366</v>
      </c>
      <c r="B976" s="3" t="s">
        <v>282</v>
      </c>
      <c r="C976" s="3" t="s">
        <v>405</v>
      </c>
      <c r="D976" s="3" t="s">
        <v>418</v>
      </c>
      <c r="E976" s="3" t="s">
        <v>398</v>
      </c>
      <c r="F976" s="16" t="n">
        <v>12</v>
      </c>
      <c r="G976" s="15" t="n">
        <v>0</v>
      </c>
      <c r="H976" s="16" t="n">
        <v>2</v>
      </c>
      <c r="I976" s="33" t="n">
        <v>37208.76</v>
      </c>
      <c r="J976" s="33" t="n">
        <v>37208.76</v>
      </c>
    </row>
    <row r="977" customFormat="false" ht="15" hidden="false" customHeight="false" outlineLevel="0" collapsed="false">
      <c r="A977" s="3" t="s">
        <v>1367</v>
      </c>
      <c r="B977" s="3" t="s">
        <v>282</v>
      </c>
      <c r="C977" s="3" t="s">
        <v>384</v>
      </c>
      <c r="D977" s="3" t="s">
        <v>392</v>
      </c>
      <c r="E977" s="3" t="s">
        <v>398</v>
      </c>
      <c r="F977" s="16" t="n">
        <v>12</v>
      </c>
      <c r="G977" s="15" t="n">
        <v>0.1</v>
      </c>
      <c r="H977" s="16" t="n">
        <v>4</v>
      </c>
      <c r="I977" s="33" t="n">
        <v>36928.56</v>
      </c>
      <c r="J977" s="33" t="n">
        <v>41031.72</v>
      </c>
    </row>
    <row r="978" customFormat="false" ht="15" hidden="false" customHeight="false" outlineLevel="0" collapsed="false">
      <c r="A978" s="3" t="s">
        <v>1368</v>
      </c>
      <c r="B978" s="3" t="s">
        <v>282</v>
      </c>
      <c r="C978" s="3" t="s">
        <v>401</v>
      </c>
      <c r="D978" s="3" t="s">
        <v>381</v>
      </c>
      <c r="E978" s="3" t="s">
        <v>385</v>
      </c>
      <c r="F978" s="16" t="n">
        <v>12</v>
      </c>
      <c r="G978" s="15" t="n">
        <v>0</v>
      </c>
      <c r="H978" s="16" t="n">
        <v>1</v>
      </c>
      <c r="I978" s="33" t="n">
        <v>36863.88</v>
      </c>
      <c r="J978" s="33" t="n">
        <v>36863.88</v>
      </c>
    </row>
    <row r="979" customFormat="false" ht="15" hidden="false" customHeight="false" outlineLevel="0" collapsed="false">
      <c r="A979" s="3" t="s">
        <v>1369</v>
      </c>
      <c r="B979" s="3" t="s">
        <v>282</v>
      </c>
      <c r="C979" s="3" t="s">
        <v>387</v>
      </c>
      <c r="D979" s="3" t="s">
        <v>388</v>
      </c>
      <c r="E979" s="3" t="s">
        <v>385</v>
      </c>
      <c r="F979" s="16" t="n">
        <v>24</v>
      </c>
      <c r="G979" s="15" t="n">
        <v>0.1</v>
      </c>
      <c r="H979" s="16" t="n">
        <v>13</v>
      </c>
      <c r="I979" s="33" t="n">
        <v>36839.52</v>
      </c>
      <c r="J979" s="33" t="n">
        <v>40932.84</v>
      </c>
    </row>
    <row r="980" customFormat="false" ht="15" hidden="false" customHeight="false" outlineLevel="0" collapsed="false">
      <c r="A980" s="3" t="s">
        <v>1370</v>
      </c>
      <c r="B980" s="3" t="s">
        <v>282</v>
      </c>
      <c r="C980" s="3" t="s">
        <v>401</v>
      </c>
      <c r="D980" s="3" t="s">
        <v>392</v>
      </c>
      <c r="E980" s="3" t="s">
        <v>398</v>
      </c>
      <c r="F980" s="16" t="n">
        <v>24</v>
      </c>
      <c r="G980" s="15" t="n">
        <v>0.1</v>
      </c>
      <c r="H980" s="16" t="n">
        <v>16</v>
      </c>
      <c r="I980" s="33" t="n">
        <v>36814.8</v>
      </c>
      <c r="J980" s="33" t="n">
        <v>40905.36</v>
      </c>
    </row>
    <row r="981" customFormat="false" ht="15" hidden="false" customHeight="false" outlineLevel="0" collapsed="false">
      <c r="A981" s="3" t="s">
        <v>1371</v>
      </c>
      <c r="B981" s="3" t="s">
        <v>282</v>
      </c>
      <c r="C981" s="3" t="s">
        <v>380</v>
      </c>
      <c r="D981" s="3" t="s">
        <v>392</v>
      </c>
      <c r="E981" s="3" t="s">
        <v>385</v>
      </c>
      <c r="F981" s="16" t="n">
        <v>24</v>
      </c>
      <c r="G981" s="15" t="n">
        <v>0</v>
      </c>
      <c r="H981" s="16" t="n">
        <v>24</v>
      </c>
      <c r="I981" s="33" t="n">
        <v>36802.8</v>
      </c>
      <c r="J981" s="33" t="n">
        <v>36802.8</v>
      </c>
    </row>
    <row r="982" customFormat="false" ht="15" hidden="false" customHeight="false" outlineLevel="0" collapsed="false">
      <c r="A982" s="3" t="s">
        <v>1372</v>
      </c>
      <c r="B982" s="3" t="s">
        <v>282</v>
      </c>
      <c r="C982" s="3" t="s">
        <v>405</v>
      </c>
      <c r="D982" s="3" t="s">
        <v>381</v>
      </c>
      <c r="E982" s="3" t="s">
        <v>398</v>
      </c>
      <c r="F982" s="16" t="n">
        <v>12</v>
      </c>
      <c r="G982" s="15" t="n">
        <v>0.2</v>
      </c>
      <c r="H982" s="16" t="n">
        <v>9</v>
      </c>
      <c r="I982" s="33" t="n">
        <v>36734.4</v>
      </c>
      <c r="J982" s="33" t="n">
        <v>45918</v>
      </c>
    </row>
    <row r="983" customFormat="false" ht="15" hidden="false" customHeight="false" outlineLevel="0" collapsed="false">
      <c r="A983" s="3" t="s">
        <v>1373</v>
      </c>
      <c r="B983" s="3" t="s">
        <v>282</v>
      </c>
      <c r="C983" s="3" t="s">
        <v>405</v>
      </c>
      <c r="D983" s="3" t="s">
        <v>392</v>
      </c>
      <c r="E983" s="3" t="s">
        <v>385</v>
      </c>
      <c r="F983" s="16" t="n">
        <v>24</v>
      </c>
      <c r="G983" s="15" t="n">
        <v>0</v>
      </c>
      <c r="H983" s="16" t="n">
        <v>23</v>
      </c>
      <c r="I983" s="33" t="n">
        <v>36700.2</v>
      </c>
      <c r="J983" s="33" t="n">
        <v>36700.2</v>
      </c>
    </row>
    <row r="984" customFormat="false" ht="15" hidden="false" customHeight="false" outlineLevel="0" collapsed="false">
      <c r="A984" s="3" t="s">
        <v>1374</v>
      </c>
      <c r="B984" s="3" t="s">
        <v>282</v>
      </c>
      <c r="C984" s="3" t="s">
        <v>380</v>
      </c>
      <c r="D984" s="3" t="s">
        <v>418</v>
      </c>
      <c r="E984" s="3" t="s">
        <v>385</v>
      </c>
      <c r="F984" s="16" t="n">
        <v>12</v>
      </c>
      <c r="G984" s="15" t="n">
        <v>0.1</v>
      </c>
      <c r="H984" s="16" t="n">
        <v>12</v>
      </c>
      <c r="I984" s="33" t="n">
        <v>36698.4</v>
      </c>
      <c r="J984" s="33" t="n">
        <v>40776</v>
      </c>
    </row>
    <row r="985" customFormat="false" ht="15" hidden="false" customHeight="false" outlineLevel="0" collapsed="false">
      <c r="A985" s="3" t="s">
        <v>1375</v>
      </c>
      <c r="B985" s="3" t="s">
        <v>282</v>
      </c>
      <c r="C985" s="3" t="s">
        <v>403</v>
      </c>
      <c r="D985" s="3" t="s">
        <v>418</v>
      </c>
      <c r="E985" s="3" t="s">
        <v>398</v>
      </c>
      <c r="F985" s="16" t="n">
        <v>12</v>
      </c>
      <c r="G985" s="15" t="n">
        <v>0</v>
      </c>
      <c r="H985" s="16" t="n">
        <v>8</v>
      </c>
      <c r="I985" s="33" t="n">
        <v>36692.4</v>
      </c>
      <c r="J985" s="33" t="n">
        <v>36692.4</v>
      </c>
    </row>
    <row r="986" customFormat="false" ht="15" hidden="false" customHeight="false" outlineLevel="0" collapsed="false">
      <c r="A986" s="3" t="s">
        <v>1376</v>
      </c>
      <c r="B986" s="3" t="s">
        <v>282</v>
      </c>
      <c r="C986" s="3" t="s">
        <v>387</v>
      </c>
      <c r="D986" s="3" t="s">
        <v>381</v>
      </c>
      <c r="E986" s="3" t="s">
        <v>398</v>
      </c>
      <c r="F986" s="16" t="n">
        <v>12</v>
      </c>
      <c r="G986" s="15" t="n">
        <v>0</v>
      </c>
      <c r="H986" s="16" t="n">
        <v>9</v>
      </c>
      <c r="I986" s="33" t="n">
        <v>36675.12</v>
      </c>
      <c r="J986" s="33" t="n">
        <v>36675.12</v>
      </c>
    </row>
    <row r="987" customFormat="false" ht="15" hidden="false" customHeight="false" outlineLevel="0" collapsed="false">
      <c r="A987" s="3" t="s">
        <v>1377</v>
      </c>
      <c r="B987" s="3" t="s">
        <v>282</v>
      </c>
      <c r="C987" s="3" t="s">
        <v>401</v>
      </c>
      <c r="D987" s="3" t="s">
        <v>392</v>
      </c>
      <c r="E987" s="3" t="s">
        <v>382</v>
      </c>
      <c r="F987" s="16" t="n">
        <v>12</v>
      </c>
      <c r="G987" s="15" t="n">
        <v>0</v>
      </c>
      <c r="H987" s="16" t="n">
        <v>2</v>
      </c>
      <c r="I987" s="33" t="n">
        <v>36658.56</v>
      </c>
      <c r="J987" s="33" t="n">
        <v>36658.56</v>
      </c>
    </row>
    <row r="988" customFormat="false" ht="15" hidden="false" customHeight="false" outlineLevel="0" collapsed="false">
      <c r="A988" s="3" t="s">
        <v>1378</v>
      </c>
      <c r="B988" s="3" t="s">
        <v>282</v>
      </c>
      <c r="C988" s="3" t="s">
        <v>403</v>
      </c>
      <c r="D988" s="3" t="s">
        <v>381</v>
      </c>
      <c r="E988" s="3" t="s">
        <v>382</v>
      </c>
      <c r="F988" s="16" t="n">
        <v>24</v>
      </c>
      <c r="G988" s="15" t="n">
        <v>0.2</v>
      </c>
      <c r="H988" s="16" t="n">
        <v>11</v>
      </c>
      <c r="I988" s="33" t="n">
        <v>36651.6</v>
      </c>
      <c r="J988" s="33" t="n">
        <v>45814.56</v>
      </c>
    </row>
    <row r="989" customFormat="false" ht="15" hidden="false" customHeight="false" outlineLevel="0" collapsed="false">
      <c r="A989" s="3" t="s">
        <v>1379</v>
      </c>
      <c r="B989" s="3" t="s">
        <v>282</v>
      </c>
      <c r="C989" s="3" t="s">
        <v>403</v>
      </c>
      <c r="D989" s="3" t="s">
        <v>388</v>
      </c>
      <c r="E989" s="3" t="s">
        <v>385</v>
      </c>
      <c r="F989" s="16" t="n">
        <v>12</v>
      </c>
      <c r="G989" s="15" t="n">
        <v>0.1</v>
      </c>
      <c r="H989" s="16" t="n">
        <v>11</v>
      </c>
      <c r="I989" s="33" t="n">
        <v>36648.6</v>
      </c>
      <c r="J989" s="33" t="n">
        <v>40720.68</v>
      </c>
    </row>
    <row r="990" customFormat="false" ht="15" hidden="false" customHeight="false" outlineLevel="0" collapsed="false">
      <c r="A990" s="3" t="s">
        <v>1380</v>
      </c>
      <c r="B990" s="3" t="s">
        <v>282</v>
      </c>
      <c r="C990" s="3" t="s">
        <v>396</v>
      </c>
      <c r="D990" s="3" t="s">
        <v>392</v>
      </c>
      <c r="E990" s="3" t="s">
        <v>398</v>
      </c>
      <c r="F990" s="16" t="n">
        <v>12</v>
      </c>
      <c r="G990" s="15" t="n">
        <v>0</v>
      </c>
      <c r="H990" s="16" t="n">
        <v>9</v>
      </c>
      <c r="I990" s="33" t="n">
        <v>36646.08</v>
      </c>
      <c r="J990" s="33" t="n">
        <v>36646.08</v>
      </c>
    </row>
    <row r="991" customFormat="false" ht="15" hidden="false" customHeight="false" outlineLevel="0" collapsed="false">
      <c r="A991" s="3" t="s">
        <v>1381</v>
      </c>
      <c r="B991" s="3" t="s">
        <v>282</v>
      </c>
      <c r="C991" s="3" t="s">
        <v>380</v>
      </c>
      <c r="D991" s="3" t="s">
        <v>388</v>
      </c>
      <c r="E991" s="3" t="s">
        <v>385</v>
      </c>
      <c r="F991" s="16" t="n">
        <v>12</v>
      </c>
      <c r="G991" s="15" t="n">
        <v>0</v>
      </c>
      <c r="H991" s="16" t="n">
        <v>7</v>
      </c>
      <c r="I991" s="33" t="n">
        <v>36637.8</v>
      </c>
      <c r="J991" s="33" t="n">
        <v>36637.8</v>
      </c>
    </row>
    <row r="992" customFormat="false" ht="15" hidden="false" customHeight="false" outlineLevel="0" collapsed="false">
      <c r="A992" s="3" t="s">
        <v>1382</v>
      </c>
      <c r="B992" s="3" t="s">
        <v>282</v>
      </c>
      <c r="C992" s="3" t="s">
        <v>380</v>
      </c>
      <c r="D992" s="3" t="s">
        <v>392</v>
      </c>
      <c r="E992" s="3" t="s">
        <v>398</v>
      </c>
      <c r="F992" s="16" t="n">
        <v>24</v>
      </c>
      <c r="G992" s="15" t="n">
        <v>0.15</v>
      </c>
      <c r="H992" s="16" t="n">
        <v>6</v>
      </c>
      <c r="I992" s="33" t="n">
        <v>36597.72</v>
      </c>
      <c r="J992" s="33" t="n">
        <v>43056.12</v>
      </c>
    </row>
    <row r="993" customFormat="false" ht="15" hidden="false" customHeight="false" outlineLevel="0" collapsed="false">
      <c r="A993" s="3" t="s">
        <v>1383</v>
      </c>
      <c r="B993" s="3" t="s">
        <v>282</v>
      </c>
      <c r="C993" s="3" t="s">
        <v>387</v>
      </c>
      <c r="D993" s="3" t="s">
        <v>418</v>
      </c>
      <c r="E993" s="3" t="s">
        <v>385</v>
      </c>
      <c r="F993" s="16" t="n">
        <v>24</v>
      </c>
      <c r="G993" s="15" t="n">
        <v>0</v>
      </c>
      <c r="H993" s="16" t="n">
        <v>14</v>
      </c>
      <c r="I993" s="33" t="n">
        <v>36535.68</v>
      </c>
      <c r="J993" s="33" t="n">
        <v>36535.68</v>
      </c>
    </row>
    <row r="994" customFormat="false" ht="15" hidden="false" customHeight="false" outlineLevel="0" collapsed="false">
      <c r="A994" s="3" t="s">
        <v>1384</v>
      </c>
      <c r="B994" s="3" t="s">
        <v>282</v>
      </c>
      <c r="C994" s="3" t="s">
        <v>401</v>
      </c>
      <c r="D994" s="3" t="s">
        <v>392</v>
      </c>
      <c r="E994" s="3" t="s">
        <v>385</v>
      </c>
      <c r="F994" s="16" t="n">
        <v>24</v>
      </c>
      <c r="G994" s="15" t="n">
        <v>0</v>
      </c>
      <c r="H994" s="16" t="n">
        <v>24</v>
      </c>
      <c r="I994" s="33" t="n">
        <v>36474.84</v>
      </c>
      <c r="J994" s="33" t="n">
        <v>36474.84</v>
      </c>
    </row>
    <row r="995" customFormat="false" ht="15" hidden="false" customHeight="false" outlineLevel="0" collapsed="false">
      <c r="A995" s="3" t="s">
        <v>1385</v>
      </c>
      <c r="B995" s="3" t="s">
        <v>282</v>
      </c>
      <c r="C995" s="3" t="s">
        <v>405</v>
      </c>
      <c r="D995" s="3" t="s">
        <v>388</v>
      </c>
      <c r="E995" s="3" t="s">
        <v>398</v>
      </c>
      <c r="F995" s="16" t="n">
        <v>12</v>
      </c>
      <c r="G995" s="15" t="n">
        <v>0</v>
      </c>
      <c r="H995" s="16" t="n">
        <v>3</v>
      </c>
      <c r="I995" s="33" t="n">
        <v>36438.72</v>
      </c>
      <c r="J995" s="33" t="n">
        <v>36438.72</v>
      </c>
    </row>
    <row r="996" customFormat="false" ht="15" hidden="false" customHeight="false" outlineLevel="0" collapsed="false">
      <c r="A996" s="3" t="s">
        <v>1386</v>
      </c>
      <c r="B996" s="3" t="s">
        <v>282</v>
      </c>
      <c r="C996" s="3" t="s">
        <v>401</v>
      </c>
      <c r="D996" s="3" t="s">
        <v>392</v>
      </c>
      <c r="E996" s="3" t="s">
        <v>398</v>
      </c>
      <c r="F996" s="16" t="n">
        <v>12</v>
      </c>
      <c r="G996" s="15" t="n">
        <v>0.4</v>
      </c>
      <c r="H996" s="16" t="n">
        <v>10</v>
      </c>
      <c r="I996" s="33" t="n">
        <v>36435.48</v>
      </c>
      <c r="J996" s="33" t="n">
        <v>60725.76</v>
      </c>
    </row>
    <row r="997" customFormat="false" ht="15" hidden="false" customHeight="false" outlineLevel="0" collapsed="false">
      <c r="A997" s="3" t="s">
        <v>1387</v>
      </c>
      <c r="B997" s="3" t="s">
        <v>283</v>
      </c>
      <c r="C997" s="3" t="s">
        <v>403</v>
      </c>
      <c r="D997" s="3" t="s">
        <v>418</v>
      </c>
      <c r="E997" s="3" t="s">
        <v>382</v>
      </c>
      <c r="F997" s="16" t="n">
        <v>12</v>
      </c>
      <c r="G997" s="15" t="n">
        <v>0.15</v>
      </c>
      <c r="H997" s="16" t="n">
        <v>7</v>
      </c>
      <c r="I997" s="33" t="n">
        <v>36384.84</v>
      </c>
      <c r="J997" s="33" t="n">
        <v>42805.68</v>
      </c>
    </row>
    <row r="998" customFormat="false" ht="15" hidden="false" customHeight="false" outlineLevel="0" collapsed="false">
      <c r="A998" s="3" t="s">
        <v>1388</v>
      </c>
      <c r="B998" s="3" t="s">
        <v>282</v>
      </c>
      <c r="C998" s="3" t="s">
        <v>380</v>
      </c>
      <c r="D998" s="3" t="s">
        <v>381</v>
      </c>
      <c r="E998" s="3" t="s">
        <v>382</v>
      </c>
      <c r="F998" s="16" t="n">
        <v>24</v>
      </c>
      <c r="G998" s="15" t="n">
        <v>0.15</v>
      </c>
      <c r="H998" s="16" t="n">
        <v>7</v>
      </c>
      <c r="I998" s="33" t="n">
        <v>36384.72</v>
      </c>
      <c r="J998" s="33" t="n">
        <v>42805.56</v>
      </c>
    </row>
    <row r="999" customFormat="false" ht="15" hidden="false" customHeight="false" outlineLevel="0" collapsed="false">
      <c r="A999" s="3" t="s">
        <v>1389</v>
      </c>
      <c r="B999" s="3" t="s">
        <v>282</v>
      </c>
      <c r="C999" s="3" t="s">
        <v>387</v>
      </c>
      <c r="D999" s="3" t="s">
        <v>381</v>
      </c>
      <c r="E999" s="3" t="s">
        <v>398</v>
      </c>
      <c r="F999" s="16" t="n">
        <v>12</v>
      </c>
      <c r="G999" s="15" t="n">
        <v>0.1</v>
      </c>
      <c r="H999" s="16" t="n">
        <v>8</v>
      </c>
      <c r="I999" s="33" t="n">
        <v>36329.52</v>
      </c>
      <c r="J999" s="33" t="n">
        <v>40366.08</v>
      </c>
    </row>
    <row r="1000" customFormat="false" ht="15" hidden="false" customHeight="false" outlineLevel="0" collapsed="false">
      <c r="A1000" s="3" t="s">
        <v>1390</v>
      </c>
      <c r="B1000" s="3" t="s">
        <v>282</v>
      </c>
      <c r="C1000" s="3" t="s">
        <v>403</v>
      </c>
      <c r="D1000" s="3" t="s">
        <v>388</v>
      </c>
      <c r="E1000" s="3" t="s">
        <v>382</v>
      </c>
      <c r="F1000" s="16" t="n">
        <v>24</v>
      </c>
      <c r="G1000" s="15" t="n">
        <v>0</v>
      </c>
      <c r="H1000" s="16" t="n">
        <v>24</v>
      </c>
      <c r="I1000" s="33" t="n">
        <v>36281.04</v>
      </c>
      <c r="J1000" s="33" t="n">
        <v>36281.04</v>
      </c>
    </row>
    <row r="1001" customFormat="false" ht="15" hidden="false" customHeight="false" outlineLevel="0" collapsed="false">
      <c r="A1001" s="3" t="s">
        <v>1391</v>
      </c>
      <c r="B1001" s="3" t="s">
        <v>282</v>
      </c>
      <c r="C1001" s="3" t="s">
        <v>380</v>
      </c>
      <c r="D1001" s="3" t="s">
        <v>418</v>
      </c>
      <c r="E1001" s="3" t="s">
        <v>398</v>
      </c>
      <c r="F1001" s="16" t="n">
        <v>12</v>
      </c>
      <c r="G1001" s="15" t="n">
        <v>0</v>
      </c>
      <c r="H1001" s="16" t="n">
        <v>11</v>
      </c>
      <c r="I1001" s="33" t="n">
        <v>36154.92</v>
      </c>
      <c r="J1001" s="33" t="n">
        <v>36154.92</v>
      </c>
    </row>
    <row r="1002" customFormat="false" ht="15" hidden="false" customHeight="false" outlineLevel="0" collapsed="false">
      <c r="A1002" s="3" t="s">
        <v>1392</v>
      </c>
      <c r="B1002" s="3" t="s">
        <v>282</v>
      </c>
      <c r="C1002" s="3" t="s">
        <v>380</v>
      </c>
      <c r="D1002" s="3" t="s">
        <v>392</v>
      </c>
      <c r="E1002" s="3" t="s">
        <v>398</v>
      </c>
      <c r="F1002" s="16" t="n">
        <v>12</v>
      </c>
      <c r="G1002" s="15" t="n">
        <v>0</v>
      </c>
      <c r="H1002" s="16" t="n">
        <v>9</v>
      </c>
      <c r="I1002" s="33" t="n">
        <v>36109.56</v>
      </c>
      <c r="J1002" s="33" t="n">
        <v>36109.56</v>
      </c>
    </row>
    <row r="1003" customFormat="false" ht="15" hidden="false" customHeight="false" outlineLevel="0" collapsed="false">
      <c r="A1003" s="3" t="s">
        <v>1393</v>
      </c>
      <c r="B1003" s="3" t="s">
        <v>282</v>
      </c>
      <c r="C1003" s="3" t="s">
        <v>403</v>
      </c>
      <c r="D1003" s="3" t="s">
        <v>392</v>
      </c>
      <c r="E1003" s="3" t="s">
        <v>382</v>
      </c>
      <c r="F1003" s="16" t="n">
        <v>12</v>
      </c>
      <c r="G1003" s="15" t="n">
        <v>0</v>
      </c>
      <c r="H1003" s="16" t="n">
        <v>3</v>
      </c>
      <c r="I1003" s="33" t="n">
        <v>36085.08</v>
      </c>
      <c r="J1003" s="33" t="n">
        <v>36085.08</v>
      </c>
    </row>
    <row r="1004" customFormat="false" ht="15" hidden="false" customHeight="false" outlineLevel="0" collapsed="false">
      <c r="A1004" s="3" t="s">
        <v>1394</v>
      </c>
      <c r="B1004" s="3" t="s">
        <v>282</v>
      </c>
      <c r="C1004" s="3" t="s">
        <v>405</v>
      </c>
      <c r="D1004" s="3" t="s">
        <v>381</v>
      </c>
      <c r="E1004" s="3" t="s">
        <v>398</v>
      </c>
      <c r="F1004" s="16" t="n">
        <v>24</v>
      </c>
      <c r="G1004" s="15" t="n">
        <v>0.2</v>
      </c>
      <c r="H1004" s="16" t="n">
        <v>22</v>
      </c>
      <c r="I1004" s="33" t="n">
        <v>36020.28</v>
      </c>
      <c r="J1004" s="33" t="n">
        <v>45025.32</v>
      </c>
    </row>
    <row r="1005" customFormat="false" ht="15" hidden="false" customHeight="false" outlineLevel="0" collapsed="false">
      <c r="A1005" s="3" t="s">
        <v>1395</v>
      </c>
      <c r="B1005" s="3" t="s">
        <v>282</v>
      </c>
      <c r="C1005" s="3" t="s">
        <v>396</v>
      </c>
      <c r="D1005" s="3" t="s">
        <v>392</v>
      </c>
      <c r="E1005" s="3" t="s">
        <v>398</v>
      </c>
      <c r="F1005" s="16" t="n">
        <v>12</v>
      </c>
      <c r="G1005" s="15" t="n">
        <v>0</v>
      </c>
      <c r="H1005" s="16" t="n">
        <v>2</v>
      </c>
      <c r="I1005" s="33" t="n">
        <v>35990.64</v>
      </c>
      <c r="J1005" s="33" t="n">
        <v>35990.64</v>
      </c>
    </row>
    <row r="1006" customFormat="false" ht="15" hidden="false" customHeight="false" outlineLevel="0" collapsed="false">
      <c r="A1006" s="3" t="s">
        <v>1396</v>
      </c>
      <c r="B1006" s="3" t="s">
        <v>282</v>
      </c>
      <c r="C1006" s="3" t="s">
        <v>403</v>
      </c>
      <c r="D1006" s="3" t="s">
        <v>418</v>
      </c>
      <c r="E1006" s="3" t="s">
        <v>398</v>
      </c>
      <c r="F1006" s="16" t="n">
        <v>24</v>
      </c>
      <c r="G1006" s="15" t="n">
        <v>0.05</v>
      </c>
      <c r="H1006" s="16" t="n">
        <v>19</v>
      </c>
      <c r="I1006" s="33" t="n">
        <v>35988.36</v>
      </c>
      <c r="J1006" s="33" t="n">
        <v>37882.44</v>
      </c>
    </row>
    <row r="1007" customFormat="false" ht="15" hidden="false" customHeight="false" outlineLevel="0" collapsed="false">
      <c r="A1007" s="3" t="s">
        <v>1397</v>
      </c>
      <c r="B1007" s="3" t="s">
        <v>282</v>
      </c>
      <c r="C1007" s="3" t="s">
        <v>405</v>
      </c>
      <c r="D1007" s="3" t="s">
        <v>418</v>
      </c>
      <c r="E1007" s="3" t="s">
        <v>398</v>
      </c>
      <c r="F1007" s="16" t="n">
        <v>24</v>
      </c>
      <c r="G1007" s="15" t="n">
        <v>0</v>
      </c>
      <c r="H1007" s="16" t="n">
        <v>5</v>
      </c>
      <c r="I1007" s="33" t="n">
        <v>35948.64</v>
      </c>
      <c r="J1007" s="33" t="n">
        <v>35948.64</v>
      </c>
    </row>
    <row r="1008" customFormat="false" ht="15" hidden="false" customHeight="false" outlineLevel="0" collapsed="false">
      <c r="A1008" s="3" t="s">
        <v>1398</v>
      </c>
      <c r="B1008" s="3" t="s">
        <v>283</v>
      </c>
      <c r="C1008" s="3" t="s">
        <v>396</v>
      </c>
      <c r="D1008" s="3" t="s">
        <v>392</v>
      </c>
      <c r="E1008" s="3" t="s">
        <v>398</v>
      </c>
      <c r="F1008" s="16" t="n">
        <v>1</v>
      </c>
      <c r="G1008" s="15" t="n">
        <v>0</v>
      </c>
      <c r="H1008" s="16" t="n">
        <v>1</v>
      </c>
      <c r="I1008" s="33" t="n">
        <v>35881.32</v>
      </c>
      <c r="J1008" s="33" t="n">
        <v>35881.32</v>
      </c>
    </row>
    <row r="1009" customFormat="false" ht="15" hidden="false" customHeight="false" outlineLevel="0" collapsed="false">
      <c r="A1009" s="3" t="s">
        <v>1399</v>
      </c>
      <c r="B1009" s="3" t="s">
        <v>282</v>
      </c>
      <c r="C1009" s="3" t="s">
        <v>384</v>
      </c>
      <c r="D1009" s="3" t="s">
        <v>418</v>
      </c>
      <c r="E1009" s="3" t="s">
        <v>385</v>
      </c>
      <c r="F1009" s="16" t="n">
        <v>12</v>
      </c>
      <c r="G1009" s="15" t="n">
        <v>0</v>
      </c>
      <c r="H1009" s="16" t="n">
        <v>6</v>
      </c>
      <c r="I1009" s="33" t="n">
        <v>35876.16</v>
      </c>
      <c r="J1009" s="33" t="n">
        <v>35876.16</v>
      </c>
    </row>
    <row r="1010" customFormat="false" ht="15" hidden="false" customHeight="false" outlineLevel="0" collapsed="false">
      <c r="A1010" s="3" t="s">
        <v>1400</v>
      </c>
      <c r="B1010" s="3" t="s">
        <v>282</v>
      </c>
      <c r="C1010" s="3" t="s">
        <v>387</v>
      </c>
      <c r="D1010" s="3" t="s">
        <v>692</v>
      </c>
      <c r="E1010" s="3" t="s">
        <v>382</v>
      </c>
      <c r="F1010" s="16" t="n">
        <v>24</v>
      </c>
      <c r="G1010" s="15" t="n">
        <v>0.05</v>
      </c>
      <c r="H1010" s="16" t="n">
        <v>12</v>
      </c>
      <c r="I1010" s="33" t="n">
        <v>35870.4</v>
      </c>
      <c r="J1010" s="33" t="n">
        <v>37758.24</v>
      </c>
    </row>
    <row r="1011" customFormat="false" ht="15" hidden="false" customHeight="false" outlineLevel="0" collapsed="false">
      <c r="A1011" s="3" t="s">
        <v>1401</v>
      </c>
      <c r="B1011" s="3" t="s">
        <v>282</v>
      </c>
      <c r="C1011" s="3" t="s">
        <v>396</v>
      </c>
      <c r="D1011" s="3" t="s">
        <v>392</v>
      </c>
      <c r="E1011" s="3" t="s">
        <v>385</v>
      </c>
      <c r="F1011" s="16" t="n">
        <v>24</v>
      </c>
      <c r="G1011" s="15" t="n">
        <v>0</v>
      </c>
      <c r="H1011" s="16" t="n">
        <v>23</v>
      </c>
      <c r="I1011" s="33" t="n">
        <v>35868.96</v>
      </c>
      <c r="J1011" s="33" t="n">
        <v>35868.96</v>
      </c>
    </row>
    <row r="1012" customFormat="false" ht="15" hidden="false" customHeight="false" outlineLevel="0" collapsed="false">
      <c r="A1012" s="3" t="s">
        <v>1402</v>
      </c>
      <c r="B1012" s="3" t="s">
        <v>282</v>
      </c>
      <c r="C1012" s="3" t="s">
        <v>396</v>
      </c>
      <c r="D1012" s="3" t="s">
        <v>388</v>
      </c>
      <c r="E1012" s="3" t="s">
        <v>398</v>
      </c>
      <c r="F1012" s="16" t="n">
        <v>12</v>
      </c>
      <c r="G1012" s="15" t="n">
        <v>0</v>
      </c>
      <c r="H1012" s="16" t="n">
        <v>11</v>
      </c>
      <c r="I1012" s="33" t="n">
        <v>35839.56</v>
      </c>
      <c r="J1012" s="33" t="n">
        <v>35839.56</v>
      </c>
    </row>
    <row r="1013" customFormat="false" ht="15" hidden="false" customHeight="false" outlineLevel="0" collapsed="false">
      <c r="A1013" s="3" t="s">
        <v>1403</v>
      </c>
      <c r="B1013" s="3" t="s">
        <v>282</v>
      </c>
      <c r="C1013" s="3" t="s">
        <v>396</v>
      </c>
      <c r="D1013" s="3" t="s">
        <v>388</v>
      </c>
      <c r="E1013" s="3" t="s">
        <v>385</v>
      </c>
      <c r="F1013" s="16" t="n">
        <v>12</v>
      </c>
      <c r="G1013" s="15" t="n">
        <v>0</v>
      </c>
      <c r="H1013" s="16" t="n">
        <v>12</v>
      </c>
      <c r="I1013" s="33" t="n">
        <v>35813.4</v>
      </c>
      <c r="J1013" s="33" t="n">
        <v>35813.4</v>
      </c>
    </row>
    <row r="1014" customFormat="false" ht="15" hidden="false" customHeight="false" outlineLevel="0" collapsed="false">
      <c r="A1014" s="3" t="s">
        <v>1404</v>
      </c>
      <c r="B1014" s="3" t="s">
        <v>282</v>
      </c>
      <c r="C1014" s="3" t="s">
        <v>403</v>
      </c>
      <c r="D1014" s="3" t="s">
        <v>392</v>
      </c>
      <c r="E1014" s="3" t="s">
        <v>385</v>
      </c>
      <c r="F1014" s="16" t="n">
        <v>24</v>
      </c>
      <c r="G1014" s="15" t="n">
        <v>0</v>
      </c>
      <c r="H1014" s="16" t="n">
        <v>16</v>
      </c>
      <c r="I1014" s="33" t="n">
        <v>35777.64</v>
      </c>
      <c r="J1014" s="33" t="n">
        <v>35777.64</v>
      </c>
    </row>
    <row r="1015" customFormat="false" ht="15" hidden="false" customHeight="false" outlineLevel="0" collapsed="false">
      <c r="A1015" s="3" t="s">
        <v>1405</v>
      </c>
      <c r="B1015" s="3" t="s">
        <v>282</v>
      </c>
      <c r="C1015" s="3" t="s">
        <v>396</v>
      </c>
      <c r="D1015" s="3" t="s">
        <v>392</v>
      </c>
      <c r="E1015" s="3" t="s">
        <v>398</v>
      </c>
      <c r="F1015" s="16" t="n">
        <v>24</v>
      </c>
      <c r="G1015" s="15" t="n">
        <v>0</v>
      </c>
      <c r="H1015" s="16" t="n">
        <v>1</v>
      </c>
      <c r="I1015" s="33" t="n">
        <v>35739.24</v>
      </c>
      <c r="J1015" s="33" t="n">
        <v>35739.24</v>
      </c>
    </row>
    <row r="1016" customFormat="false" ht="15" hidden="false" customHeight="false" outlineLevel="0" collapsed="false">
      <c r="A1016" s="3" t="s">
        <v>1406</v>
      </c>
      <c r="B1016" s="3" t="s">
        <v>282</v>
      </c>
      <c r="C1016" s="3" t="s">
        <v>403</v>
      </c>
      <c r="D1016" s="3" t="s">
        <v>392</v>
      </c>
      <c r="E1016" s="3" t="s">
        <v>398</v>
      </c>
      <c r="F1016" s="16" t="n">
        <v>12</v>
      </c>
      <c r="G1016" s="15" t="n">
        <v>0</v>
      </c>
      <c r="H1016" s="16" t="n">
        <v>6</v>
      </c>
      <c r="I1016" s="33" t="n">
        <v>35701.68</v>
      </c>
      <c r="J1016" s="33" t="n">
        <v>35701.68</v>
      </c>
    </row>
    <row r="1017" customFormat="false" ht="15" hidden="false" customHeight="false" outlineLevel="0" collapsed="false">
      <c r="A1017" s="3" t="s">
        <v>1407</v>
      </c>
      <c r="B1017" s="3" t="s">
        <v>282</v>
      </c>
      <c r="C1017" s="3" t="s">
        <v>405</v>
      </c>
      <c r="D1017" s="3" t="s">
        <v>418</v>
      </c>
      <c r="E1017" s="3" t="s">
        <v>382</v>
      </c>
      <c r="F1017" s="16" t="n">
        <v>12</v>
      </c>
      <c r="G1017" s="15" t="n">
        <v>0</v>
      </c>
      <c r="H1017" s="16" t="n">
        <v>3</v>
      </c>
      <c r="I1017" s="33" t="n">
        <v>35700.72</v>
      </c>
      <c r="J1017" s="33" t="n">
        <v>35700.72</v>
      </c>
    </row>
    <row r="1018" customFormat="false" ht="15" hidden="false" customHeight="false" outlineLevel="0" collapsed="false">
      <c r="A1018" s="3" t="s">
        <v>1408</v>
      </c>
      <c r="B1018" s="3" t="s">
        <v>283</v>
      </c>
      <c r="C1018" s="3" t="s">
        <v>396</v>
      </c>
      <c r="D1018" s="3" t="s">
        <v>392</v>
      </c>
      <c r="E1018" s="3" t="s">
        <v>398</v>
      </c>
      <c r="F1018" s="16" t="n">
        <v>1</v>
      </c>
      <c r="G1018" s="15" t="n">
        <v>0</v>
      </c>
      <c r="H1018" s="16" t="n">
        <v>1</v>
      </c>
      <c r="I1018" s="33" t="n">
        <v>35681.4</v>
      </c>
      <c r="J1018" s="33" t="n">
        <v>35681.4</v>
      </c>
    </row>
    <row r="1019" customFormat="false" ht="15" hidden="false" customHeight="false" outlineLevel="0" collapsed="false">
      <c r="A1019" s="3" t="s">
        <v>1409</v>
      </c>
      <c r="B1019" s="3" t="s">
        <v>282</v>
      </c>
      <c r="C1019" s="3" t="s">
        <v>380</v>
      </c>
      <c r="D1019" s="3" t="s">
        <v>381</v>
      </c>
      <c r="E1019" s="3" t="s">
        <v>382</v>
      </c>
      <c r="F1019" s="16" t="n">
        <v>12</v>
      </c>
      <c r="G1019" s="15" t="n">
        <v>0.2</v>
      </c>
      <c r="H1019" s="16" t="n">
        <v>3</v>
      </c>
      <c r="I1019" s="33" t="n">
        <v>35627.52</v>
      </c>
      <c r="J1019" s="33" t="n">
        <v>44534.4</v>
      </c>
    </row>
    <row r="1020" customFormat="false" ht="15" hidden="false" customHeight="false" outlineLevel="0" collapsed="false">
      <c r="A1020" s="3" t="s">
        <v>1410</v>
      </c>
      <c r="B1020" s="3" t="s">
        <v>282</v>
      </c>
      <c r="C1020" s="3" t="s">
        <v>380</v>
      </c>
      <c r="D1020" s="3" t="s">
        <v>392</v>
      </c>
      <c r="E1020" s="3" t="s">
        <v>385</v>
      </c>
      <c r="F1020" s="16" t="n">
        <v>24</v>
      </c>
      <c r="G1020" s="15" t="n">
        <v>0</v>
      </c>
      <c r="H1020" s="16" t="n">
        <v>2</v>
      </c>
      <c r="I1020" s="33" t="n">
        <v>35500.32</v>
      </c>
      <c r="J1020" s="33" t="n">
        <v>35500.32</v>
      </c>
    </row>
    <row r="1021" customFormat="false" ht="15" hidden="false" customHeight="false" outlineLevel="0" collapsed="false">
      <c r="A1021" s="3" t="s">
        <v>1411</v>
      </c>
      <c r="B1021" s="3" t="s">
        <v>282</v>
      </c>
      <c r="C1021" s="3" t="s">
        <v>405</v>
      </c>
      <c r="D1021" s="3" t="s">
        <v>418</v>
      </c>
      <c r="E1021" s="3" t="s">
        <v>385</v>
      </c>
      <c r="F1021" s="16" t="n">
        <v>12</v>
      </c>
      <c r="G1021" s="15" t="n">
        <v>0</v>
      </c>
      <c r="H1021" s="16" t="n">
        <v>9</v>
      </c>
      <c r="I1021" s="33" t="n">
        <v>35494.8</v>
      </c>
      <c r="J1021" s="33" t="n">
        <v>35494.8</v>
      </c>
    </row>
    <row r="1022" customFormat="false" ht="15" hidden="false" customHeight="false" outlineLevel="0" collapsed="false">
      <c r="A1022" s="3" t="s">
        <v>1412</v>
      </c>
      <c r="B1022" s="3" t="s">
        <v>282</v>
      </c>
      <c r="C1022" s="3" t="s">
        <v>387</v>
      </c>
      <c r="D1022" s="3" t="s">
        <v>418</v>
      </c>
      <c r="E1022" s="3" t="s">
        <v>385</v>
      </c>
      <c r="F1022" s="16" t="n">
        <v>12</v>
      </c>
      <c r="G1022" s="15" t="n">
        <v>0.35</v>
      </c>
      <c r="H1022" s="16" t="n">
        <v>7</v>
      </c>
      <c r="I1022" s="33" t="n">
        <v>35457.12</v>
      </c>
      <c r="J1022" s="33" t="n">
        <v>54549.48</v>
      </c>
    </row>
    <row r="1023" customFormat="false" ht="15" hidden="false" customHeight="false" outlineLevel="0" collapsed="false">
      <c r="A1023" s="3" t="s">
        <v>1413</v>
      </c>
      <c r="B1023" s="3" t="s">
        <v>282</v>
      </c>
      <c r="C1023" s="3" t="s">
        <v>401</v>
      </c>
      <c r="D1023" s="3" t="s">
        <v>388</v>
      </c>
      <c r="E1023" s="3" t="s">
        <v>382</v>
      </c>
      <c r="F1023" s="16" t="n">
        <v>12</v>
      </c>
      <c r="G1023" s="15" t="n">
        <v>0</v>
      </c>
      <c r="H1023" s="16" t="n">
        <v>2</v>
      </c>
      <c r="I1023" s="33" t="n">
        <v>35437.44</v>
      </c>
      <c r="J1023" s="33" t="n">
        <v>35437.44</v>
      </c>
    </row>
    <row r="1024" customFormat="false" ht="15" hidden="false" customHeight="false" outlineLevel="0" collapsed="false">
      <c r="A1024" s="3" t="s">
        <v>1414</v>
      </c>
      <c r="B1024" s="3" t="s">
        <v>282</v>
      </c>
      <c r="C1024" s="3" t="s">
        <v>401</v>
      </c>
      <c r="D1024" s="3" t="s">
        <v>392</v>
      </c>
      <c r="E1024" s="3" t="s">
        <v>398</v>
      </c>
      <c r="F1024" s="16" t="n">
        <v>12</v>
      </c>
      <c r="G1024" s="15" t="n">
        <v>0</v>
      </c>
      <c r="H1024" s="16" t="n">
        <v>6</v>
      </c>
      <c r="I1024" s="33" t="n">
        <v>35412.72</v>
      </c>
      <c r="J1024" s="33" t="n">
        <v>35412.72</v>
      </c>
    </row>
    <row r="1025" customFormat="false" ht="15" hidden="false" customHeight="false" outlineLevel="0" collapsed="false">
      <c r="A1025" s="3" t="s">
        <v>1415</v>
      </c>
      <c r="B1025" s="3" t="s">
        <v>282</v>
      </c>
      <c r="C1025" s="3" t="s">
        <v>405</v>
      </c>
      <c r="D1025" s="3" t="s">
        <v>388</v>
      </c>
      <c r="E1025" s="3" t="s">
        <v>398</v>
      </c>
      <c r="F1025" s="16" t="n">
        <v>12</v>
      </c>
      <c r="G1025" s="15" t="n">
        <v>0</v>
      </c>
      <c r="H1025" s="16" t="n">
        <v>7</v>
      </c>
      <c r="I1025" s="33" t="n">
        <v>35409.6</v>
      </c>
      <c r="J1025" s="33" t="n">
        <v>35409.6</v>
      </c>
    </row>
    <row r="1026" customFormat="false" ht="15" hidden="false" customHeight="false" outlineLevel="0" collapsed="false">
      <c r="A1026" s="3" t="s">
        <v>1416</v>
      </c>
      <c r="B1026" s="3" t="s">
        <v>282</v>
      </c>
      <c r="C1026" s="3" t="s">
        <v>401</v>
      </c>
      <c r="D1026" s="3" t="s">
        <v>381</v>
      </c>
      <c r="E1026" s="3" t="s">
        <v>398</v>
      </c>
      <c r="F1026" s="16" t="n">
        <v>24</v>
      </c>
      <c r="G1026" s="15" t="n">
        <v>0.15</v>
      </c>
      <c r="H1026" s="16" t="n">
        <v>4</v>
      </c>
      <c r="I1026" s="33" t="n">
        <v>35409.6</v>
      </c>
      <c r="J1026" s="33" t="n">
        <v>41658.24</v>
      </c>
    </row>
    <row r="1027" customFormat="false" ht="15" hidden="false" customHeight="false" outlineLevel="0" collapsed="false">
      <c r="A1027" s="3" t="s">
        <v>1417</v>
      </c>
      <c r="B1027" s="3" t="s">
        <v>282</v>
      </c>
      <c r="C1027" s="3" t="s">
        <v>396</v>
      </c>
      <c r="D1027" s="3" t="s">
        <v>392</v>
      </c>
      <c r="E1027" s="3" t="s">
        <v>398</v>
      </c>
      <c r="F1027" s="16" t="n">
        <v>12</v>
      </c>
      <c r="G1027" s="15" t="n">
        <v>0.15</v>
      </c>
      <c r="H1027" s="16" t="n">
        <v>8</v>
      </c>
      <c r="I1027" s="33" t="n">
        <v>35396.52</v>
      </c>
      <c r="J1027" s="33" t="n">
        <v>41643</v>
      </c>
    </row>
    <row r="1028" customFormat="false" ht="15" hidden="false" customHeight="false" outlineLevel="0" collapsed="false">
      <c r="A1028" s="3" t="s">
        <v>1418</v>
      </c>
      <c r="B1028" s="3" t="s">
        <v>282</v>
      </c>
      <c r="C1028" s="3" t="s">
        <v>396</v>
      </c>
      <c r="D1028" s="3" t="s">
        <v>388</v>
      </c>
      <c r="E1028" s="3" t="s">
        <v>398</v>
      </c>
      <c r="F1028" s="16" t="n">
        <v>24</v>
      </c>
      <c r="G1028" s="15" t="n">
        <v>0</v>
      </c>
      <c r="H1028" s="16" t="n">
        <v>18</v>
      </c>
      <c r="I1028" s="33" t="n">
        <v>35388</v>
      </c>
      <c r="J1028" s="33" t="n">
        <v>35388</v>
      </c>
    </row>
    <row r="1029" customFormat="false" ht="15" hidden="false" customHeight="false" outlineLevel="0" collapsed="false">
      <c r="A1029" s="3" t="s">
        <v>1419</v>
      </c>
      <c r="B1029" s="3" t="s">
        <v>282</v>
      </c>
      <c r="C1029" s="3" t="s">
        <v>380</v>
      </c>
      <c r="D1029" s="3" t="s">
        <v>381</v>
      </c>
      <c r="E1029" s="3" t="s">
        <v>398</v>
      </c>
      <c r="F1029" s="16" t="n">
        <v>12</v>
      </c>
      <c r="G1029" s="15" t="n">
        <v>0.175</v>
      </c>
      <c r="H1029" s="16" t="n">
        <v>8</v>
      </c>
      <c r="I1029" s="33" t="n">
        <v>35298.96</v>
      </c>
      <c r="J1029" s="33" t="n">
        <v>42786.6</v>
      </c>
    </row>
    <row r="1030" customFormat="false" ht="15" hidden="false" customHeight="false" outlineLevel="0" collapsed="false">
      <c r="A1030" s="3" t="s">
        <v>1420</v>
      </c>
      <c r="B1030" s="3" t="s">
        <v>282</v>
      </c>
      <c r="C1030" s="3" t="s">
        <v>403</v>
      </c>
      <c r="D1030" s="3" t="s">
        <v>392</v>
      </c>
      <c r="E1030" s="3" t="s">
        <v>398</v>
      </c>
      <c r="F1030" s="16" t="n">
        <v>12</v>
      </c>
      <c r="G1030" s="15" t="n">
        <v>0</v>
      </c>
      <c r="H1030" s="16" t="n">
        <v>5</v>
      </c>
      <c r="I1030" s="33" t="n">
        <v>35296.92</v>
      </c>
      <c r="J1030" s="33" t="n">
        <v>35296.92</v>
      </c>
    </row>
    <row r="1031" customFormat="false" ht="15" hidden="false" customHeight="false" outlineLevel="0" collapsed="false">
      <c r="A1031" s="3" t="s">
        <v>1421</v>
      </c>
      <c r="B1031" s="3" t="s">
        <v>282</v>
      </c>
      <c r="C1031" s="3" t="s">
        <v>403</v>
      </c>
      <c r="D1031" s="3" t="s">
        <v>392</v>
      </c>
      <c r="E1031" s="3" t="s">
        <v>398</v>
      </c>
      <c r="F1031" s="16" t="n">
        <v>12</v>
      </c>
      <c r="G1031" s="15" t="n">
        <v>0</v>
      </c>
      <c r="H1031" s="16" t="n">
        <v>6</v>
      </c>
      <c r="I1031" s="33" t="n">
        <v>35125.8</v>
      </c>
      <c r="J1031" s="33" t="n">
        <v>35125.8</v>
      </c>
    </row>
    <row r="1032" customFormat="false" ht="15" hidden="false" customHeight="false" outlineLevel="0" collapsed="false">
      <c r="A1032" s="3" t="s">
        <v>1422</v>
      </c>
      <c r="B1032" s="3" t="s">
        <v>282</v>
      </c>
      <c r="C1032" s="3" t="s">
        <v>380</v>
      </c>
      <c r="D1032" s="3" t="s">
        <v>392</v>
      </c>
      <c r="E1032" s="3" t="s">
        <v>385</v>
      </c>
      <c r="F1032" s="16" t="n">
        <v>12</v>
      </c>
      <c r="G1032" s="15" t="n">
        <v>0.1</v>
      </c>
      <c r="H1032" s="16" t="n">
        <v>7</v>
      </c>
      <c r="I1032" s="33" t="n">
        <v>35067.84</v>
      </c>
      <c r="J1032" s="33" t="n">
        <v>38964.36</v>
      </c>
    </row>
    <row r="1033" customFormat="false" ht="15" hidden="false" customHeight="false" outlineLevel="0" collapsed="false">
      <c r="A1033" s="3" t="s">
        <v>1423</v>
      </c>
      <c r="B1033" s="3" t="s">
        <v>282</v>
      </c>
      <c r="C1033" s="3" t="s">
        <v>384</v>
      </c>
      <c r="D1033" s="3" t="s">
        <v>388</v>
      </c>
      <c r="E1033" s="3" t="s">
        <v>398</v>
      </c>
      <c r="F1033" s="16" t="n">
        <v>24</v>
      </c>
      <c r="G1033" s="15" t="n">
        <v>0</v>
      </c>
      <c r="H1033" s="16" t="n">
        <v>13</v>
      </c>
      <c r="I1033" s="33" t="n">
        <v>35012.16</v>
      </c>
      <c r="J1033" s="33" t="n">
        <v>35012.16</v>
      </c>
    </row>
    <row r="1034" customFormat="false" ht="15" hidden="false" customHeight="false" outlineLevel="0" collapsed="false">
      <c r="A1034" s="3" t="s">
        <v>1424</v>
      </c>
      <c r="B1034" s="3" t="s">
        <v>282</v>
      </c>
      <c r="C1034" s="3" t="s">
        <v>387</v>
      </c>
      <c r="D1034" s="3" t="s">
        <v>388</v>
      </c>
      <c r="E1034" s="3" t="s">
        <v>398</v>
      </c>
      <c r="F1034" s="16" t="n">
        <v>12</v>
      </c>
      <c r="G1034" s="15" t="n">
        <v>0.1</v>
      </c>
      <c r="H1034" s="16" t="n">
        <v>12</v>
      </c>
      <c r="I1034" s="33" t="n">
        <v>34960.2</v>
      </c>
      <c r="J1034" s="33" t="n">
        <v>38844.6</v>
      </c>
    </row>
    <row r="1035" customFormat="false" ht="15" hidden="false" customHeight="false" outlineLevel="0" collapsed="false">
      <c r="A1035" s="3" t="s">
        <v>1425</v>
      </c>
      <c r="B1035" s="3" t="s">
        <v>282</v>
      </c>
      <c r="C1035" s="3" t="s">
        <v>405</v>
      </c>
      <c r="D1035" s="3" t="s">
        <v>418</v>
      </c>
      <c r="E1035" s="3" t="s">
        <v>398</v>
      </c>
      <c r="F1035" s="16" t="n">
        <v>24</v>
      </c>
      <c r="G1035" s="15" t="n">
        <v>0.1</v>
      </c>
      <c r="H1035" s="16" t="n">
        <v>12</v>
      </c>
      <c r="I1035" s="33" t="n">
        <v>34921.32</v>
      </c>
      <c r="J1035" s="33" t="n">
        <v>38801.4</v>
      </c>
    </row>
    <row r="1036" customFormat="false" ht="15" hidden="false" customHeight="false" outlineLevel="0" collapsed="false">
      <c r="A1036" s="3" t="s">
        <v>1426</v>
      </c>
      <c r="B1036" s="3" t="s">
        <v>282</v>
      </c>
      <c r="C1036" s="3" t="s">
        <v>403</v>
      </c>
      <c r="D1036" s="3" t="s">
        <v>392</v>
      </c>
      <c r="E1036" s="3" t="s">
        <v>398</v>
      </c>
      <c r="F1036" s="16" t="n">
        <v>12</v>
      </c>
      <c r="G1036" s="15" t="n">
        <v>0</v>
      </c>
      <c r="H1036" s="16" t="n">
        <v>12</v>
      </c>
      <c r="I1036" s="33" t="n">
        <v>34867.08</v>
      </c>
      <c r="J1036" s="33" t="n">
        <v>34867.08</v>
      </c>
    </row>
    <row r="1037" customFormat="false" ht="15" hidden="false" customHeight="false" outlineLevel="0" collapsed="false">
      <c r="A1037" s="3" t="s">
        <v>1427</v>
      </c>
      <c r="B1037" s="3" t="s">
        <v>283</v>
      </c>
      <c r="C1037" s="3" t="s">
        <v>403</v>
      </c>
      <c r="D1037" s="3" t="s">
        <v>392</v>
      </c>
      <c r="E1037" s="3" t="s">
        <v>382</v>
      </c>
      <c r="F1037" s="16" t="n">
        <v>12</v>
      </c>
      <c r="G1037" s="15" t="n">
        <v>0</v>
      </c>
      <c r="H1037" s="16" t="n">
        <v>8</v>
      </c>
      <c r="I1037" s="33" t="n">
        <v>34830.48</v>
      </c>
      <c r="J1037" s="33" t="n">
        <v>34830.48</v>
      </c>
    </row>
    <row r="1038" customFormat="false" ht="15" hidden="false" customHeight="false" outlineLevel="0" collapsed="false">
      <c r="A1038" s="3" t="s">
        <v>1428</v>
      </c>
      <c r="B1038" s="3" t="s">
        <v>282</v>
      </c>
      <c r="C1038" s="3" t="s">
        <v>403</v>
      </c>
      <c r="D1038" s="3" t="s">
        <v>392</v>
      </c>
      <c r="E1038" s="3" t="s">
        <v>382</v>
      </c>
      <c r="F1038" s="16" t="n">
        <v>24</v>
      </c>
      <c r="G1038" s="15" t="n">
        <v>0.1</v>
      </c>
      <c r="H1038" s="16" t="n">
        <v>11</v>
      </c>
      <c r="I1038" s="33" t="n">
        <v>34798.68</v>
      </c>
      <c r="J1038" s="33" t="n">
        <v>38665.2</v>
      </c>
    </row>
    <row r="1039" customFormat="false" ht="15" hidden="false" customHeight="false" outlineLevel="0" collapsed="false">
      <c r="A1039" s="3" t="s">
        <v>1429</v>
      </c>
      <c r="B1039" s="3" t="s">
        <v>282</v>
      </c>
      <c r="C1039" s="3" t="s">
        <v>403</v>
      </c>
      <c r="D1039" s="3" t="s">
        <v>392</v>
      </c>
      <c r="E1039" s="3" t="s">
        <v>385</v>
      </c>
      <c r="F1039" s="16" t="n">
        <v>12</v>
      </c>
      <c r="G1039" s="15" t="n">
        <v>0.2</v>
      </c>
      <c r="H1039" s="16" t="n">
        <v>5</v>
      </c>
      <c r="I1039" s="33" t="n">
        <v>34775.52</v>
      </c>
      <c r="J1039" s="33" t="n">
        <v>43469.28</v>
      </c>
    </row>
    <row r="1040" customFormat="false" ht="15" hidden="false" customHeight="false" outlineLevel="0" collapsed="false">
      <c r="A1040" s="3" t="s">
        <v>1430</v>
      </c>
      <c r="B1040" s="3" t="s">
        <v>282</v>
      </c>
      <c r="C1040" s="3" t="s">
        <v>403</v>
      </c>
      <c r="D1040" s="3" t="s">
        <v>381</v>
      </c>
      <c r="E1040" s="3" t="s">
        <v>398</v>
      </c>
      <c r="F1040" s="16" t="n">
        <v>12</v>
      </c>
      <c r="G1040" s="15" t="n">
        <v>0.15</v>
      </c>
      <c r="H1040" s="16" t="n">
        <v>3</v>
      </c>
      <c r="I1040" s="33" t="n">
        <v>34761.6</v>
      </c>
      <c r="J1040" s="33" t="n">
        <v>40896</v>
      </c>
    </row>
    <row r="1041" customFormat="false" ht="15" hidden="false" customHeight="false" outlineLevel="0" collapsed="false">
      <c r="A1041" s="3" t="s">
        <v>1431</v>
      </c>
      <c r="B1041" s="3" t="s">
        <v>282</v>
      </c>
      <c r="C1041" s="3" t="s">
        <v>384</v>
      </c>
      <c r="D1041" s="3" t="s">
        <v>388</v>
      </c>
      <c r="E1041" s="3" t="s">
        <v>385</v>
      </c>
      <c r="F1041" s="16" t="n">
        <v>12</v>
      </c>
      <c r="G1041" s="15" t="n">
        <v>0</v>
      </c>
      <c r="H1041" s="16" t="n">
        <v>6</v>
      </c>
      <c r="I1041" s="33" t="n">
        <v>34742.04</v>
      </c>
      <c r="J1041" s="33" t="n">
        <v>34742.04</v>
      </c>
    </row>
    <row r="1042" customFormat="false" ht="15" hidden="false" customHeight="false" outlineLevel="0" collapsed="false">
      <c r="A1042" s="3" t="s">
        <v>1432</v>
      </c>
      <c r="B1042" s="3" t="s">
        <v>282</v>
      </c>
      <c r="C1042" s="3" t="s">
        <v>401</v>
      </c>
      <c r="D1042" s="3" t="s">
        <v>418</v>
      </c>
      <c r="E1042" s="3" t="s">
        <v>385</v>
      </c>
      <c r="F1042" s="16" t="n">
        <v>24</v>
      </c>
      <c r="G1042" s="15" t="n">
        <v>0.1</v>
      </c>
      <c r="H1042" s="16" t="n">
        <v>17</v>
      </c>
      <c r="I1042" s="33" t="n">
        <v>34715.28</v>
      </c>
      <c r="J1042" s="33" t="n">
        <v>38572.56</v>
      </c>
    </row>
    <row r="1043" customFormat="false" ht="15" hidden="false" customHeight="false" outlineLevel="0" collapsed="false">
      <c r="A1043" s="3" t="s">
        <v>1433</v>
      </c>
      <c r="B1043" s="3" t="s">
        <v>282</v>
      </c>
      <c r="C1043" s="3" t="s">
        <v>405</v>
      </c>
      <c r="D1043" s="3" t="s">
        <v>381</v>
      </c>
      <c r="E1043" s="3" t="s">
        <v>398</v>
      </c>
      <c r="F1043" s="16" t="n">
        <v>12</v>
      </c>
      <c r="G1043" s="15" t="n">
        <v>0</v>
      </c>
      <c r="H1043" s="16" t="n">
        <v>5</v>
      </c>
      <c r="I1043" s="33" t="n">
        <v>34690.68</v>
      </c>
      <c r="J1043" s="33" t="n">
        <v>34690.68</v>
      </c>
    </row>
    <row r="1044" customFormat="false" ht="15" hidden="false" customHeight="false" outlineLevel="0" collapsed="false">
      <c r="A1044" s="3" t="s">
        <v>1434</v>
      </c>
      <c r="B1044" s="3" t="s">
        <v>282</v>
      </c>
      <c r="C1044" s="3" t="s">
        <v>396</v>
      </c>
      <c r="D1044" s="3" t="s">
        <v>388</v>
      </c>
      <c r="E1044" s="3" t="s">
        <v>398</v>
      </c>
      <c r="F1044" s="16" t="n">
        <v>24</v>
      </c>
      <c r="G1044" s="15" t="n">
        <v>0</v>
      </c>
      <c r="H1044" s="16" t="n">
        <v>13</v>
      </c>
      <c r="I1044" s="33" t="n">
        <v>34656.48</v>
      </c>
      <c r="J1044" s="33" t="n">
        <v>34656.48</v>
      </c>
    </row>
    <row r="1045" customFormat="false" ht="15" hidden="false" customHeight="false" outlineLevel="0" collapsed="false">
      <c r="A1045" s="3" t="s">
        <v>1435</v>
      </c>
      <c r="B1045" s="3" t="s">
        <v>282</v>
      </c>
      <c r="C1045" s="3" t="s">
        <v>401</v>
      </c>
      <c r="D1045" s="3" t="s">
        <v>392</v>
      </c>
      <c r="E1045" s="3" t="s">
        <v>398</v>
      </c>
      <c r="F1045" s="16" t="n">
        <v>12</v>
      </c>
      <c r="G1045" s="15" t="n">
        <v>0</v>
      </c>
      <c r="H1045" s="16" t="n">
        <v>4</v>
      </c>
      <c r="I1045" s="33" t="n">
        <v>34639.2</v>
      </c>
      <c r="J1045" s="33" t="n">
        <v>34639.2</v>
      </c>
    </row>
    <row r="1046" customFormat="false" ht="15" hidden="false" customHeight="false" outlineLevel="0" collapsed="false">
      <c r="A1046" s="3" t="s">
        <v>1436</v>
      </c>
      <c r="B1046" s="3" t="s">
        <v>282</v>
      </c>
      <c r="C1046" s="3" t="s">
        <v>403</v>
      </c>
      <c r="D1046" s="3" t="s">
        <v>388</v>
      </c>
      <c r="E1046" s="3" t="s">
        <v>398</v>
      </c>
      <c r="F1046" s="16" t="n">
        <v>12</v>
      </c>
      <c r="G1046" s="15" t="n">
        <v>0</v>
      </c>
      <c r="H1046" s="16" t="n">
        <v>2</v>
      </c>
      <c r="I1046" s="33" t="n">
        <v>34579.2</v>
      </c>
      <c r="J1046" s="33" t="n">
        <v>34579.2</v>
      </c>
    </row>
    <row r="1047" customFormat="false" ht="15" hidden="false" customHeight="false" outlineLevel="0" collapsed="false">
      <c r="A1047" s="3" t="s">
        <v>1437</v>
      </c>
      <c r="B1047" s="3" t="s">
        <v>283</v>
      </c>
      <c r="C1047" s="3" t="s">
        <v>401</v>
      </c>
      <c r="D1047" s="3" t="s">
        <v>692</v>
      </c>
      <c r="E1047" s="3" t="s">
        <v>398</v>
      </c>
      <c r="F1047" s="16" t="n">
        <v>1</v>
      </c>
      <c r="G1047" s="15" t="n">
        <v>0</v>
      </c>
      <c r="H1047" s="16" t="n">
        <v>1</v>
      </c>
      <c r="I1047" s="33" t="n">
        <v>34523.52</v>
      </c>
      <c r="J1047" s="33" t="n">
        <v>34523.52</v>
      </c>
    </row>
    <row r="1048" customFormat="false" ht="15" hidden="false" customHeight="false" outlineLevel="0" collapsed="false">
      <c r="A1048" s="3" t="s">
        <v>1438</v>
      </c>
      <c r="B1048" s="3" t="s">
        <v>282</v>
      </c>
      <c r="C1048" s="3" t="s">
        <v>403</v>
      </c>
      <c r="D1048" s="3" t="s">
        <v>388</v>
      </c>
      <c r="E1048" s="3" t="s">
        <v>398</v>
      </c>
      <c r="F1048" s="16" t="n">
        <v>12</v>
      </c>
      <c r="G1048" s="15" t="n">
        <v>0</v>
      </c>
      <c r="H1048" s="16" t="n">
        <v>6</v>
      </c>
      <c r="I1048" s="33" t="n">
        <v>34385.76</v>
      </c>
      <c r="J1048" s="33" t="n">
        <v>34385.76</v>
      </c>
    </row>
    <row r="1049" customFormat="false" ht="15" hidden="false" customHeight="false" outlineLevel="0" collapsed="false">
      <c r="A1049" s="3" t="s">
        <v>1439</v>
      </c>
      <c r="B1049" s="3" t="s">
        <v>282</v>
      </c>
      <c r="C1049" s="3" t="s">
        <v>380</v>
      </c>
      <c r="D1049" s="3" t="s">
        <v>392</v>
      </c>
      <c r="E1049" s="3" t="s">
        <v>398</v>
      </c>
      <c r="F1049" s="16" t="n">
        <v>12</v>
      </c>
      <c r="G1049" s="15" t="n">
        <v>0</v>
      </c>
      <c r="H1049" s="16" t="n">
        <v>10</v>
      </c>
      <c r="I1049" s="33" t="n">
        <v>34368.36</v>
      </c>
      <c r="J1049" s="33" t="n">
        <v>34368.36</v>
      </c>
    </row>
    <row r="1050" customFormat="false" ht="15" hidden="false" customHeight="false" outlineLevel="0" collapsed="false">
      <c r="A1050" s="3" t="s">
        <v>1440</v>
      </c>
      <c r="B1050" s="3" t="s">
        <v>282</v>
      </c>
      <c r="C1050" s="3" t="s">
        <v>384</v>
      </c>
      <c r="D1050" s="3" t="s">
        <v>388</v>
      </c>
      <c r="E1050" s="3" t="s">
        <v>398</v>
      </c>
      <c r="F1050" s="16" t="n">
        <v>12</v>
      </c>
      <c r="G1050" s="15" t="n">
        <v>0.25</v>
      </c>
      <c r="H1050" s="16" t="n">
        <v>1</v>
      </c>
      <c r="I1050" s="33" t="n">
        <v>34364.52</v>
      </c>
      <c r="J1050" s="33" t="n">
        <v>45819.36</v>
      </c>
    </row>
    <row r="1051" customFormat="false" ht="15" hidden="false" customHeight="false" outlineLevel="0" collapsed="false">
      <c r="A1051" s="3" t="s">
        <v>1441</v>
      </c>
      <c r="B1051" s="3" t="s">
        <v>282</v>
      </c>
      <c r="C1051" s="3" t="s">
        <v>403</v>
      </c>
      <c r="D1051" s="3" t="s">
        <v>388</v>
      </c>
      <c r="E1051" s="3" t="s">
        <v>398</v>
      </c>
      <c r="F1051" s="16" t="n">
        <v>12</v>
      </c>
      <c r="G1051" s="15" t="n">
        <v>0</v>
      </c>
      <c r="H1051" s="16" t="n">
        <v>6</v>
      </c>
      <c r="I1051" s="33" t="n">
        <v>34357.92</v>
      </c>
      <c r="J1051" s="33" t="n">
        <v>34357.92</v>
      </c>
    </row>
    <row r="1052" customFormat="false" ht="15" hidden="false" customHeight="false" outlineLevel="0" collapsed="false">
      <c r="A1052" s="3" t="s">
        <v>1442</v>
      </c>
      <c r="B1052" s="3" t="s">
        <v>282</v>
      </c>
      <c r="C1052" s="3" t="s">
        <v>405</v>
      </c>
      <c r="D1052" s="3" t="s">
        <v>392</v>
      </c>
      <c r="E1052" s="3" t="s">
        <v>385</v>
      </c>
      <c r="F1052" s="16" t="n">
        <v>12</v>
      </c>
      <c r="G1052" s="15" t="n">
        <v>0.2</v>
      </c>
      <c r="H1052" s="16" t="n">
        <v>10</v>
      </c>
      <c r="I1052" s="33" t="n">
        <v>34338.72</v>
      </c>
      <c r="J1052" s="33" t="n">
        <v>42923.4</v>
      </c>
    </row>
    <row r="1053" customFormat="false" ht="15" hidden="false" customHeight="false" outlineLevel="0" collapsed="false">
      <c r="A1053" s="3" t="s">
        <v>1443</v>
      </c>
      <c r="B1053" s="3" t="s">
        <v>282</v>
      </c>
      <c r="C1053" s="3" t="s">
        <v>396</v>
      </c>
      <c r="D1053" s="3" t="s">
        <v>381</v>
      </c>
      <c r="E1053" s="3" t="s">
        <v>398</v>
      </c>
      <c r="F1053" s="16" t="n">
        <v>24</v>
      </c>
      <c r="G1053" s="15" t="n">
        <v>0</v>
      </c>
      <c r="H1053" s="16" t="n">
        <v>21</v>
      </c>
      <c r="I1053" s="33" t="n">
        <v>34280.88</v>
      </c>
      <c r="J1053" s="33" t="n">
        <v>34280.88</v>
      </c>
    </row>
    <row r="1054" customFormat="false" ht="15" hidden="false" customHeight="false" outlineLevel="0" collapsed="false">
      <c r="A1054" s="3" t="s">
        <v>1444</v>
      </c>
      <c r="B1054" s="3" t="s">
        <v>283</v>
      </c>
      <c r="C1054" s="3" t="s">
        <v>384</v>
      </c>
      <c r="D1054" s="3" t="s">
        <v>692</v>
      </c>
      <c r="E1054" s="3" t="s">
        <v>382</v>
      </c>
      <c r="F1054" s="16" t="n">
        <v>12</v>
      </c>
      <c r="G1054" s="15" t="n">
        <v>0</v>
      </c>
      <c r="H1054" s="16" t="n">
        <v>3</v>
      </c>
      <c r="I1054" s="33" t="n">
        <v>34209.96</v>
      </c>
      <c r="J1054" s="33" t="n">
        <v>34209.96</v>
      </c>
    </row>
    <row r="1055" customFormat="false" ht="15" hidden="false" customHeight="false" outlineLevel="0" collapsed="false">
      <c r="A1055" s="3" t="s">
        <v>1445</v>
      </c>
      <c r="B1055" s="3" t="s">
        <v>282</v>
      </c>
      <c r="C1055" s="3" t="s">
        <v>405</v>
      </c>
      <c r="D1055" s="3" t="s">
        <v>418</v>
      </c>
      <c r="E1055" s="3" t="s">
        <v>398</v>
      </c>
      <c r="F1055" s="16" t="n">
        <v>12</v>
      </c>
      <c r="G1055" s="15" t="n">
        <v>0</v>
      </c>
      <c r="H1055" s="16" t="n">
        <v>11</v>
      </c>
      <c r="I1055" s="33" t="n">
        <v>34199.16</v>
      </c>
      <c r="J1055" s="33" t="n">
        <v>34199.16</v>
      </c>
    </row>
    <row r="1056" customFormat="false" ht="15" hidden="false" customHeight="false" outlineLevel="0" collapsed="false">
      <c r="A1056" s="3" t="s">
        <v>1446</v>
      </c>
      <c r="B1056" s="3" t="s">
        <v>282</v>
      </c>
      <c r="C1056" s="3" t="s">
        <v>403</v>
      </c>
      <c r="D1056" s="3" t="s">
        <v>392</v>
      </c>
      <c r="E1056" s="3" t="s">
        <v>398</v>
      </c>
      <c r="F1056" s="16" t="n">
        <v>12</v>
      </c>
      <c r="G1056" s="15" t="n">
        <v>0</v>
      </c>
      <c r="H1056" s="16" t="n">
        <v>9</v>
      </c>
      <c r="I1056" s="33" t="n">
        <v>34168.32</v>
      </c>
      <c r="J1056" s="33" t="n">
        <v>34168.32</v>
      </c>
    </row>
    <row r="1057" customFormat="false" ht="15" hidden="false" customHeight="false" outlineLevel="0" collapsed="false">
      <c r="A1057" s="3" t="s">
        <v>1447</v>
      </c>
      <c r="B1057" s="3" t="s">
        <v>283</v>
      </c>
      <c r="C1057" s="3" t="s">
        <v>384</v>
      </c>
      <c r="D1057" s="3" t="s">
        <v>418</v>
      </c>
      <c r="E1057" s="3" t="s">
        <v>382</v>
      </c>
      <c r="F1057" s="16" t="n">
        <v>12</v>
      </c>
      <c r="G1057" s="15" t="n">
        <v>0.1</v>
      </c>
      <c r="H1057" s="16" t="n">
        <v>11</v>
      </c>
      <c r="I1057" s="33" t="n">
        <v>34165.68</v>
      </c>
      <c r="J1057" s="33" t="n">
        <v>37961.88</v>
      </c>
    </row>
    <row r="1058" customFormat="false" ht="15" hidden="false" customHeight="false" outlineLevel="0" collapsed="false">
      <c r="A1058" s="3" t="s">
        <v>1448</v>
      </c>
      <c r="B1058" s="3" t="s">
        <v>282</v>
      </c>
      <c r="C1058" s="3" t="s">
        <v>380</v>
      </c>
      <c r="D1058" s="3" t="s">
        <v>392</v>
      </c>
      <c r="E1058" s="3" t="s">
        <v>398</v>
      </c>
      <c r="F1058" s="16" t="n">
        <v>24</v>
      </c>
      <c r="G1058" s="15" t="n">
        <v>0</v>
      </c>
      <c r="H1058" s="16" t="n">
        <v>7</v>
      </c>
      <c r="I1058" s="33" t="n">
        <v>33996.72</v>
      </c>
      <c r="J1058" s="33" t="n">
        <v>33996.72</v>
      </c>
    </row>
    <row r="1059" customFormat="false" ht="15" hidden="false" customHeight="false" outlineLevel="0" collapsed="false">
      <c r="A1059" s="3" t="s">
        <v>1449</v>
      </c>
      <c r="B1059" s="3" t="s">
        <v>282</v>
      </c>
      <c r="C1059" s="3" t="s">
        <v>403</v>
      </c>
      <c r="D1059" s="3" t="s">
        <v>381</v>
      </c>
      <c r="E1059" s="3" t="s">
        <v>398</v>
      </c>
      <c r="F1059" s="16" t="n">
        <v>12</v>
      </c>
      <c r="G1059" s="15" t="n">
        <v>0</v>
      </c>
      <c r="H1059" s="16" t="n">
        <v>1</v>
      </c>
      <c r="I1059" s="33" t="n">
        <v>33934.56</v>
      </c>
      <c r="J1059" s="33" t="n">
        <v>33934.56</v>
      </c>
    </row>
    <row r="1060" customFormat="false" ht="15" hidden="false" customHeight="false" outlineLevel="0" collapsed="false">
      <c r="A1060" s="3" t="s">
        <v>1450</v>
      </c>
      <c r="B1060" s="3" t="s">
        <v>282</v>
      </c>
      <c r="C1060" s="3" t="s">
        <v>396</v>
      </c>
      <c r="D1060" s="3" t="s">
        <v>392</v>
      </c>
      <c r="E1060" s="3" t="s">
        <v>398</v>
      </c>
      <c r="F1060" s="16" t="n">
        <v>24</v>
      </c>
      <c r="G1060" s="15" t="n">
        <v>0.1</v>
      </c>
      <c r="H1060" s="16" t="n">
        <v>13</v>
      </c>
      <c r="I1060" s="33" t="n">
        <v>33863.64</v>
      </c>
      <c r="J1060" s="33" t="n">
        <v>37626.24</v>
      </c>
    </row>
    <row r="1061" customFormat="false" ht="15" hidden="false" customHeight="false" outlineLevel="0" collapsed="false">
      <c r="A1061" s="3" t="s">
        <v>1451</v>
      </c>
      <c r="B1061" s="3" t="s">
        <v>282</v>
      </c>
      <c r="C1061" s="3" t="s">
        <v>405</v>
      </c>
      <c r="D1061" s="3" t="s">
        <v>381</v>
      </c>
      <c r="E1061" s="3" t="s">
        <v>382</v>
      </c>
      <c r="F1061" s="16" t="n">
        <v>12</v>
      </c>
      <c r="G1061" s="15" t="n">
        <v>0.05</v>
      </c>
      <c r="H1061" s="16" t="n">
        <v>7</v>
      </c>
      <c r="I1061" s="33" t="n">
        <v>33810.84</v>
      </c>
      <c r="J1061" s="33" t="n">
        <v>35590.32</v>
      </c>
    </row>
    <row r="1062" customFormat="false" ht="15" hidden="false" customHeight="false" outlineLevel="0" collapsed="false">
      <c r="A1062" s="3" t="s">
        <v>1452</v>
      </c>
      <c r="B1062" s="3" t="s">
        <v>282</v>
      </c>
      <c r="C1062" s="3" t="s">
        <v>405</v>
      </c>
      <c r="D1062" s="3" t="s">
        <v>692</v>
      </c>
      <c r="E1062" s="3" t="s">
        <v>398</v>
      </c>
      <c r="F1062" s="16" t="n">
        <v>24</v>
      </c>
      <c r="G1062" s="15" t="n">
        <v>0</v>
      </c>
      <c r="H1062" s="16" t="n">
        <v>8</v>
      </c>
      <c r="I1062" s="33" t="n">
        <v>33801</v>
      </c>
      <c r="J1062" s="33" t="n">
        <v>33801</v>
      </c>
    </row>
    <row r="1063" customFormat="false" ht="15" hidden="false" customHeight="false" outlineLevel="0" collapsed="false">
      <c r="A1063" s="3" t="s">
        <v>1453</v>
      </c>
      <c r="B1063" s="3" t="s">
        <v>282</v>
      </c>
      <c r="C1063" s="3" t="s">
        <v>380</v>
      </c>
      <c r="D1063" s="3" t="s">
        <v>381</v>
      </c>
      <c r="E1063" s="3" t="s">
        <v>398</v>
      </c>
      <c r="F1063" s="16" t="n">
        <v>12</v>
      </c>
      <c r="G1063" s="15" t="n">
        <v>0</v>
      </c>
      <c r="H1063" s="16" t="n">
        <v>7</v>
      </c>
      <c r="I1063" s="33" t="n">
        <v>33679.92</v>
      </c>
      <c r="J1063" s="33" t="n">
        <v>33679.92</v>
      </c>
    </row>
    <row r="1064" customFormat="false" ht="15" hidden="false" customHeight="false" outlineLevel="0" collapsed="false">
      <c r="A1064" s="3" t="s">
        <v>1454</v>
      </c>
      <c r="B1064" s="3" t="s">
        <v>282</v>
      </c>
      <c r="C1064" s="3" t="s">
        <v>401</v>
      </c>
      <c r="D1064" s="3" t="s">
        <v>392</v>
      </c>
      <c r="E1064" s="3" t="s">
        <v>382</v>
      </c>
      <c r="F1064" s="16" t="n">
        <v>12</v>
      </c>
      <c r="G1064" s="15" t="n">
        <v>0</v>
      </c>
      <c r="H1064" s="16" t="n">
        <v>6</v>
      </c>
      <c r="I1064" s="33" t="n">
        <v>33664.44</v>
      </c>
      <c r="J1064" s="33" t="n">
        <v>33664.44</v>
      </c>
    </row>
    <row r="1065" customFormat="false" ht="15" hidden="false" customHeight="false" outlineLevel="0" collapsed="false">
      <c r="A1065" s="3" t="s">
        <v>1455</v>
      </c>
      <c r="B1065" s="3" t="s">
        <v>282</v>
      </c>
      <c r="C1065" s="3" t="s">
        <v>380</v>
      </c>
      <c r="D1065" s="3" t="s">
        <v>692</v>
      </c>
      <c r="E1065" s="3" t="s">
        <v>385</v>
      </c>
      <c r="F1065" s="16" t="n">
        <v>12</v>
      </c>
      <c r="G1065" s="15" t="n">
        <v>0</v>
      </c>
      <c r="H1065" s="16" t="n">
        <v>10</v>
      </c>
      <c r="I1065" s="33" t="n">
        <v>33657</v>
      </c>
      <c r="J1065" s="33" t="n">
        <v>33657</v>
      </c>
    </row>
    <row r="1066" customFormat="false" ht="15" hidden="false" customHeight="false" outlineLevel="0" collapsed="false">
      <c r="A1066" s="3" t="s">
        <v>1456</v>
      </c>
      <c r="B1066" s="3" t="s">
        <v>282</v>
      </c>
      <c r="C1066" s="3" t="s">
        <v>384</v>
      </c>
      <c r="D1066" s="3" t="s">
        <v>381</v>
      </c>
      <c r="E1066" s="3" t="s">
        <v>398</v>
      </c>
      <c r="F1066" s="16" t="n">
        <v>12</v>
      </c>
      <c r="G1066" s="15" t="n">
        <v>0</v>
      </c>
      <c r="H1066" s="16" t="n">
        <v>6</v>
      </c>
      <c r="I1066" s="33" t="n">
        <v>33631.44</v>
      </c>
      <c r="J1066" s="33" t="n">
        <v>33631.44</v>
      </c>
    </row>
    <row r="1067" customFormat="false" ht="15" hidden="false" customHeight="false" outlineLevel="0" collapsed="false">
      <c r="A1067" s="3" t="s">
        <v>1457</v>
      </c>
      <c r="B1067" s="3" t="s">
        <v>282</v>
      </c>
      <c r="C1067" s="3" t="s">
        <v>384</v>
      </c>
      <c r="D1067" s="3" t="s">
        <v>381</v>
      </c>
      <c r="E1067" s="3" t="s">
        <v>398</v>
      </c>
      <c r="F1067" s="16" t="n">
        <v>12</v>
      </c>
      <c r="G1067" s="15" t="n">
        <v>0.15</v>
      </c>
      <c r="H1067" s="16" t="n">
        <v>3</v>
      </c>
      <c r="I1067" s="33" t="n">
        <v>33607.68</v>
      </c>
      <c r="J1067" s="33" t="n">
        <v>39538.44</v>
      </c>
    </row>
    <row r="1068" customFormat="false" ht="15" hidden="false" customHeight="false" outlineLevel="0" collapsed="false">
      <c r="A1068" s="3" t="s">
        <v>1458</v>
      </c>
      <c r="B1068" s="3" t="s">
        <v>282</v>
      </c>
      <c r="C1068" s="3" t="s">
        <v>387</v>
      </c>
      <c r="D1068" s="3" t="s">
        <v>418</v>
      </c>
      <c r="E1068" s="3" t="s">
        <v>398</v>
      </c>
      <c r="F1068" s="16" t="n">
        <v>12</v>
      </c>
      <c r="G1068" s="15" t="n">
        <v>0</v>
      </c>
      <c r="H1068" s="16" t="n">
        <v>2</v>
      </c>
      <c r="I1068" s="33" t="n">
        <v>33511.56</v>
      </c>
      <c r="J1068" s="33" t="n">
        <v>33511.56</v>
      </c>
    </row>
    <row r="1069" customFormat="false" ht="15" hidden="false" customHeight="false" outlineLevel="0" collapsed="false">
      <c r="A1069" s="3" t="s">
        <v>1459</v>
      </c>
      <c r="B1069" s="3" t="s">
        <v>282</v>
      </c>
      <c r="C1069" s="3" t="s">
        <v>405</v>
      </c>
      <c r="D1069" s="3" t="s">
        <v>392</v>
      </c>
      <c r="E1069" s="3" t="s">
        <v>398</v>
      </c>
      <c r="F1069" s="16" t="n">
        <v>24</v>
      </c>
      <c r="G1069" s="15" t="n">
        <v>0</v>
      </c>
      <c r="H1069" s="16" t="n">
        <v>14</v>
      </c>
      <c r="I1069" s="33" t="n">
        <v>33419.28</v>
      </c>
      <c r="J1069" s="33" t="n">
        <v>33419.28</v>
      </c>
    </row>
    <row r="1070" customFormat="false" ht="15" hidden="false" customHeight="false" outlineLevel="0" collapsed="false">
      <c r="A1070" s="3" t="s">
        <v>1460</v>
      </c>
      <c r="B1070" s="3" t="s">
        <v>283</v>
      </c>
      <c r="C1070" s="3" t="s">
        <v>396</v>
      </c>
      <c r="D1070" s="3" t="s">
        <v>392</v>
      </c>
      <c r="E1070" s="3" t="s">
        <v>398</v>
      </c>
      <c r="F1070" s="16" t="n">
        <v>1</v>
      </c>
      <c r="G1070" s="15" t="n">
        <v>0</v>
      </c>
      <c r="H1070" s="16" t="n">
        <v>1</v>
      </c>
      <c r="I1070" s="33" t="n">
        <v>33400.2</v>
      </c>
      <c r="J1070" s="33" t="n">
        <v>33400.2</v>
      </c>
    </row>
    <row r="1071" customFormat="false" ht="15" hidden="false" customHeight="false" outlineLevel="0" collapsed="false">
      <c r="A1071" s="3" t="s">
        <v>1461</v>
      </c>
      <c r="B1071" s="3" t="s">
        <v>282</v>
      </c>
      <c r="C1071" s="3" t="s">
        <v>396</v>
      </c>
      <c r="D1071" s="3" t="s">
        <v>381</v>
      </c>
      <c r="E1071" s="3" t="s">
        <v>385</v>
      </c>
      <c r="F1071" s="16" t="n">
        <v>24</v>
      </c>
      <c r="G1071" s="15" t="n">
        <v>0.2</v>
      </c>
      <c r="H1071" s="16" t="n">
        <v>19</v>
      </c>
      <c r="I1071" s="33" t="n">
        <v>33389.16</v>
      </c>
      <c r="J1071" s="33" t="n">
        <v>41736.36</v>
      </c>
    </row>
    <row r="1072" customFormat="false" ht="15" hidden="false" customHeight="false" outlineLevel="0" collapsed="false">
      <c r="A1072" s="3" t="s">
        <v>1462</v>
      </c>
      <c r="B1072" s="3" t="s">
        <v>282</v>
      </c>
      <c r="C1072" s="3" t="s">
        <v>401</v>
      </c>
      <c r="D1072" s="3" t="s">
        <v>392</v>
      </c>
      <c r="E1072" s="3" t="s">
        <v>385</v>
      </c>
      <c r="F1072" s="16" t="n">
        <v>12</v>
      </c>
      <c r="G1072" s="15" t="n">
        <v>0</v>
      </c>
      <c r="H1072" s="16" t="n">
        <v>1</v>
      </c>
      <c r="I1072" s="33" t="n">
        <v>33358.68</v>
      </c>
      <c r="J1072" s="33" t="n">
        <v>33358.68</v>
      </c>
    </row>
    <row r="1073" customFormat="false" ht="15" hidden="false" customHeight="false" outlineLevel="0" collapsed="false">
      <c r="A1073" s="3" t="s">
        <v>1463</v>
      </c>
      <c r="B1073" s="3" t="s">
        <v>282</v>
      </c>
      <c r="C1073" s="3" t="s">
        <v>403</v>
      </c>
      <c r="D1073" s="3" t="s">
        <v>392</v>
      </c>
      <c r="E1073" s="3" t="s">
        <v>398</v>
      </c>
      <c r="F1073" s="16" t="n">
        <v>12</v>
      </c>
      <c r="G1073" s="15" t="n">
        <v>0</v>
      </c>
      <c r="H1073" s="16" t="n">
        <v>12</v>
      </c>
      <c r="I1073" s="33" t="n">
        <v>33316.32</v>
      </c>
      <c r="J1073" s="33" t="n">
        <v>33316.32</v>
      </c>
    </row>
    <row r="1074" customFormat="false" ht="15" hidden="false" customHeight="false" outlineLevel="0" collapsed="false">
      <c r="A1074" s="3" t="s">
        <v>1464</v>
      </c>
      <c r="B1074" s="3" t="s">
        <v>282</v>
      </c>
      <c r="C1074" s="3" t="s">
        <v>384</v>
      </c>
      <c r="D1074" s="3" t="s">
        <v>392</v>
      </c>
      <c r="E1074" s="3" t="s">
        <v>398</v>
      </c>
      <c r="F1074" s="16" t="n">
        <v>12</v>
      </c>
      <c r="G1074" s="15" t="n">
        <v>0</v>
      </c>
      <c r="H1074" s="16" t="n">
        <v>9</v>
      </c>
      <c r="I1074" s="33" t="n">
        <v>33311.16</v>
      </c>
      <c r="J1074" s="33" t="n">
        <v>33311.16</v>
      </c>
    </row>
    <row r="1075" customFormat="false" ht="15" hidden="false" customHeight="false" outlineLevel="0" collapsed="false">
      <c r="A1075" s="3" t="s">
        <v>1465</v>
      </c>
      <c r="B1075" s="3" t="s">
        <v>282</v>
      </c>
      <c r="C1075" s="3" t="s">
        <v>384</v>
      </c>
      <c r="D1075" s="3" t="s">
        <v>381</v>
      </c>
      <c r="E1075" s="3" t="s">
        <v>398</v>
      </c>
      <c r="F1075" s="16" t="n">
        <v>12</v>
      </c>
      <c r="G1075" s="15" t="n">
        <v>0.1</v>
      </c>
      <c r="H1075" s="16" t="n">
        <v>6</v>
      </c>
      <c r="I1075" s="33" t="n">
        <v>33266.4</v>
      </c>
      <c r="J1075" s="33" t="n">
        <v>36962.64</v>
      </c>
    </row>
    <row r="1076" customFormat="false" ht="15" hidden="false" customHeight="false" outlineLevel="0" collapsed="false">
      <c r="A1076" s="3" t="s">
        <v>1466</v>
      </c>
      <c r="B1076" s="3" t="s">
        <v>282</v>
      </c>
      <c r="C1076" s="3" t="s">
        <v>396</v>
      </c>
      <c r="D1076" s="3" t="s">
        <v>418</v>
      </c>
      <c r="E1076" s="3" t="s">
        <v>398</v>
      </c>
      <c r="F1076" s="16" t="n">
        <v>24</v>
      </c>
      <c r="G1076" s="15" t="n">
        <v>0.1</v>
      </c>
      <c r="H1076" s="16" t="n">
        <v>21</v>
      </c>
      <c r="I1076" s="33" t="n">
        <v>33251.04</v>
      </c>
      <c r="J1076" s="33" t="n">
        <v>36945.6</v>
      </c>
    </row>
    <row r="1077" customFormat="false" ht="15" hidden="false" customHeight="false" outlineLevel="0" collapsed="false">
      <c r="A1077" s="3" t="s">
        <v>1467</v>
      </c>
      <c r="B1077" s="3" t="s">
        <v>282</v>
      </c>
      <c r="C1077" s="3" t="s">
        <v>384</v>
      </c>
      <c r="D1077" s="3" t="s">
        <v>418</v>
      </c>
      <c r="E1077" s="3" t="s">
        <v>382</v>
      </c>
      <c r="F1077" s="16" t="n">
        <v>12</v>
      </c>
      <c r="G1077" s="15" t="n">
        <v>0</v>
      </c>
      <c r="H1077" s="16" t="n">
        <v>9</v>
      </c>
      <c r="I1077" s="33" t="n">
        <v>33248.76</v>
      </c>
      <c r="J1077" s="33" t="n">
        <v>33248.76</v>
      </c>
    </row>
    <row r="1078" customFormat="false" ht="15" hidden="false" customHeight="false" outlineLevel="0" collapsed="false">
      <c r="A1078" s="3" t="s">
        <v>1468</v>
      </c>
      <c r="B1078" s="3" t="s">
        <v>282</v>
      </c>
      <c r="C1078" s="3" t="s">
        <v>384</v>
      </c>
      <c r="D1078" s="3" t="s">
        <v>418</v>
      </c>
      <c r="E1078" s="3" t="s">
        <v>385</v>
      </c>
      <c r="F1078" s="16" t="n">
        <v>12</v>
      </c>
      <c r="G1078" s="15" t="n">
        <v>0</v>
      </c>
      <c r="H1078" s="16" t="n">
        <v>1</v>
      </c>
      <c r="I1078" s="33" t="n">
        <v>33246.72</v>
      </c>
      <c r="J1078" s="33" t="n">
        <v>33246.72</v>
      </c>
    </row>
    <row r="1079" customFormat="false" ht="15" hidden="false" customHeight="false" outlineLevel="0" collapsed="false">
      <c r="A1079" s="3" t="s">
        <v>1469</v>
      </c>
      <c r="B1079" s="3" t="s">
        <v>282</v>
      </c>
      <c r="C1079" s="3" t="s">
        <v>396</v>
      </c>
      <c r="D1079" s="3" t="s">
        <v>692</v>
      </c>
      <c r="E1079" s="3" t="s">
        <v>385</v>
      </c>
      <c r="F1079" s="16" t="n">
        <v>24</v>
      </c>
      <c r="G1079" s="15" t="n">
        <v>0</v>
      </c>
      <c r="H1079" s="16" t="n">
        <v>20</v>
      </c>
      <c r="I1079" s="33" t="n">
        <v>33235.56</v>
      </c>
      <c r="J1079" s="33" t="n">
        <v>33235.56</v>
      </c>
    </row>
    <row r="1080" customFormat="false" ht="15" hidden="false" customHeight="false" outlineLevel="0" collapsed="false">
      <c r="A1080" s="3" t="s">
        <v>1470</v>
      </c>
      <c r="B1080" s="3" t="s">
        <v>282</v>
      </c>
      <c r="C1080" s="3" t="s">
        <v>405</v>
      </c>
      <c r="D1080" s="3" t="s">
        <v>381</v>
      </c>
      <c r="E1080" s="3" t="s">
        <v>382</v>
      </c>
      <c r="F1080" s="16" t="n">
        <v>24</v>
      </c>
      <c r="G1080" s="15" t="n">
        <v>0.1</v>
      </c>
      <c r="H1080" s="16" t="n">
        <v>16</v>
      </c>
      <c r="I1080" s="33" t="n">
        <v>33161.64</v>
      </c>
      <c r="J1080" s="33" t="n">
        <v>36846.36</v>
      </c>
    </row>
    <row r="1081" customFormat="false" ht="15" hidden="false" customHeight="false" outlineLevel="0" collapsed="false">
      <c r="A1081" s="3" t="s">
        <v>1471</v>
      </c>
      <c r="B1081" s="3" t="s">
        <v>282</v>
      </c>
      <c r="C1081" s="3" t="s">
        <v>401</v>
      </c>
      <c r="D1081" s="3" t="s">
        <v>418</v>
      </c>
      <c r="E1081" s="3" t="s">
        <v>398</v>
      </c>
      <c r="F1081" s="16" t="n">
        <v>12</v>
      </c>
      <c r="G1081" s="15" t="n">
        <v>0</v>
      </c>
      <c r="H1081" s="16" t="n">
        <v>1</v>
      </c>
      <c r="I1081" s="33" t="n">
        <v>33135.24</v>
      </c>
      <c r="J1081" s="33" t="n">
        <v>33135.24</v>
      </c>
    </row>
    <row r="1082" customFormat="false" ht="15" hidden="false" customHeight="false" outlineLevel="0" collapsed="false">
      <c r="A1082" s="3" t="s">
        <v>1472</v>
      </c>
      <c r="B1082" s="3" t="s">
        <v>282</v>
      </c>
      <c r="C1082" s="3" t="s">
        <v>396</v>
      </c>
      <c r="D1082" s="3" t="s">
        <v>381</v>
      </c>
      <c r="E1082" s="3" t="s">
        <v>385</v>
      </c>
      <c r="F1082" s="16" t="n">
        <v>12</v>
      </c>
      <c r="G1082" s="15" t="n">
        <v>0</v>
      </c>
      <c r="H1082" s="16" t="n">
        <v>2</v>
      </c>
      <c r="I1082" s="33" t="n">
        <v>33102.24</v>
      </c>
      <c r="J1082" s="33" t="n">
        <v>33102.24</v>
      </c>
    </row>
    <row r="1083" customFormat="false" ht="15" hidden="false" customHeight="false" outlineLevel="0" collapsed="false">
      <c r="A1083" s="3" t="s">
        <v>1473</v>
      </c>
      <c r="B1083" s="3" t="s">
        <v>282</v>
      </c>
      <c r="C1083" s="3" t="s">
        <v>401</v>
      </c>
      <c r="D1083" s="3" t="s">
        <v>418</v>
      </c>
      <c r="E1083" s="3" t="s">
        <v>382</v>
      </c>
      <c r="F1083" s="16" t="n">
        <v>12</v>
      </c>
      <c r="G1083" s="15" t="n">
        <v>0.15</v>
      </c>
      <c r="H1083" s="16" t="n">
        <v>3</v>
      </c>
      <c r="I1083" s="33" t="n">
        <v>33057.6</v>
      </c>
      <c r="J1083" s="33" t="n">
        <v>38891.28</v>
      </c>
    </row>
    <row r="1084" customFormat="false" ht="15" hidden="false" customHeight="false" outlineLevel="0" collapsed="false">
      <c r="A1084" s="3" t="s">
        <v>1474</v>
      </c>
      <c r="B1084" s="3" t="s">
        <v>282</v>
      </c>
      <c r="C1084" s="3" t="s">
        <v>396</v>
      </c>
      <c r="D1084" s="3" t="s">
        <v>692</v>
      </c>
      <c r="E1084" s="3" t="s">
        <v>382</v>
      </c>
      <c r="F1084" s="16" t="n">
        <v>24</v>
      </c>
      <c r="G1084" s="15" t="n">
        <v>0</v>
      </c>
      <c r="H1084" s="16" t="n">
        <v>4</v>
      </c>
      <c r="I1084" s="33" t="n">
        <v>33051.96</v>
      </c>
      <c r="J1084" s="33" t="n">
        <v>33051.96</v>
      </c>
    </row>
    <row r="1085" customFormat="false" ht="15" hidden="false" customHeight="false" outlineLevel="0" collapsed="false">
      <c r="A1085" s="3" t="s">
        <v>1475</v>
      </c>
      <c r="B1085" s="3" t="s">
        <v>282</v>
      </c>
      <c r="C1085" s="3" t="s">
        <v>396</v>
      </c>
      <c r="D1085" s="3" t="s">
        <v>392</v>
      </c>
      <c r="E1085" s="3" t="s">
        <v>398</v>
      </c>
      <c r="F1085" s="16" t="n">
        <v>12</v>
      </c>
      <c r="G1085" s="15" t="n">
        <v>0</v>
      </c>
      <c r="H1085" s="16" t="n">
        <v>2</v>
      </c>
      <c r="I1085" s="33" t="n">
        <v>33051.84</v>
      </c>
      <c r="J1085" s="33" t="n">
        <v>33051.84</v>
      </c>
    </row>
    <row r="1086" customFormat="false" ht="15" hidden="false" customHeight="false" outlineLevel="0" collapsed="false">
      <c r="A1086" s="3" t="s">
        <v>1476</v>
      </c>
      <c r="B1086" s="3" t="s">
        <v>282</v>
      </c>
      <c r="C1086" s="3" t="s">
        <v>405</v>
      </c>
      <c r="D1086" s="3" t="s">
        <v>388</v>
      </c>
      <c r="E1086" s="3" t="s">
        <v>398</v>
      </c>
      <c r="F1086" s="16" t="n">
        <v>12</v>
      </c>
      <c r="G1086" s="15" t="n">
        <v>0</v>
      </c>
      <c r="H1086" s="16" t="n">
        <v>10</v>
      </c>
      <c r="I1086" s="33" t="n">
        <v>33036.84</v>
      </c>
      <c r="J1086" s="33" t="n">
        <v>33036.84</v>
      </c>
    </row>
    <row r="1087" customFormat="false" ht="15" hidden="false" customHeight="false" outlineLevel="0" collapsed="false">
      <c r="A1087" s="3" t="s">
        <v>1477</v>
      </c>
      <c r="B1087" s="3" t="s">
        <v>282</v>
      </c>
      <c r="C1087" s="3" t="s">
        <v>387</v>
      </c>
      <c r="D1087" s="3" t="s">
        <v>388</v>
      </c>
      <c r="E1087" s="3" t="s">
        <v>382</v>
      </c>
      <c r="F1087" s="16" t="n">
        <v>24</v>
      </c>
      <c r="G1087" s="15" t="n">
        <v>0</v>
      </c>
      <c r="H1087" s="16" t="n">
        <v>24</v>
      </c>
      <c r="I1087" s="33" t="n">
        <v>33032.76</v>
      </c>
      <c r="J1087" s="33" t="n">
        <v>33032.76</v>
      </c>
    </row>
    <row r="1088" customFormat="false" ht="15" hidden="false" customHeight="false" outlineLevel="0" collapsed="false">
      <c r="A1088" s="3" t="s">
        <v>1478</v>
      </c>
      <c r="B1088" s="3" t="s">
        <v>282</v>
      </c>
      <c r="C1088" s="3" t="s">
        <v>405</v>
      </c>
      <c r="D1088" s="3" t="s">
        <v>392</v>
      </c>
      <c r="E1088" s="3" t="s">
        <v>398</v>
      </c>
      <c r="F1088" s="16" t="n">
        <v>12</v>
      </c>
      <c r="G1088" s="15" t="n">
        <v>0</v>
      </c>
      <c r="H1088" s="16" t="n">
        <v>2</v>
      </c>
      <c r="I1088" s="33" t="n">
        <v>33017.16</v>
      </c>
      <c r="J1088" s="33" t="n">
        <v>33017.16</v>
      </c>
    </row>
    <row r="1089" customFormat="false" ht="15" hidden="false" customHeight="false" outlineLevel="0" collapsed="false">
      <c r="A1089" s="3" t="s">
        <v>1479</v>
      </c>
      <c r="B1089" s="3" t="s">
        <v>282</v>
      </c>
      <c r="C1089" s="3" t="s">
        <v>396</v>
      </c>
      <c r="D1089" s="3" t="s">
        <v>381</v>
      </c>
      <c r="E1089" s="3" t="s">
        <v>385</v>
      </c>
      <c r="F1089" s="16" t="n">
        <v>24</v>
      </c>
      <c r="G1089" s="15" t="n">
        <v>0</v>
      </c>
      <c r="H1089" s="16" t="n">
        <v>15</v>
      </c>
      <c r="I1089" s="33" t="n">
        <v>33010.32</v>
      </c>
      <c r="J1089" s="33" t="n">
        <v>33010.32</v>
      </c>
    </row>
    <row r="1090" customFormat="false" ht="15" hidden="false" customHeight="false" outlineLevel="0" collapsed="false">
      <c r="A1090" s="3" t="s">
        <v>1480</v>
      </c>
      <c r="B1090" s="3" t="s">
        <v>282</v>
      </c>
      <c r="C1090" s="3" t="s">
        <v>384</v>
      </c>
      <c r="D1090" s="3" t="s">
        <v>381</v>
      </c>
      <c r="E1090" s="3" t="s">
        <v>398</v>
      </c>
      <c r="F1090" s="16" t="n">
        <v>12</v>
      </c>
      <c r="G1090" s="15" t="n">
        <v>0</v>
      </c>
      <c r="H1090" s="16" t="n">
        <v>6</v>
      </c>
      <c r="I1090" s="33" t="n">
        <v>32960.88</v>
      </c>
      <c r="J1090" s="33" t="n">
        <v>32960.88</v>
      </c>
    </row>
    <row r="1091" customFormat="false" ht="15" hidden="false" customHeight="false" outlineLevel="0" collapsed="false">
      <c r="A1091" s="3" t="s">
        <v>1481</v>
      </c>
      <c r="B1091" s="3" t="s">
        <v>282</v>
      </c>
      <c r="C1091" s="3" t="s">
        <v>405</v>
      </c>
      <c r="D1091" s="3" t="s">
        <v>418</v>
      </c>
      <c r="E1091" s="3" t="s">
        <v>398</v>
      </c>
      <c r="F1091" s="16" t="n">
        <v>12</v>
      </c>
      <c r="G1091" s="15" t="n">
        <v>0</v>
      </c>
      <c r="H1091" s="16" t="n">
        <v>9</v>
      </c>
      <c r="I1091" s="33" t="n">
        <v>32941.32</v>
      </c>
      <c r="J1091" s="33" t="n">
        <v>32941.32</v>
      </c>
    </row>
    <row r="1092" customFormat="false" ht="15" hidden="false" customHeight="false" outlineLevel="0" collapsed="false">
      <c r="A1092" s="3" t="s">
        <v>1482</v>
      </c>
      <c r="B1092" s="3" t="s">
        <v>282</v>
      </c>
      <c r="C1092" s="3" t="s">
        <v>396</v>
      </c>
      <c r="D1092" s="3" t="s">
        <v>392</v>
      </c>
      <c r="E1092" s="3" t="s">
        <v>398</v>
      </c>
      <c r="F1092" s="16" t="n">
        <v>12</v>
      </c>
      <c r="G1092" s="15" t="n">
        <v>0</v>
      </c>
      <c r="H1092" s="16" t="n">
        <v>1</v>
      </c>
      <c r="I1092" s="33" t="n">
        <v>32895</v>
      </c>
      <c r="J1092" s="33" t="n">
        <v>32895</v>
      </c>
    </row>
    <row r="1093" customFormat="false" ht="15" hidden="false" customHeight="false" outlineLevel="0" collapsed="false">
      <c r="A1093" s="3" t="s">
        <v>1483</v>
      </c>
      <c r="B1093" s="3" t="s">
        <v>282</v>
      </c>
      <c r="C1093" s="3" t="s">
        <v>396</v>
      </c>
      <c r="D1093" s="3" t="s">
        <v>692</v>
      </c>
      <c r="E1093" s="3" t="s">
        <v>398</v>
      </c>
      <c r="F1093" s="16" t="n">
        <v>12</v>
      </c>
      <c r="G1093" s="15" t="n">
        <v>0</v>
      </c>
      <c r="H1093" s="16" t="n">
        <v>10</v>
      </c>
      <c r="I1093" s="33" t="n">
        <v>32841.84</v>
      </c>
      <c r="J1093" s="33" t="n">
        <v>32841.84</v>
      </c>
    </row>
    <row r="1094" customFormat="false" ht="15" hidden="false" customHeight="false" outlineLevel="0" collapsed="false">
      <c r="A1094" s="3" t="s">
        <v>1484</v>
      </c>
      <c r="B1094" s="3" t="s">
        <v>282</v>
      </c>
      <c r="C1094" s="3" t="s">
        <v>401</v>
      </c>
      <c r="D1094" s="3" t="s">
        <v>381</v>
      </c>
      <c r="E1094" s="3" t="s">
        <v>382</v>
      </c>
      <c r="F1094" s="16" t="n">
        <v>24</v>
      </c>
      <c r="G1094" s="15" t="n">
        <v>0</v>
      </c>
      <c r="H1094" s="16" t="n">
        <v>11</v>
      </c>
      <c r="I1094" s="33" t="n">
        <v>32785.92</v>
      </c>
      <c r="J1094" s="33" t="n">
        <v>32785.92</v>
      </c>
    </row>
    <row r="1095" customFormat="false" ht="15" hidden="false" customHeight="false" outlineLevel="0" collapsed="false">
      <c r="A1095" s="3" t="s">
        <v>1485</v>
      </c>
      <c r="B1095" s="3" t="s">
        <v>282</v>
      </c>
      <c r="C1095" s="3" t="s">
        <v>405</v>
      </c>
      <c r="D1095" s="3" t="s">
        <v>381</v>
      </c>
      <c r="E1095" s="3" t="s">
        <v>398</v>
      </c>
      <c r="F1095" s="16" t="n">
        <v>24</v>
      </c>
      <c r="G1095" s="15" t="n">
        <v>0.3</v>
      </c>
      <c r="H1095" s="16" t="n">
        <v>10</v>
      </c>
      <c r="I1095" s="33" t="n">
        <v>32685.24</v>
      </c>
      <c r="J1095" s="33" t="n">
        <v>46693.2</v>
      </c>
    </row>
    <row r="1096" customFormat="false" ht="15" hidden="false" customHeight="false" outlineLevel="0" collapsed="false">
      <c r="A1096" s="3" t="s">
        <v>1486</v>
      </c>
      <c r="B1096" s="3" t="s">
        <v>282</v>
      </c>
      <c r="C1096" s="3" t="s">
        <v>396</v>
      </c>
      <c r="D1096" s="3" t="s">
        <v>392</v>
      </c>
      <c r="E1096" s="3" t="s">
        <v>398</v>
      </c>
      <c r="F1096" s="16" t="n">
        <v>12</v>
      </c>
      <c r="G1096" s="15" t="n">
        <v>0</v>
      </c>
      <c r="H1096" s="16" t="n">
        <v>1</v>
      </c>
      <c r="I1096" s="33" t="n">
        <v>32654.88</v>
      </c>
      <c r="J1096" s="33" t="n">
        <v>32654.88</v>
      </c>
    </row>
    <row r="1097" customFormat="false" ht="15" hidden="false" customHeight="false" outlineLevel="0" collapsed="false">
      <c r="A1097" s="3" t="s">
        <v>1487</v>
      </c>
      <c r="B1097" s="3" t="s">
        <v>282</v>
      </c>
      <c r="C1097" s="3" t="s">
        <v>401</v>
      </c>
      <c r="D1097" s="3" t="s">
        <v>381</v>
      </c>
      <c r="E1097" s="3" t="s">
        <v>382</v>
      </c>
      <c r="F1097" s="16" t="n">
        <v>24</v>
      </c>
      <c r="G1097" s="15" t="n">
        <v>0</v>
      </c>
      <c r="H1097" s="16" t="n">
        <v>23</v>
      </c>
      <c r="I1097" s="33" t="n">
        <v>32615.4</v>
      </c>
      <c r="J1097" s="33" t="n">
        <v>32615.4</v>
      </c>
    </row>
    <row r="1098" customFormat="false" ht="15" hidden="false" customHeight="false" outlineLevel="0" collapsed="false">
      <c r="A1098" s="3" t="s">
        <v>1488</v>
      </c>
      <c r="B1098" s="3" t="s">
        <v>283</v>
      </c>
      <c r="C1098" s="3" t="s">
        <v>380</v>
      </c>
      <c r="D1098" s="3" t="s">
        <v>392</v>
      </c>
      <c r="E1098" s="3" t="s">
        <v>382</v>
      </c>
      <c r="F1098" s="16" t="n">
        <v>1</v>
      </c>
      <c r="G1098" s="15" t="n">
        <v>0</v>
      </c>
      <c r="H1098" s="16" t="n">
        <v>1</v>
      </c>
      <c r="I1098" s="33" t="n">
        <v>32579.88</v>
      </c>
      <c r="J1098" s="33" t="n">
        <v>32579.88</v>
      </c>
    </row>
    <row r="1099" customFormat="false" ht="15" hidden="false" customHeight="false" outlineLevel="0" collapsed="false">
      <c r="A1099" s="3" t="s">
        <v>1489</v>
      </c>
      <c r="B1099" s="3" t="s">
        <v>283</v>
      </c>
      <c r="C1099" s="3" t="s">
        <v>384</v>
      </c>
      <c r="D1099" s="3" t="s">
        <v>392</v>
      </c>
      <c r="E1099" s="3" t="s">
        <v>398</v>
      </c>
      <c r="F1099" s="16" t="n">
        <v>1</v>
      </c>
      <c r="G1099" s="15" t="n">
        <v>0</v>
      </c>
      <c r="H1099" s="16" t="n">
        <v>1</v>
      </c>
      <c r="I1099" s="33" t="n">
        <v>32530.92</v>
      </c>
      <c r="J1099" s="33" t="n">
        <v>32530.92</v>
      </c>
    </row>
    <row r="1100" customFormat="false" ht="15" hidden="false" customHeight="false" outlineLevel="0" collapsed="false">
      <c r="A1100" s="3" t="s">
        <v>1490</v>
      </c>
      <c r="B1100" s="3" t="s">
        <v>282</v>
      </c>
      <c r="C1100" s="3" t="s">
        <v>403</v>
      </c>
      <c r="D1100" s="3" t="s">
        <v>392</v>
      </c>
      <c r="E1100" s="3" t="s">
        <v>385</v>
      </c>
      <c r="F1100" s="16" t="n">
        <v>12</v>
      </c>
      <c r="G1100" s="15" t="n">
        <v>0</v>
      </c>
      <c r="H1100" s="16" t="n">
        <v>6</v>
      </c>
      <c r="I1100" s="33" t="n">
        <v>32527.68</v>
      </c>
      <c r="J1100" s="33" t="n">
        <v>32527.68</v>
      </c>
    </row>
    <row r="1101" customFormat="false" ht="15" hidden="false" customHeight="false" outlineLevel="0" collapsed="false">
      <c r="A1101" s="3" t="s">
        <v>1491</v>
      </c>
      <c r="B1101" s="3" t="s">
        <v>282</v>
      </c>
      <c r="C1101" s="3" t="s">
        <v>401</v>
      </c>
      <c r="D1101" s="3" t="s">
        <v>381</v>
      </c>
      <c r="E1101" s="3" t="s">
        <v>385</v>
      </c>
      <c r="F1101" s="16" t="n">
        <v>12</v>
      </c>
      <c r="G1101" s="15" t="n">
        <v>0.3</v>
      </c>
      <c r="H1101" s="16" t="n">
        <v>3</v>
      </c>
      <c r="I1101" s="33" t="n">
        <v>32508.6</v>
      </c>
      <c r="J1101" s="33" t="n">
        <v>46440.96</v>
      </c>
    </row>
    <row r="1102" customFormat="false" ht="15" hidden="false" customHeight="false" outlineLevel="0" collapsed="false">
      <c r="A1102" s="3" t="s">
        <v>1492</v>
      </c>
      <c r="B1102" s="3" t="s">
        <v>282</v>
      </c>
      <c r="C1102" s="3" t="s">
        <v>401</v>
      </c>
      <c r="D1102" s="3" t="s">
        <v>392</v>
      </c>
      <c r="E1102" s="3" t="s">
        <v>398</v>
      </c>
      <c r="F1102" s="16" t="n">
        <v>12</v>
      </c>
      <c r="G1102" s="15" t="n">
        <v>0</v>
      </c>
      <c r="H1102" s="16" t="n">
        <v>5</v>
      </c>
      <c r="I1102" s="33" t="n">
        <v>32398.8</v>
      </c>
      <c r="J1102" s="33" t="n">
        <v>32398.8</v>
      </c>
    </row>
    <row r="1103" customFormat="false" ht="15" hidden="false" customHeight="false" outlineLevel="0" collapsed="false">
      <c r="A1103" s="3" t="s">
        <v>1493</v>
      </c>
      <c r="B1103" s="3" t="s">
        <v>282</v>
      </c>
      <c r="C1103" s="3" t="s">
        <v>380</v>
      </c>
      <c r="D1103" s="3" t="s">
        <v>388</v>
      </c>
      <c r="E1103" s="3" t="s">
        <v>385</v>
      </c>
      <c r="F1103" s="16" t="n">
        <v>12</v>
      </c>
      <c r="G1103" s="15" t="n">
        <v>0.125</v>
      </c>
      <c r="H1103" s="16" t="n">
        <v>9</v>
      </c>
      <c r="I1103" s="33" t="n">
        <v>32349.12</v>
      </c>
      <c r="J1103" s="33" t="n">
        <v>36970.32</v>
      </c>
    </row>
    <row r="1104" customFormat="false" ht="15" hidden="false" customHeight="false" outlineLevel="0" collapsed="false">
      <c r="A1104" s="3" t="s">
        <v>1494</v>
      </c>
      <c r="B1104" s="3" t="s">
        <v>282</v>
      </c>
      <c r="C1104" s="3" t="s">
        <v>405</v>
      </c>
      <c r="D1104" s="3" t="s">
        <v>392</v>
      </c>
      <c r="E1104" s="3" t="s">
        <v>398</v>
      </c>
      <c r="F1104" s="16" t="n">
        <v>12</v>
      </c>
      <c r="G1104" s="15" t="n">
        <v>0</v>
      </c>
      <c r="H1104" s="16" t="n">
        <v>10</v>
      </c>
      <c r="I1104" s="33" t="n">
        <v>32340.36</v>
      </c>
      <c r="J1104" s="33" t="n">
        <v>32340.36</v>
      </c>
    </row>
    <row r="1105" customFormat="false" ht="15" hidden="false" customHeight="false" outlineLevel="0" collapsed="false">
      <c r="A1105" s="3" t="s">
        <v>1495</v>
      </c>
      <c r="B1105" s="3" t="s">
        <v>282</v>
      </c>
      <c r="C1105" s="3" t="s">
        <v>380</v>
      </c>
      <c r="D1105" s="3" t="s">
        <v>381</v>
      </c>
      <c r="E1105" s="3" t="s">
        <v>385</v>
      </c>
      <c r="F1105" s="16" t="n">
        <v>12</v>
      </c>
      <c r="G1105" s="15" t="n">
        <v>0</v>
      </c>
      <c r="H1105" s="16" t="n">
        <v>12</v>
      </c>
      <c r="I1105" s="33" t="n">
        <v>32271.48</v>
      </c>
      <c r="J1105" s="33" t="n">
        <v>32271.48</v>
      </c>
    </row>
    <row r="1106" customFormat="false" ht="15" hidden="false" customHeight="false" outlineLevel="0" collapsed="false">
      <c r="A1106" s="3" t="s">
        <v>1496</v>
      </c>
      <c r="B1106" s="3" t="s">
        <v>282</v>
      </c>
      <c r="C1106" s="3" t="s">
        <v>387</v>
      </c>
      <c r="D1106" s="3" t="s">
        <v>392</v>
      </c>
      <c r="E1106" s="3" t="s">
        <v>382</v>
      </c>
      <c r="F1106" s="16" t="n">
        <v>12</v>
      </c>
      <c r="G1106" s="15" t="n">
        <v>0.2</v>
      </c>
      <c r="H1106" s="16" t="n">
        <v>4</v>
      </c>
      <c r="I1106" s="33" t="n">
        <v>32234.64</v>
      </c>
      <c r="J1106" s="33" t="n">
        <v>40293.24</v>
      </c>
    </row>
    <row r="1107" customFormat="false" ht="15" hidden="false" customHeight="false" outlineLevel="0" collapsed="false">
      <c r="A1107" s="3" t="s">
        <v>1497</v>
      </c>
      <c r="B1107" s="3" t="s">
        <v>282</v>
      </c>
      <c r="C1107" s="3" t="s">
        <v>387</v>
      </c>
      <c r="D1107" s="3" t="s">
        <v>418</v>
      </c>
      <c r="E1107" s="3" t="s">
        <v>385</v>
      </c>
      <c r="F1107" s="16" t="n">
        <v>12</v>
      </c>
      <c r="G1107" s="15" t="n">
        <v>0</v>
      </c>
      <c r="H1107" s="16" t="n">
        <v>6</v>
      </c>
      <c r="I1107" s="33" t="n">
        <v>32144.76</v>
      </c>
      <c r="J1107" s="33" t="n">
        <v>32144.76</v>
      </c>
    </row>
    <row r="1108" customFormat="false" ht="15" hidden="false" customHeight="false" outlineLevel="0" collapsed="false">
      <c r="A1108" s="3" t="s">
        <v>1498</v>
      </c>
      <c r="B1108" s="3" t="s">
        <v>282</v>
      </c>
      <c r="C1108" s="3" t="s">
        <v>405</v>
      </c>
      <c r="D1108" s="3" t="s">
        <v>381</v>
      </c>
      <c r="E1108" s="3" t="s">
        <v>382</v>
      </c>
      <c r="F1108" s="16" t="n">
        <v>12</v>
      </c>
      <c r="G1108" s="15" t="n">
        <v>0.05</v>
      </c>
      <c r="H1108" s="16" t="n">
        <v>6</v>
      </c>
      <c r="I1108" s="33" t="n">
        <v>32129.64</v>
      </c>
      <c r="J1108" s="33" t="n">
        <v>33820.68</v>
      </c>
    </row>
    <row r="1109" customFormat="false" ht="15" hidden="false" customHeight="false" outlineLevel="0" collapsed="false">
      <c r="A1109" s="3" t="s">
        <v>1499</v>
      </c>
      <c r="B1109" s="3" t="s">
        <v>282</v>
      </c>
      <c r="C1109" s="3" t="s">
        <v>396</v>
      </c>
      <c r="D1109" s="3" t="s">
        <v>381</v>
      </c>
      <c r="E1109" s="3" t="s">
        <v>382</v>
      </c>
      <c r="F1109" s="16" t="n">
        <v>24</v>
      </c>
      <c r="G1109" s="15" t="n">
        <v>0</v>
      </c>
      <c r="H1109" s="16" t="n">
        <v>20</v>
      </c>
      <c r="I1109" s="33" t="n">
        <v>32101.92</v>
      </c>
      <c r="J1109" s="33" t="n">
        <v>32101.92</v>
      </c>
    </row>
    <row r="1110" customFormat="false" ht="15" hidden="false" customHeight="false" outlineLevel="0" collapsed="false">
      <c r="A1110" s="3" t="s">
        <v>1500</v>
      </c>
      <c r="B1110" s="3" t="s">
        <v>282</v>
      </c>
      <c r="C1110" s="3" t="s">
        <v>396</v>
      </c>
      <c r="D1110" s="3" t="s">
        <v>418</v>
      </c>
      <c r="E1110" s="3" t="s">
        <v>398</v>
      </c>
      <c r="F1110" s="16" t="n">
        <v>24</v>
      </c>
      <c r="G1110" s="15" t="n">
        <v>0</v>
      </c>
      <c r="H1110" s="16" t="n">
        <v>9</v>
      </c>
      <c r="I1110" s="33" t="n">
        <v>32095.32</v>
      </c>
      <c r="J1110" s="33" t="n">
        <v>32095.32</v>
      </c>
    </row>
    <row r="1111" customFormat="false" ht="15" hidden="false" customHeight="false" outlineLevel="0" collapsed="false">
      <c r="A1111" s="3" t="s">
        <v>1501</v>
      </c>
      <c r="B1111" s="3" t="s">
        <v>282</v>
      </c>
      <c r="C1111" s="3" t="s">
        <v>384</v>
      </c>
      <c r="D1111" s="3" t="s">
        <v>418</v>
      </c>
      <c r="E1111" s="3" t="s">
        <v>398</v>
      </c>
      <c r="F1111" s="16" t="n">
        <v>24</v>
      </c>
      <c r="G1111" s="15" t="n">
        <v>0</v>
      </c>
      <c r="H1111" s="16" t="n">
        <v>6</v>
      </c>
      <c r="I1111" s="33" t="n">
        <v>32084.4</v>
      </c>
      <c r="J1111" s="33" t="n">
        <v>32084.4</v>
      </c>
    </row>
    <row r="1112" customFormat="false" ht="15" hidden="false" customHeight="false" outlineLevel="0" collapsed="false">
      <c r="A1112" s="3" t="s">
        <v>1502</v>
      </c>
      <c r="B1112" s="3" t="s">
        <v>282</v>
      </c>
      <c r="C1112" s="3" t="s">
        <v>387</v>
      </c>
      <c r="D1112" s="3" t="s">
        <v>692</v>
      </c>
      <c r="E1112" s="3" t="s">
        <v>382</v>
      </c>
      <c r="F1112" s="16" t="n">
        <v>12</v>
      </c>
      <c r="G1112" s="15" t="n">
        <v>0.1</v>
      </c>
      <c r="H1112" s="16" t="n">
        <v>10</v>
      </c>
      <c r="I1112" s="33" t="n">
        <v>32053.08</v>
      </c>
      <c r="J1112" s="33" t="n">
        <v>35614.56</v>
      </c>
    </row>
    <row r="1113" customFormat="false" ht="15" hidden="false" customHeight="false" outlineLevel="0" collapsed="false">
      <c r="A1113" s="3" t="s">
        <v>1503</v>
      </c>
      <c r="B1113" s="3" t="s">
        <v>283</v>
      </c>
      <c r="C1113" s="3" t="s">
        <v>384</v>
      </c>
      <c r="D1113" s="3" t="s">
        <v>392</v>
      </c>
      <c r="E1113" s="3" t="s">
        <v>382</v>
      </c>
      <c r="F1113" s="16" t="n">
        <v>1</v>
      </c>
      <c r="G1113" s="15" t="n">
        <v>0</v>
      </c>
      <c r="H1113" s="16" t="n">
        <v>1</v>
      </c>
      <c r="I1113" s="33" t="n">
        <v>32031.6</v>
      </c>
      <c r="J1113" s="33" t="n">
        <v>32031.6</v>
      </c>
    </row>
    <row r="1114" customFormat="false" ht="15" hidden="false" customHeight="false" outlineLevel="0" collapsed="false">
      <c r="A1114" s="3" t="s">
        <v>1504</v>
      </c>
      <c r="B1114" s="3" t="s">
        <v>282</v>
      </c>
      <c r="C1114" s="3" t="s">
        <v>401</v>
      </c>
      <c r="D1114" s="3" t="s">
        <v>392</v>
      </c>
      <c r="E1114" s="3" t="s">
        <v>382</v>
      </c>
      <c r="F1114" s="16" t="n">
        <v>24</v>
      </c>
      <c r="G1114" s="15" t="n">
        <v>0</v>
      </c>
      <c r="H1114" s="16" t="n">
        <v>18</v>
      </c>
      <c r="I1114" s="33" t="n">
        <v>31984.68</v>
      </c>
      <c r="J1114" s="33" t="n">
        <v>31984.68</v>
      </c>
    </row>
    <row r="1115" customFormat="false" ht="15" hidden="false" customHeight="false" outlineLevel="0" collapsed="false">
      <c r="A1115" s="3" t="s">
        <v>1505</v>
      </c>
      <c r="B1115" s="3" t="s">
        <v>282</v>
      </c>
      <c r="C1115" s="3" t="s">
        <v>401</v>
      </c>
      <c r="D1115" s="3" t="s">
        <v>388</v>
      </c>
      <c r="E1115" s="3" t="s">
        <v>398</v>
      </c>
      <c r="F1115" s="16" t="n">
        <v>12</v>
      </c>
      <c r="G1115" s="15" t="n">
        <v>0.2</v>
      </c>
      <c r="H1115" s="16" t="n">
        <v>12</v>
      </c>
      <c r="I1115" s="33" t="n">
        <v>31964.28</v>
      </c>
      <c r="J1115" s="33" t="n">
        <v>39955.44</v>
      </c>
    </row>
    <row r="1116" customFormat="false" ht="15" hidden="false" customHeight="false" outlineLevel="0" collapsed="false">
      <c r="A1116" s="3" t="s">
        <v>1506</v>
      </c>
      <c r="B1116" s="3" t="s">
        <v>282</v>
      </c>
      <c r="C1116" s="3" t="s">
        <v>401</v>
      </c>
      <c r="D1116" s="3" t="s">
        <v>381</v>
      </c>
      <c r="E1116" s="3" t="s">
        <v>398</v>
      </c>
      <c r="F1116" s="16" t="n">
        <v>24</v>
      </c>
      <c r="G1116" s="15" t="n">
        <v>0</v>
      </c>
      <c r="H1116" s="16" t="n">
        <v>20</v>
      </c>
      <c r="I1116" s="33" t="n">
        <v>31936.2</v>
      </c>
      <c r="J1116" s="33" t="n">
        <v>31936.2</v>
      </c>
    </row>
    <row r="1117" customFormat="false" ht="15" hidden="false" customHeight="false" outlineLevel="0" collapsed="false">
      <c r="A1117" s="3" t="s">
        <v>1507</v>
      </c>
      <c r="B1117" s="3" t="s">
        <v>282</v>
      </c>
      <c r="C1117" s="3" t="s">
        <v>387</v>
      </c>
      <c r="D1117" s="3" t="s">
        <v>392</v>
      </c>
      <c r="E1117" s="3" t="s">
        <v>398</v>
      </c>
      <c r="F1117" s="16" t="n">
        <v>12</v>
      </c>
      <c r="G1117" s="15" t="n">
        <v>0.4</v>
      </c>
      <c r="H1117" s="16" t="n">
        <v>3</v>
      </c>
      <c r="I1117" s="33" t="n">
        <v>31911.72</v>
      </c>
      <c r="J1117" s="33" t="n">
        <v>53186.16</v>
      </c>
    </row>
    <row r="1118" customFormat="false" ht="15" hidden="false" customHeight="false" outlineLevel="0" collapsed="false">
      <c r="A1118" s="3" t="s">
        <v>1508</v>
      </c>
      <c r="B1118" s="3" t="s">
        <v>282</v>
      </c>
      <c r="C1118" s="3" t="s">
        <v>380</v>
      </c>
      <c r="D1118" s="3" t="s">
        <v>392</v>
      </c>
      <c r="E1118" s="3" t="s">
        <v>398</v>
      </c>
      <c r="F1118" s="16" t="n">
        <v>12</v>
      </c>
      <c r="G1118" s="15" t="n">
        <v>0</v>
      </c>
      <c r="H1118" s="16" t="n">
        <v>10</v>
      </c>
      <c r="I1118" s="33" t="n">
        <v>31897.08</v>
      </c>
      <c r="J1118" s="33" t="n">
        <v>31897.08</v>
      </c>
    </row>
    <row r="1119" customFormat="false" ht="15" hidden="false" customHeight="false" outlineLevel="0" collapsed="false">
      <c r="A1119" s="3" t="s">
        <v>1509</v>
      </c>
      <c r="B1119" s="3" t="s">
        <v>282</v>
      </c>
      <c r="C1119" s="3" t="s">
        <v>403</v>
      </c>
      <c r="D1119" s="3" t="s">
        <v>381</v>
      </c>
      <c r="E1119" s="3" t="s">
        <v>385</v>
      </c>
      <c r="F1119" s="16" t="n">
        <v>12</v>
      </c>
      <c r="G1119" s="15" t="n">
        <v>0.2</v>
      </c>
      <c r="H1119" s="16" t="n">
        <v>2</v>
      </c>
      <c r="I1119" s="33" t="n">
        <v>31882.56</v>
      </c>
      <c r="J1119" s="33" t="n">
        <v>39853.2</v>
      </c>
    </row>
    <row r="1120" customFormat="false" ht="15" hidden="false" customHeight="false" outlineLevel="0" collapsed="false">
      <c r="A1120" s="3" t="s">
        <v>1510</v>
      </c>
      <c r="B1120" s="3" t="s">
        <v>282</v>
      </c>
      <c r="C1120" s="3" t="s">
        <v>403</v>
      </c>
      <c r="D1120" s="3" t="s">
        <v>381</v>
      </c>
      <c r="E1120" s="3" t="s">
        <v>385</v>
      </c>
      <c r="F1120" s="16" t="n">
        <v>12</v>
      </c>
      <c r="G1120" s="15" t="n">
        <v>0.3</v>
      </c>
      <c r="H1120" s="16" t="n">
        <v>10</v>
      </c>
      <c r="I1120" s="33" t="n">
        <v>31859.64</v>
      </c>
      <c r="J1120" s="33" t="n">
        <v>45513.72</v>
      </c>
    </row>
    <row r="1121" customFormat="false" ht="15" hidden="false" customHeight="false" outlineLevel="0" collapsed="false">
      <c r="A1121" s="3" t="s">
        <v>1511</v>
      </c>
      <c r="B1121" s="3" t="s">
        <v>282</v>
      </c>
      <c r="C1121" s="3" t="s">
        <v>396</v>
      </c>
      <c r="D1121" s="3" t="s">
        <v>392</v>
      </c>
      <c r="E1121" s="3" t="s">
        <v>385</v>
      </c>
      <c r="F1121" s="16" t="n">
        <v>12</v>
      </c>
      <c r="G1121" s="15" t="n">
        <v>0</v>
      </c>
      <c r="H1121" s="16" t="n">
        <v>3</v>
      </c>
      <c r="I1121" s="33" t="n">
        <v>31839.72</v>
      </c>
      <c r="J1121" s="33" t="n">
        <v>31839.72</v>
      </c>
    </row>
    <row r="1122" customFormat="false" ht="15" hidden="false" customHeight="false" outlineLevel="0" collapsed="false">
      <c r="A1122" s="3" t="s">
        <v>1512</v>
      </c>
      <c r="B1122" s="3" t="s">
        <v>282</v>
      </c>
      <c r="C1122" s="3" t="s">
        <v>396</v>
      </c>
      <c r="D1122" s="3" t="s">
        <v>392</v>
      </c>
      <c r="E1122" s="3" t="s">
        <v>385</v>
      </c>
      <c r="F1122" s="16" t="n">
        <v>12</v>
      </c>
      <c r="G1122" s="15" t="n">
        <v>0.1</v>
      </c>
      <c r="H1122" s="16" t="n">
        <v>11</v>
      </c>
      <c r="I1122" s="33" t="n">
        <v>31808.04</v>
      </c>
      <c r="J1122" s="33" t="n">
        <v>35342.28</v>
      </c>
    </row>
    <row r="1123" customFormat="false" ht="15" hidden="false" customHeight="false" outlineLevel="0" collapsed="false">
      <c r="A1123" s="3" t="s">
        <v>1513</v>
      </c>
      <c r="B1123" s="3" t="s">
        <v>282</v>
      </c>
      <c r="C1123" s="3" t="s">
        <v>401</v>
      </c>
      <c r="D1123" s="3" t="s">
        <v>392</v>
      </c>
      <c r="E1123" s="3" t="s">
        <v>398</v>
      </c>
      <c r="F1123" s="16" t="n">
        <v>12</v>
      </c>
      <c r="G1123" s="15" t="n">
        <v>0</v>
      </c>
      <c r="H1123" s="16" t="n">
        <v>6</v>
      </c>
      <c r="I1123" s="33" t="n">
        <v>31770.36</v>
      </c>
      <c r="J1123" s="33" t="n">
        <v>31770.36</v>
      </c>
    </row>
    <row r="1124" customFormat="false" ht="15" hidden="false" customHeight="false" outlineLevel="0" collapsed="false">
      <c r="A1124" s="3" t="s">
        <v>1514</v>
      </c>
      <c r="B1124" s="3" t="s">
        <v>282</v>
      </c>
      <c r="C1124" s="3" t="s">
        <v>387</v>
      </c>
      <c r="D1124" s="3" t="s">
        <v>388</v>
      </c>
      <c r="E1124" s="3" t="s">
        <v>398</v>
      </c>
      <c r="F1124" s="16" t="n">
        <v>24</v>
      </c>
      <c r="G1124" s="15" t="n">
        <v>0</v>
      </c>
      <c r="H1124" s="16" t="n">
        <v>3</v>
      </c>
      <c r="I1124" s="33" t="n">
        <v>31746.24</v>
      </c>
      <c r="J1124" s="33" t="n">
        <v>31746.24</v>
      </c>
    </row>
    <row r="1125" customFormat="false" ht="15" hidden="false" customHeight="false" outlineLevel="0" collapsed="false">
      <c r="A1125" s="3" t="s">
        <v>1515</v>
      </c>
      <c r="B1125" s="3" t="s">
        <v>282</v>
      </c>
      <c r="C1125" s="3" t="s">
        <v>405</v>
      </c>
      <c r="D1125" s="3" t="s">
        <v>388</v>
      </c>
      <c r="E1125" s="3" t="s">
        <v>398</v>
      </c>
      <c r="F1125" s="16" t="n">
        <v>12</v>
      </c>
      <c r="G1125" s="15" t="n">
        <v>0</v>
      </c>
      <c r="H1125" s="16" t="n">
        <v>9</v>
      </c>
      <c r="I1125" s="33" t="n">
        <v>31742.88</v>
      </c>
      <c r="J1125" s="33" t="n">
        <v>31742.88</v>
      </c>
    </row>
    <row r="1126" customFormat="false" ht="15" hidden="false" customHeight="false" outlineLevel="0" collapsed="false">
      <c r="A1126" s="3" t="s">
        <v>1516</v>
      </c>
      <c r="B1126" s="3" t="s">
        <v>282</v>
      </c>
      <c r="C1126" s="3" t="s">
        <v>396</v>
      </c>
      <c r="D1126" s="3" t="s">
        <v>392</v>
      </c>
      <c r="E1126" s="3" t="s">
        <v>385</v>
      </c>
      <c r="F1126" s="16" t="n">
        <v>24</v>
      </c>
      <c r="G1126" s="15" t="n">
        <v>0</v>
      </c>
      <c r="H1126" s="16" t="n">
        <v>14</v>
      </c>
      <c r="I1126" s="33" t="n">
        <v>31741.2</v>
      </c>
      <c r="J1126" s="33" t="n">
        <v>31741.2</v>
      </c>
    </row>
    <row r="1127" customFormat="false" ht="15" hidden="false" customHeight="false" outlineLevel="0" collapsed="false">
      <c r="A1127" s="3" t="s">
        <v>1517</v>
      </c>
      <c r="B1127" s="3" t="s">
        <v>282</v>
      </c>
      <c r="C1127" s="3" t="s">
        <v>401</v>
      </c>
      <c r="D1127" s="3" t="s">
        <v>418</v>
      </c>
      <c r="E1127" s="3" t="s">
        <v>385</v>
      </c>
      <c r="F1127" s="16" t="n">
        <v>12</v>
      </c>
      <c r="G1127" s="15" t="n">
        <v>0</v>
      </c>
      <c r="H1127" s="16" t="n">
        <v>7</v>
      </c>
      <c r="I1127" s="33" t="n">
        <v>31741.08</v>
      </c>
      <c r="J1127" s="33" t="n">
        <v>31741.08</v>
      </c>
    </row>
    <row r="1128" customFormat="false" ht="15" hidden="false" customHeight="false" outlineLevel="0" collapsed="false">
      <c r="A1128" s="3" t="s">
        <v>1518</v>
      </c>
      <c r="B1128" s="3" t="s">
        <v>282</v>
      </c>
      <c r="C1128" s="3" t="s">
        <v>384</v>
      </c>
      <c r="D1128" s="3" t="s">
        <v>381</v>
      </c>
      <c r="E1128" s="3" t="s">
        <v>382</v>
      </c>
      <c r="F1128" s="16" t="n">
        <v>24</v>
      </c>
      <c r="G1128" s="15" t="n">
        <v>0.15</v>
      </c>
      <c r="H1128" s="16" t="n">
        <v>11</v>
      </c>
      <c r="I1128" s="33" t="n">
        <v>31708.8</v>
      </c>
      <c r="J1128" s="33" t="n">
        <v>37304.52</v>
      </c>
    </row>
    <row r="1129" customFormat="false" ht="15" hidden="false" customHeight="false" outlineLevel="0" collapsed="false">
      <c r="A1129" s="3" t="s">
        <v>1519</v>
      </c>
      <c r="B1129" s="3" t="s">
        <v>283</v>
      </c>
      <c r="C1129" s="3" t="s">
        <v>401</v>
      </c>
      <c r="D1129" s="3" t="s">
        <v>388</v>
      </c>
      <c r="E1129" s="3" t="s">
        <v>382</v>
      </c>
      <c r="F1129" s="16" t="n">
        <v>1</v>
      </c>
      <c r="G1129" s="15" t="n">
        <v>0</v>
      </c>
      <c r="H1129" s="16" t="n">
        <v>1</v>
      </c>
      <c r="I1129" s="33" t="n">
        <v>31706.52</v>
      </c>
      <c r="J1129" s="33" t="n">
        <v>31706.52</v>
      </c>
    </row>
    <row r="1130" customFormat="false" ht="15" hidden="false" customHeight="false" outlineLevel="0" collapsed="false">
      <c r="A1130" s="3" t="s">
        <v>1520</v>
      </c>
      <c r="B1130" s="3" t="s">
        <v>282</v>
      </c>
      <c r="C1130" s="3" t="s">
        <v>387</v>
      </c>
      <c r="D1130" s="3" t="s">
        <v>418</v>
      </c>
      <c r="E1130" s="3" t="s">
        <v>385</v>
      </c>
      <c r="F1130" s="16" t="n">
        <v>24</v>
      </c>
      <c r="G1130" s="15" t="n">
        <v>0</v>
      </c>
      <c r="H1130" s="16" t="n">
        <v>3</v>
      </c>
      <c r="I1130" s="33" t="n">
        <v>31646.04</v>
      </c>
      <c r="J1130" s="33" t="n">
        <v>31646.04</v>
      </c>
    </row>
    <row r="1131" customFormat="false" ht="15" hidden="false" customHeight="false" outlineLevel="0" collapsed="false">
      <c r="A1131" s="3" t="s">
        <v>1521</v>
      </c>
      <c r="B1131" s="3" t="s">
        <v>282</v>
      </c>
      <c r="C1131" s="3" t="s">
        <v>384</v>
      </c>
      <c r="D1131" s="3" t="s">
        <v>381</v>
      </c>
      <c r="E1131" s="3" t="s">
        <v>385</v>
      </c>
      <c r="F1131" s="16" t="n">
        <v>24</v>
      </c>
      <c r="G1131" s="15" t="n">
        <v>0</v>
      </c>
      <c r="H1131" s="16" t="n">
        <v>10</v>
      </c>
      <c r="I1131" s="33" t="n">
        <v>31592.4</v>
      </c>
      <c r="J1131" s="33" t="n">
        <v>31592.4</v>
      </c>
    </row>
    <row r="1132" customFormat="false" ht="15" hidden="false" customHeight="false" outlineLevel="0" collapsed="false">
      <c r="A1132" s="3" t="s">
        <v>1522</v>
      </c>
      <c r="B1132" s="3" t="s">
        <v>282</v>
      </c>
      <c r="C1132" s="3" t="s">
        <v>403</v>
      </c>
      <c r="D1132" s="3" t="s">
        <v>381</v>
      </c>
      <c r="E1132" s="3" t="s">
        <v>398</v>
      </c>
      <c r="F1132" s="16" t="n">
        <v>24</v>
      </c>
      <c r="G1132" s="15" t="n">
        <v>0.15</v>
      </c>
      <c r="H1132" s="16" t="n">
        <v>2</v>
      </c>
      <c r="I1132" s="33" t="n">
        <v>31510.32</v>
      </c>
      <c r="J1132" s="33" t="n">
        <v>37070.88</v>
      </c>
    </row>
    <row r="1133" customFormat="false" ht="15" hidden="false" customHeight="false" outlineLevel="0" collapsed="false">
      <c r="A1133" s="3" t="s">
        <v>1523</v>
      </c>
      <c r="B1133" s="3" t="s">
        <v>282</v>
      </c>
      <c r="C1133" s="3" t="s">
        <v>396</v>
      </c>
      <c r="D1133" s="3" t="s">
        <v>381</v>
      </c>
      <c r="E1133" s="3" t="s">
        <v>398</v>
      </c>
      <c r="F1133" s="16" t="n">
        <v>12</v>
      </c>
      <c r="G1133" s="15" t="n">
        <v>0.1</v>
      </c>
      <c r="H1133" s="16" t="n">
        <v>2</v>
      </c>
      <c r="I1133" s="33" t="n">
        <v>31480.8</v>
      </c>
      <c r="J1133" s="33" t="n">
        <v>34978.68</v>
      </c>
    </row>
    <row r="1134" customFormat="false" ht="15" hidden="false" customHeight="false" outlineLevel="0" collapsed="false">
      <c r="A1134" s="3" t="s">
        <v>1524</v>
      </c>
      <c r="B1134" s="3" t="s">
        <v>282</v>
      </c>
      <c r="C1134" s="3" t="s">
        <v>384</v>
      </c>
      <c r="D1134" s="3" t="s">
        <v>418</v>
      </c>
      <c r="E1134" s="3" t="s">
        <v>382</v>
      </c>
      <c r="F1134" s="16" t="n">
        <v>24</v>
      </c>
      <c r="G1134" s="15" t="n">
        <v>0</v>
      </c>
      <c r="H1134" s="16" t="n">
        <v>24</v>
      </c>
      <c r="I1134" s="33" t="n">
        <v>31479.24</v>
      </c>
      <c r="J1134" s="33" t="n">
        <v>31479.24</v>
      </c>
    </row>
    <row r="1135" customFormat="false" ht="15" hidden="false" customHeight="false" outlineLevel="0" collapsed="false">
      <c r="A1135" s="3" t="s">
        <v>1525</v>
      </c>
      <c r="B1135" s="3" t="s">
        <v>282</v>
      </c>
      <c r="C1135" s="3" t="s">
        <v>405</v>
      </c>
      <c r="D1135" s="3" t="s">
        <v>388</v>
      </c>
      <c r="E1135" s="3" t="s">
        <v>382</v>
      </c>
      <c r="F1135" s="16" t="n">
        <v>12</v>
      </c>
      <c r="G1135" s="15" t="n">
        <v>0.1</v>
      </c>
      <c r="H1135" s="16" t="n">
        <v>7</v>
      </c>
      <c r="I1135" s="33" t="n">
        <v>31345.92</v>
      </c>
      <c r="J1135" s="33" t="n">
        <v>34828.68</v>
      </c>
    </row>
    <row r="1136" customFormat="false" ht="15" hidden="false" customHeight="false" outlineLevel="0" collapsed="false">
      <c r="A1136" s="3" t="s">
        <v>1526</v>
      </c>
      <c r="B1136" s="3" t="s">
        <v>282</v>
      </c>
      <c r="C1136" s="3" t="s">
        <v>403</v>
      </c>
      <c r="D1136" s="3" t="s">
        <v>388</v>
      </c>
      <c r="E1136" s="3" t="s">
        <v>398</v>
      </c>
      <c r="F1136" s="16" t="n">
        <v>12</v>
      </c>
      <c r="G1136" s="15" t="n">
        <v>0</v>
      </c>
      <c r="H1136" s="16" t="n">
        <v>1</v>
      </c>
      <c r="I1136" s="33" t="n">
        <v>31340.88</v>
      </c>
      <c r="J1136" s="33" t="n">
        <v>31340.88</v>
      </c>
    </row>
    <row r="1137" customFormat="false" ht="15" hidden="false" customHeight="false" outlineLevel="0" collapsed="false">
      <c r="A1137" s="3" t="s">
        <v>1527</v>
      </c>
      <c r="B1137" s="3" t="s">
        <v>282</v>
      </c>
      <c r="C1137" s="3" t="s">
        <v>396</v>
      </c>
      <c r="D1137" s="3" t="s">
        <v>388</v>
      </c>
      <c r="E1137" s="3" t="s">
        <v>398</v>
      </c>
      <c r="F1137" s="16" t="n">
        <v>24</v>
      </c>
      <c r="G1137" s="15" t="n">
        <v>0</v>
      </c>
      <c r="H1137" s="16" t="n">
        <v>16</v>
      </c>
      <c r="I1137" s="33" t="n">
        <v>31306.68</v>
      </c>
      <c r="J1137" s="33" t="n">
        <v>31306.68</v>
      </c>
    </row>
    <row r="1138" customFormat="false" ht="15" hidden="false" customHeight="false" outlineLevel="0" collapsed="false">
      <c r="A1138" s="3" t="s">
        <v>1528</v>
      </c>
      <c r="B1138" s="3" t="s">
        <v>282</v>
      </c>
      <c r="C1138" s="3" t="s">
        <v>405</v>
      </c>
      <c r="D1138" s="3" t="s">
        <v>392</v>
      </c>
      <c r="E1138" s="3" t="s">
        <v>385</v>
      </c>
      <c r="F1138" s="16" t="n">
        <v>12</v>
      </c>
      <c r="G1138" s="15" t="n">
        <v>0</v>
      </c>
      <c r="H1138" s="16" t="n">
        <v>12</v>
      </c>
      <c r="I1138" s="33" t="n">
        <v>31291.32</v>
      </c>
      <c r="J1138" s="33" t="n">
        <v>31291.32</v>
      </c>
    </row>
    <row r="1139" customFormat="false" ht="15" hidden="false" customHeight="false" outlineLevel="0" collapsed="false">
      <c r="A1139" s="3" t="s">
        <v>1529</v>
      </c>
      <c r="B1139" s="3" t="s">
        <v>282</v>
      </c>
      <c r="C1139" s="3" t="s">
        <v>380</v>
      </c>
      <c r="D1139" s="3" t="s">
        <v>381</v>
      </c>
      <c r="E1139" s="3" t="s">
        <v>382</v>
      </c>
      <c r="F1139" s="16" t="n">
        <v>24</v>
      </c>
      <c r="G1139" s="15" t="n">
        <v>0</v>
      </c>
      <c r="H1139" s="16" t="n">
        <v>9</v>
      </c>
      <c r="I1139" s="33" t="n">
        <v>31279.92</v>
      </c>
      <c r="J1139" s="33" t="n">
        <v>31279.92</v>
      </c>
    </row>
    <row r="1140" customFormat="false" ht="15" hidden="false" customHeight="false" outlineLevel="0" collapsed="false">
      <c r="A1140" s="3" t="s">
        <v>1530</v>
      </c>
      <c r="B1140" s="3" t="s">
        <v>282</v>
      </c>
      <c r="C1140" s="3" t="s">
        <v>396</v>
      </c>
      <c r="D1140" s="3" t="s">
        <v>381</v>
      </c>
      <c r="E1140" s="3" t="s">
        <v>382</v>
      </c>
      <c r="F1140" s="16" t="n">
        <v>12</v>
      </c>
      <c r="G1140" s="15" t="n">
        <v>0.2</v>
      </c>
      <c r="H1140" s="16" t="n">
        <v>11</v>
      </c>
      <c r="I1140" s="33" t="n">
        <v>31279.44</v>
      </c>
      <c r="J1140" s="33" t="n">
        <v>39099.36</v>
      </c>
    </row>
    <row r="1141" customFormat="false" ht="15" hidden="false" customHeight="false" outlineLevel="0" collapsed="false">
      <c r="A1141" s="3" t="s">
        <v>1531</v>
      </c>
      <c r="B1141" s="3" t="s">
        <v>282</v>
      </c>
      <c r="C1141" s="3" t="s">
        <v>396</v>
      </c>
      <c r="D1141" s="3" t="s">
        <v>418</v>
      </c>
      <c r="E1141" s="3" t="s">
        <v>385</v>
      </c>
      <c r="F1141" s="16" t="n">
        <v>12</v>
      </c>
      <c r="G1141" s="15" t="n">
        <v>0</v>
      </c>
      <c r="H1141" s="16" t="n">
        <v>6</v>
      </c>
      <c r="I1141" s="33" t="n">
        <v>31275.12</v>
      </c>
      <c r="J1141" s="33" t="n">
        <v>31275.12</v>
      </c>
    </row>
    <row r="1142" customFormat="false" ht="15" hidden="false" customHeight="false" outlineLevel="0" collapsed="false">
      <c r="A1142" s="3" t="s">
        <v>1532</v>
      </c>
      <c r="B1142" s="3" t="s">
        <v>282</v>
      </c>
      <c r="C1142" s="3" t="s">
        <v>403</v>
      </c>
      <c r="D1142" s="3" t="s">
        <v>418</v>
      </c>
      <c r="E1142" s="3" t="s">
        <v>385</v>
      </c>
      <c r="F1142" s="16" t="n">
        <v>12</v>
      </c>
      <c r="G1142" s="15" t="n">
        <v>0</v>
      </c>
      <c r="H1142" s="16" t="n">
        <v>6</v>
      </c>
      <c r="I1142" s="33" t="n">
        <v>31230.96</v>
      </c>
      <c r="J1142" s="33" t="n">
        <v>31230.96</v>
      </c>
    </row>
    <row r="1143" customFormat="false" ht="15" hidden="false" customHeight="false" outlineLevel="0" collapsed="false">
      <c r="A1143" s="3" t="s">
        <v>1533</v>
      </c>
      <c r="B1143" s="3" t="s">
        <v>282</v>
      </c>
      <c r="C1143" s="3" t="s">
        <v>401</v>
      </c>
      <c r="D1143" s="3" t="s">
        <v>392</v>
      </c>
      <c r="E1143" s="3" t="s">
        <v>385</v>
      </c>
      <c r="F1143" s="16" t="n">
        <v>24</v>
      </c>
      <c r="G1143" s="15" t="n">
        <v>0</v>
      </c>
      <c r="H1143" s="16" t="n">
        <v>17</v>
      </c>
      <c r="I1143" s="33" t="n">
        <v>31212.84</v>
      </c>
      <c r="J1143" s="33" t="n">
        <v>31212.84</v>
      </c>
    </row>
    <row r="1144" customFormat="false" ht="15" hidden="false" customHeight="false" outlineLevel="0" collapsed="false">
      <c r="A1144" s="3" t="s">
        <v>1534</v>
      </c>
      <c r="B1144" s="3" t="s">
        <v>282</v>
      </c>
      <c r="C1144" s="3" t="s">
        <v>396</v>
      </c>
      <c r="D1144" s="3" t="s">
        <v>418</v>
      </c>
      <c r="E1144" s="3" t="s">
        <v>382</v>
      </c>
      <c r="F1144" s="16" t="n">
        <v>12</v>
      </c>
      <c r="G1144" s="15" t="n">
        <v>0.025</v>
      </c>
      <c r="H1144" s="16" t="n">
        <v>1</v>
      </c>
      <c r="I1144" s="33" t="n">
        <v>31130.04</v>
      </c>
      <c r="J1144" s="33" t="n">
        <v>31928.28</v>
      </c>
    </row>
    <row r="1145" customFormat="false" ht="15" hidden="false" customHeight="false" outlineLevel="0" collapsed="false">
      <c r="A1145" s="3" t="s">
        <v>1535</v>
      </c>
      <c r="B1145" s="3" t="s">
        <v>282</v>
      </c>
      <c r="C1145" s="3" t="s">
        <v>380</v>
      </c>
      <c r="D1145" s="3" t="s">
        <v>392</v>
      </c>
      <c r="E1145" s="3" t="s">
        <v>382</v>
      </c>
      <c r="F1145" s="16" t="n">
        <v>12</v>
      </c>
      <c r="G1145" s="15" t="n">
        <v>0</v>
      </c>
      <c r="H1145" s="16" t="n">
        <v>9</v>
      </c>
      <c r="I1145" s="33" t="n">
        <v>31121.64</v>
      </c>
      <c r="J1145" s="33" t="n">
        <v>31121.64</v>
      </c>
    </row>
    <row r="1146" customFormat="false" ht="15" hidden="false" customHeight="false" outlineLevel="0" collapsed="false">
      <c r="A1146" s="3" t="s">
        <v>1536</v>
      </c>
      <c r="B1146" s="3" t="s">
        <v>282</v>
      </c>
      <c r="C1146" s="3" t="s">
        <v>384</v>
      </c>
      <c r="D1146" s="3" t="s">
        <v>381</v>
      </c>
      <c r="E1146" s="3" t="s">
        <v>385</v>
      </c>
      <c r="F1146" s="16" t="n">
        <v>24</v>
      </c>
      <c r="G1146" s="15" t="n">
        <v>0</v>
      </c>
      <c r="H1146" s="16" t="n">
        <v>22</v>
      </c>
      <c r="I1146" s="33" t="n">
        <v>31077.12</v>
      </c>
      <c r="J1146" s="33" t="n">
        <v>31077.12</v>
      </c>
    </row>
    <row r="1147" customFormat="false" ht="15" hidden="false" customHeight="false" outlineLevel="0" collapsed="false">
      <c r="A1147" s="3" t="s">
        <v>1537</v>
      </c>
      <c r="B1147" s="3" t="s">
        <v>282</v>
      </c>
      <c r="C1147" s="3" t="s">
        <v>380</v>
      </c>
      <c r="D1147" s="3" t="s">
        <v>418</v>
      </c>
      <c r="E1147" s="3" t="s">
        <v>398</v>
      </c>
      <c r="F1147" s="16" t="n">
        <v>12</v>
      </c>
      <c r="G1147" s="15" t="n">
        <v>0.1</v>
      </c>
      <c r="H1147" s="16" t="n">
        <v>1</v>
      </c>
      <c r="I1147" s="33" t="n">
        <v>31063.56</v>
      </c>
      <c r="J1147" s="33" t="n">
        <v>34515.12</v>
      </c>
    </row>
    <row r="1148" customFormat="false" ht="15" hidden="false" customHeight="false" outlineLevel="0" collapsed="false">
      <c r="A1148" s="3" t="s">
        <v>1538</v>
      </c>
      <c r="B1148" s="3" t="s">
        <v>282</v>
      </c>
      <c r="C1148" s="3" t="s">
        <v>403</v>
      </c>
      <c r="D1148" s="3" t="s">
        <v>381</v>
      </c>
      <c r="E1148" s="3" t="s">
        <v>398</v>
      </c>
      <c r="F1148" s="16" t="n">
        <v>24</v>
      </c>
      <c r="G1148" s="15" t="n">
        <v>0</v>
      </c>
      <c r="H1148" s="16" t="n">
        <v>19</v>
      </c>
      <c r="I1148" s="33" t="n">
        <v>31057.8</v>
      </c>
      <c r="J1148" s="33" t="n">
        <v>31057.8</v>
      </c>
    </row>
    <row r="1149" customFormat="false" ht="15" hidden="false" customHeight="false" outlineLevel="0" collapsed="false">
      <c r="A1149" s="3" t="s">
        <v>1539</v>
      </c>
      <c r="B1149" s="3" t="s">
        <v>282</v>
      </c>
      <c r="C1149" s="3" t="s">
        <v>405</v>
      </c>
      <c r="D1149" s="3" t="s">
        <v>418</v>
      </c>
      <c r="E1149" s="3" t="s">
        <v>398</v>
      </c>
      <c r="F1149" s="16" t="n">
        <v>24</v>
      </c>
      <c r="G1149" s="15" t="n">
        <v>0</v>
      </c>
      <c r="H1149" s="16" t="n">
        <v>20</v>
      </c>
      <c r="I1149" s="33" t="n">
        <v>31042.8</v>
      </c>
      <c r="J1149" s="33" t="n">
        <v>31042.8</v>
      </c>
    </row>
    <row r="1150" customFormat="false" ht="15" hidden="false" customHeight="false" outlineLevel="0" collapsed="false">
      <c r="A1150" s="3" t="s">
        <v>1540</v>
      </c>
      <c r="B1150" s="3" t="s">
        <v>282</v>
      </c>
      <c r="C1150" s="3" t="s">
        <v>405</v>
      </c>
      <c r="D1150" s="3" t="s">
        <v>392</v>
      </c>
      <c r="E1150" s="3" t="s">
        <v>385</v>
      </c>
      <c r="F1150" s="16" t="n">
        <v>12</v>
      </c>
      <c r="G1150" s="15" t="n">
        <v>0</v>
      </c>
      <c r="H1150" s="16" t="n">
        <v>11</v>
      </c>
      <c r="I1150" s="33" t="n">
        <v>30998.16</v>
      </c>
      <c r="J1150" s="33" t="n">
        <v>30998.16</v>
      </c>
    </row>
    <row r="1151" customFormat="false" ht="15" hidden="false" customHeight="false" outlineLevel="0" collapsed="false">
      <c r="A1151" s="3" t="s">
        <v>1541</v>
      </c>
      <c r="B1151" s="3" t="s">
        <v>283</v>
      </c>
      <c r="C1151" s="3" t="s">
        <v>405</v>
      </c>
      <c r="D1151" s="3" t="s">
        <v>692</v>
      </c>
      <c r="E1151" s="3" t="s">
        <v>398</v>
      </c>
      <c r="F1151" s="16" t="n">
        <v>12</v>
      </c>
      <c r="G1151" s="15" t="n">
        <v>0</v>
      </c>
      <c r="H1151" s="16" t="n">
        <v>11</v>
      </c>
      <c r="I1151" s="33" t="n">
        <v>30996.96</v>
      </c>
      <c r="J1151" s="33" t="n">
        <v>30996.96</v>
      </c>
    </row>
    <row r="1152" customFormat="false" ht="15" hidden="false" customHeight="false" outlineLevel="0" collapsed="false">
      <c r="A1152" s="3" t="s">
        <v>1542</v>
      </c>
      <c r="B1152" s="3" t="s">
        <v>282</v>
      </c>
      <c r="C1152" s="3" t="s">
        <v>387</v>
      </c>
      <c r="D1152" s="3" t="s">
        <v>392</v>
      </c>
      <c r="E1152" s="3" t="s">
        <v>385</v>
      </c>
      <c r="F1152" s="16" t="n">
        <v>12</v>
      </c>
      <c r="G1152" s="15" t="n">
        <v>0</v>
      </c>
      <c r="H1152" s="16" t="n">
        <v>9</v>
      </c>
      <c r="I1152" s="33" t="n">
        <v>30994.08</v>
      </c>
      <c r="J1152" s="33" t="n">
        <v>30994.08</v>
      </c>
    </row>
    <row r="1153" customFormat="false" ht="15" hidden="false" customHeight="false" outlineLevel="0" collapsed="false">
      <c r="A1153" s="3" t="s">
        <v>1543</v>
      </c>
      <c r="B1153" s="3" t="s">
        <v>282</v>
      </c>
      <c r="C1153" s="3" t="s">
        <v>401</v>
      </c>
      <c r="D1153" s="3" t="s">
        <v>388</v>
      </c>
      <c r="E1153" s="3" t="s">
        <v>398</v>
      </c>
      <c r="F1153" s="16" t="n">
        <v>24</v>
      </c>
      <c r="G1153" s="15" t="n">
        <v>0</v>
      </c>
      <c r="H1153" s="16" t="n">
        <v>14</v>
      </c>
      <c r="I1153" s="33" t="n">
        <v>30989.28</v>
      </c>
      <c r="J1153" s="33" t="n">
        <v>30989.28</v>
      </c>
    </row>
    <row r="1154" customFormat="false" ht="15" hidden="false" customHeight="false" outlineLevel="0" collapsed="false">
      <c r="A1154" s="3" t="s">
        <v>1544</v>
      </c>
      <c r="B1154" s="3" t="s">
        <v>282</v>
      </c>
      <c r="C1154" s="3" t="s">
        <v>396</v>
      </c>
      <c r="D1154" s="3" t="s">
        <v>381</v>
      </c>
      <c r="E1154" s="3" t="s">
        <v>382</v>
      </c>
      <c r="F1154" s="16" t="n">
        <v>24</v>
      </c>
      <c r="G1154" s="15" t="n">
        <v>0</v>
      </c>
      <c r="H1154" s="16" t="n">
        <v>14</v>
      </c>
      <c r="I1154" s="33" t="n">
        <v>30983.76</v>
      </c>
      <c r="J1154" s="33" t="n">
        <v>30983.76</v>
      </c>
    </row>
    <row r="1155" customFormat="false" ht="15" hidden="false" customHeight="false" outlineLevel="0" collapsed="false">
      <c r="A1155" s="3" t="s">
        <v>1545</v>
      </c>
      <c r="B1155" s="3" t="s">
        <v>282</v>
      </c>
      <c r="C1155" s="3" t="s">
        <v>380</v>
      </c>
      <c r="D1155" s="3" t="s">
        <v>388</v>
      </c>
      <c r="E1155" s="3" t="s">
        <v>398</v>
      </c>
      <c r="F1155" s="16" t="n">
        <v>24</v>
      </c>
      <c r="G1155" s="15" t="n">
        <v>0</v>
      </c>
      <c r="H1155" s="16" t="n">
        <v>4</v>
      </c>
      <c r="I1155" s="33" t="n">
        <v>30974.16</v>
      </c>
      <c r="J1155" s="33" t="n">
        <v>30974.16</v>
      </c>
    </row>
    <row r="1156" customFormat="false" ht="15" hidden="false" customHeight="false" outlineLevel="0" collapsed="false">
      <c r="A1156" s="3" t="s">
        <v>1546</v>
      </c>
      <c r="B1156" s="3" t="s">
        <v>282</v>
      </c>
      <c r="C1156" s="3" t="s">
        <v>380</v>
      </c>
      <c r="D1156" s="3" t="s">
        <v>381</v>
      </c>
      <c r="E1156" s="3" t="s">
        <v>382</v>
      </c>
      <c r="F1156" s="16" t="n">
        <v>12</v>
      </c>
      <c r="G1156" s="15" t="n">
        <v>0</v>
      </c>
      <c r="H1156" s="16" t="n">
        <v>5</v>
      </c>
      <c r="I1156" s="33" t="n">
        <v>30973.08</v>
      </c>
      <c r="J1156" s="33" t="n">
        <v>30973.08</v>
      </c>
    </row>
    <row r="1157" customFormat="false" ht="15" hidden="false" customHeight="false" outlineLevel="0" collapsed="false">
      <c r="A1157" s="3" t="s">
        <v>1547</v>
      </c>
      <c r="B1157" s="3" t="s">
        <v>282</v>
      </c>
      <c r="C1157" s="3" t="s">
        <v>384</v>
      </c>
      <c r="D1157" s="3" t="s">
        <v>392</v>
      </c>
      <c r="E1157" s="3" t="s">
        <v>398</v>
      </c>
      <c r="F1157" s="16" t="n">
        <v>12</v>
      </c>
      <c r="G1157" s="15" t="n">
        <v>0</v>
      </c>
      <c r="H1157" s="16" t="n">
        <v>7</v>
      </c>
      <c r="I1157" s="33" t="n">
        <v>30907.44</v>
      </c>
      <c r="J1157" s="33" t="n">
        <v>30907.44</v>
      </c>
    </row>
    <row r="1158" customFormat="false" ht="15" hidden="false" customHeight="false" outlineLevel="0" collapsed="false">
      <c r="A1158" s="3" t="s">
        <v>1548</v>
      </c>
      <c r="B1158" s="3" t="s">
        <v>283</v>
      </c>
      <c r="C1158" s="3" t="s">
        <v>396</v>
      </c>
      <c r="D1158" s="3" t="s">
        <v>418</v>
      </c>
      <c r="E1158" s="3" t="s">
        <v>385</v>
      </c>
      <c r="F1158" s="16" t="n">
        <v>1</v>
      </c>
      <c r="G1158" s="15" t="n">
        <v>0.1</v>
      </c>
      <c r="H1158" s="16" t="n">
        <v>1</v>
      </c>
      <c r="I1158" s="33" t="n">
        <v>30863.52</v>
      </c>
      <c r="J1158" s="33" t="n">
        <v>34292.76</v>
      </c>
    </row>
    <row r="1159" customFormat="false" ht="15" hidden="false" customHeight="false" outlineLevel="0" collapsed="false">
      <c r="A1159" s="3" t="s">
        <v>1549</v>
      </c>
      <c r="B1159" s="3" t="s">
        <v>282</v>
      </c>
      <c r="C1159" s="3" t="s">
        <v>405</v>
      </c>
      <c r="D1159" s="3" t="s">
        <v>392</v>
      </c>
      <c r="E1159" s="3" t="s">
        <v>398</v>
      </c>
      <c r="F1159" s="16" t="n">
        <v>24</v>
      </c>
      <c r="G1159" s="15" t="n">
        <v>0.15</v>
      </c>
      <c r="H1159" s="16" t="n">
        <v>6</v>
      </c>
      <c r="I1159" s="33" t="n">
        <v>30829.44</v>
      </c>
      <c r="J1159" s="33" t="n">
        <v>36270</v>
      </c>
    </row>
    <row r="1160" customFormat="false" ht="15" hidden="false" customHeight="false" outlineLevel="0" collapsed="false">
      <c r="A1160" s="3" t="s">
        <v>1550</v>
      </c>
      <c r="B1160" s="3" t="s">
        <v>282</v>
      </c>
      <c r="C1160" s="3" t="s">
        <v>380</v>
      </c>
      <c r="D1160" s="3" t="s">
        <v>388</v>
      </c>
      <c r="E1160" s="3" t="s">
        <v>398</v>
      </c>
      <c r="F1160" s="16" t="n">
        <v>24</v>
      </c>
      <c r="G1160" s="15" t="n">
        <v>0</v>
      </c>
      <c r="H1160" s="16" t="n">
        <v>3</v>
      </c>
      <c r="I1160" s="33" t="n">
        <v>30806.52</v>
      </c>
      <c r="J1160" s="33" t="n">
        <v>30806.52</v>
      </c>
    </row>
    <row r="1161" customFormat="false" ht="15" hidden="false" customHeight="false" outlineLevel="0" collapsed="false">
      <c r="A1161" s="3" t="s">
        <v>1551</v>
      </c>
      <c r="B1161" s="3" t="s">
        <v>282</v>
      </c>
      <c r="C1161" s="3" t="s">
        <v>401</v>
      </c>
      <c r="D1161" s="3" t="s">
        <v>392</v>
      </c>
      <c r="E1161" s="3" t="s">
        <v>398</v>
      </c>
      <c r="F1161" s="16" t="n">
        <v>24</v>
      </c>
      <c r="G1161" s="15" t="n">
        <v>0</v>
      </c>
      <c r="H1161" s="16" t="n">
        <v>1</v>
      </c>
      <c r="I1161" s="33" t="n">
        <v>30711</v>
      </c>
      <c r="J1161" s="33" t="n">
        <v>30711</v>
      </c>
    </row>
    <row r="1162" customFormat="false" ht="15" hidden="false" customHeight="false" outlineLevel="0" collapsed="false">
      <c r="A1162" s="3" t="s">
        <v>1552</v>
      </c>
      <c r="B1162" s="3" t="s">
        <v>282</v>
      </c>
      <c r="C1162" s="3" t="s">
        <v>380</v>
      </c>
      <c r="D1162" s="3" t="s">
        <v>692</v>
      </c>
      <c r="E1162" s="3" t="s">
        <v>398</v>
      </c>
      <c r="F1162" s="16" t="n">
        <v>12</v>
      </c>
      <c r="G1162" s="15" t="n">
        <v>0</v>
      </c>
      <c r="H1162" s="16" t="n">
        <v>8</v>
      </c>
      <c r="I1162" s="33" t="n">
        <v>30629.28</v>
      </c>
      <c r="J1162" s="33" t="n">
        <v>30629.28</v>
      </c>
    </row>
    <row r="1163" customFormat="false" ht="15" hidden="false" customHeight="false" outlineLevel="0" collapsed="false">
      <c r="A1163" s="3" t="s">
        <v>1553</v>
      </c>
      <c r="B1163" s="3" t="s">
        <v>282</v>
      </c>
      <c r="C1163" s="3" t="s">
        <v>403</v>
      </c>
      <c r="D1163" s="3" t="s">
        <v>381</v>
      </c>
      <c r="E1163" s="3" t="s">
        <v>385</v>
      </c>
      <c r="F1163" s="16" t="n">
        <v>24</v>
      </c>
      <c r="G1163" s="15" t="n">
        <v>0</v>
      </c>
      <c r="H1163" s="16" t="n">
        <v>21</v>
      </c>
      <c r="I1163" s="33" t="n">
        <v>30616.92</v>
      </c>
      <c r="J1163" s="33" t="n">
        <v>30616.92</v>
      </c>
    </row>
    <row r="1164" customFormat="false" ht="15" hidden="false" customHeight="false" outlineLevel="0" collapsed="false">
      <c r="A1164" s="3" t="s">
        <v>1554</v>
      </c>
      <c r="B1164" s="3" t="s">
        <v>282</v>
      </c>
      <c r="C1164" s="3" t="s">
        <v>387</v>
      </c>
      <c r="D1164" s="3" t="s">
        <v>418</v>
      </c>
      <c r="E1164" s="3" t="s">
        <v>385</v>
      </c>
      <c r="F1164" s="16" t="n">
        <v>12</v>
      </c>
      <c r="G1164" s="15" t="n">
        <v>0</v>
      </c>
      <c r="H1164" s="16" t="n">
        <v>11</v>
      </c>
      <c r="I1164" s="33" t="n">
        <v>30606.12</v>
      </c>
      <c r="J1164" s="33" t="n">
        <v>30606.12</v>
      </c>
    </row>
    <row r="1165" customFormat="false" ht="15" hidden="false" customHeight="false" outlineLevel="0" collapsed="false">
      <c r="A1165" s="3" t="s">
        <v>1555</v>
      </c>
      <c r="B1165" s="3" t="s">
        <v>282</v>
      </c>
      <c r="C1165" s="3" t="s">
        <v>384</v>
      </c>
      <c r="D1165" s="3" t="s">
        <v>418</v>
      </c>
      <c r="E1165" s="3" t="s">
        <v>398</v>
      </c>
      <c r="F1165" s="16" t="n">
        <v>24</v>
      </c>
      <c r="G1165" s="15" t="n">
        <v>0</v>
      </c>
      <c r="H1165" s="16" t="n">
        <v>22</v>
      </c>
      <c r="I1165" s="33" t="n">
        <v>30527.64</v>
      </c>
      <c r="J1165" s="33" t="n">
        <v>30527.64</v>
      </c>
    </row>
    <row r="1166" customFormat="false" ht="15" hidden="false" customHeight="false" outlineLevel="0" collapsed="false">
      <c r="A1166" s="3" t="s">
        <v>1556</v>
      </c>
      <c r="B1166" s="3" t="s">
        <v>282</v>
      </c>
      <c r="C1166" s="3" t="s">
        <v>396</v>
      </c>
      <c r="D1166" s="3" t="s">
        <v>392</v>
      </c>
      <c r="E1166" s="3" t="s">
        <v>382</v>
      </c>
      <c r="F1166" s="16" t="n">
        <v>12</v>
      </c>
      <c r="G1166" s="15" t="n">
        <v>0.3</v>
      </c>
      <c r="H1166" s="16" t="n">
        <v>12</v>
      </c>
      <c r="I1166" s="33" t="n">
        <v>30521.88</v>
      </c>
      <c r="J1166" s="33" t="n">
        <v>43602.6</v>
      </c>
    </row>
    <row r="1167" customFormat="false" ht="15" hidden="false" customHeight="false" outlineLevel="0" collapsed="false">
      <c r="A1167" s="3" t="s">
        <v>1557</v>
      </c>
      <c r="B1167" s="3" t="s">
        <v>282</v>
      </c>
      <c r="C1167" s="3" t="s">
        <v>396</v>
      </c>
      <c r="D1167" s="3" t="s">
        <v>381</v>
      </c>
      <c r="E1167" s="3" t="s">
        <v>398</v>
      </c>
      <c r="F1167" s="16" t="n">
        <v>24</v>
      </c>
      <c r="G1167" s="15" t="n">
        <v>0</v>
      </c>
      <c r="H1167" s="16" t="n">
        <v>17</v>
      </c>
      <c r="I1167" s="33" t="n">
        <v>30496.68</v>
      </c>
      <c r="J1167" s="33" t="n">
        <v>30496.68</v>
      </c>
    </row>
    <row r="1168" customFormat="false" ht="15" hidden="false" customHeight="false" outlineLevel="0" collapsed="false">
      <c r="A1168" s="3" t="s">
        <v>1558</v>
      </c>
      <c r="B1168" s="3" t="s">
        <v>282</v>
      </c>
      <c r="C1168" s="3" t="s">
        <v>380</v>
      </c>
      <c r="D1168" s="3" t="s">
        <v>392</v>
      </c>
      <c r="E1168" s="3" t="s">
        <v>382</v>
      </c>
      <c r="F1168" s="16" t="n">
        <v>12</v>
      </c>
      <c r="G1168" s="15" t="n">
        <v>0.1</v>
      </c>
      <c r="H1168" s="16" t="n">
        <v>8</v>
      </c>
      <c r="I1168" s="33" t="n">
        <v>30471.36</v>
      </c>
      <c r="J1168" s="33" t="n">
        <v>33857.16</v>
      </c>
    </row>
    <row r="1169" customFormat="false" ht="15" hidden="false" customHeight="false" outlineLevel="0" collapsed="false">
      <c r="A1169" s="3" t="s">
        <v>1559</v>
      </c>
      <c r="B1169" s="3" t="s">
        <v>282</v>
      </c>
      <c r="C1169" s="3" t="s">
        <v>387</v>
      </c>
      <c r="D1169" s="3" t="s">
        <v>392</v>
      </c>
      <c r="E1169" s="3" t="s">
        <v>382</v>
      </c>
      <c r="F1169" s="16" t="n">
        <v>12</v>
      </c>
      <c r="G1169" s="15" t="n">
        <v>0</v>
      </c>
      <c r="H1169" s="16" t="n">
        <v>5</v>
      </c>
      <c r="I1169" s="33" t="n">
        <v>30411.48</v>
      </c>
      <c r="J1169" s="33" t="n">
        <v>30411.48</v>
      </c>
    </row>
    <row r="1170" customFormat="false" ht="15" hidden="false" customHeight="false" outlineLevel="0" collapsed="false">
      <c r="A1170" s="3" t="s">
        <v>1560</v>
      </c>
      <c r="B1170" s="3" t="s">
        <v>282</v>
      </c>
      <c r="C1170" s="3" t="s">
        <v>403</v>
      </c>
      <c r="D1170" s="3" t="s">
        <v>692</v>
      </c>
      <c r="E1170" s="3" t="s">
        <v>382</v>
      </c>
      <c r="F1170" s="16" t="n">
        <v>24</v>
      </c>
      <c r="G1170" s="15" t="n">
        <v>0</v>
      </c>
      <c r="H1170" s="16" t="n">
        <v>13</v>
      </c>
      <c r="I1170" s="33" t="n">
        <v>30385.92</v>
      </c>
      <c r="J1170" s="33" t="n">
        <v>30385.92</v>
      </c>
    </row>
    <row r="1171" customFormat="false" ht="15" hidden="false" customHeight="false" outlineLevel="0" collapsed="false">
      <c r="A1171" s="3" t="s">
        <v>1561</v>
      </c>
      <c r="B1171" s="3" t="s">
        <v>282</v>
      </c>
      <c r="C1171" s="3" t="s">
        <v>403</v>
      </c>
      <c r="D1171" s="3" t="s">
        <v>418</v>
      </c>
      <c r="E1171" s="3" t="s">
        <v>385</v>
      </c>
      <c r="F1171" s="16" t="n">
        <v>12</v>
      </c>
      <c r="G1171" s="15" t="n">
        <v>0.1</v>
      </c>
      <c r="H1171" s="16" t="n">
        <v>5</v>
      </c>
      <c r="I1171" s="33" t="n">
        <v>30355.32</v>
      </c>
      <c r="J1171" s="33" t="n">
        <v>33728.16</v>
      </c>
    </row>
    <row r="1172" customFormat="false" ht="15" hidden="false" customHeight="false" outlineLevel="0" collapsed="false">
      <c r="A1172" s="3" t="s">
        <v>1562</v>
      </c>
      <c r="B1172" s="3" t="s">
        <v>283</v>
      </c>
      <c r="C1172" s="3" t="s">
        <v>405</v>
      </c>
      <c r="D1172" s="3" t="s">
        <v>418</v>
      </c>
      <c r="E1172" s="3" t="s">
        <v>382</v>
      </c>
      <c r="F1172" s="16" t="n">
        <v>12</v>
      </c>
      <c r="G1172" s="15" t="n">
        <v>0.1</v>
      </c>
      <c r="H1172" s="16" t="n">
        <v>9</v>
      </c>
      <c r="I1172" s="33" t="n">
        <v>30348.12</v>
      </c>
      <c r="J1172" s="33" t="n">
        <v>33720.12</v>
      </c>
    </row>
    <row r="1173" customFormat="false" ht="15" hidden="false" customHeight="false" outlineLevel="0" collapsed="false">
      <c r="A1173" s="3" t="s">
        <v>1563</v>
      </c>
      <c r="B1173" s="3" t="s">
        <v>282</v>
      </c>
      <c r="C1173" s="3" t="s">
        <v>403</v>
      </c>
      <c r="D1173" s="3" t="s">
        <v>392</v>
      </c>
      <c r="E1173" s="3" t="s">
        <v>385</v>
      </c>
      <c r="F1173" s="16" t="n">
        <v>12</v>
      </c>
      <c r="G1173" s="15" t="n">
        <v>0</v>
      </c>
      <c r="H1173" s="16" t="n">
        <v>10</v>
      </c>
      <c r="I1173" s="33" t="n">
        <v>30327.24</v>
      </c>
      <c r="J1173" s="33" t="n">
        <v>30327.24</v>
      </c>
    </row>
    <row r="1174" customFormat="false" ht="15" hidden="false" customHeight="false" outlineLevel="0" collapsed="false">
      <c r="A1174" s="3" t="s">
        <v>1564</v>
      </c>
      <c r="B1174" s="3" t="s">
        <v>282</v>
      </c>
      <c r="C1174" s="3" t="s">
        <v>403</v>
      </c>
      <c r="D1174" s="3" t="s">
        <v>392</v>
      </c>
      <c r="E1174" s="3" t="s">
        <v>385</v>
      </c>
      <c r="F1174" s="16" t="n">
        <v>24</v>
      </c>
      <c r="G1174" s="15" t="n">
        <v>0</v>
      </c>
      <c r="H1174" s="16" t="n">
        <v>23</v>
      </c>
      <c r="I1174" s="33" t="n">
        <v>30326.88</v>
      </c>
      <c r="J1174" s="33" t="n">
        <v>30326.88</v>
      </c>
    </row>
    <row r="1175" customFormat="false" ht="15" hidden="false" customHeight="false" outlineLevel="0" collapsed="false">
      <c r="A1175" s="3" t="s">
        <v>1565</v>
      </c>
      <c r="B1175" s="3" t="s">
        <v>283</v>
      </c>
      <c r="C1175" s="3" t="s">
        <v>380</v>
      </c>
      <c r="D1175" s="3" t="s">
        <v>692</v>
      </c>
      <c r="E1175" s="3" t="s">
        <v>398</v>
      </c>
      <c r="F1175" s="16" t="n">
        <v>1</v>
      </c>
      <c r="G1175" s="15" t="n">
        <v>0</v>
      </c>
      <c r="H1175" s="16" t="n">
        <v>1</v>
      </c>
      <c r="I1175" s="33" t="n">
        <v>30253.8</v>
      </c>
      <c r="J1175" s="33" t="n">
        <v>30253.8</v>
      </c>
    </row>
    <row r="1176" customFormat="false" ht="15" hidden="false" customHeight="false" outlineLevel="0" collapsed="false">
      <c r="A1176" s="3" t="s">
        <v>1566</v>
      </c>
      <c r="B1176" s="3" t="s">
        <v>282</v>
      </c>
      <c r="C1176" s="3" t="s">
        <v>387</v>
      </c>
      <c r="D1176" s="3" t="s">
        <v>388</v>
      </c>
      <c r="E1176" s="3" t="s">
        <v>385</v>
      </c>
      <c r="F1176" s="16" t="n">
        <v>12</v>
      </c>
      <c r="G1176" s="15" t="n">
        <v>0</v>
      </c>
      <c r="H1176" s="16" t="n">
        <v>5</v>
      </c>
      <c r="I1176" s="33" t="n">
        <v>30252.48</v>
      </c>
      <c r="J1176" s="33" t="n">
        <v>30252.48</v>
      </c>
    </row>
    <row r="1177" customFormat="false" ht="15" hidden="false" customHeight="false" outlineLevel="0" collapsed="false">
      <c r="A1177" s="3" t="s">
        <v>1567</v>
      </c>
      <c r="B1177" s="3" t="s">
        <v>282</v>
      </c>
      <c r="C1177" s="3" t="s">
        <v>403</v>
      </c>
      <c r="D1177" s="3" t="s">
        <v>388</v>
      </c>
      <c r="E1177" s="3" t="s">
        <v>385</v>
      </c>
      <c r="F1177" s="16" t="n">
        <v>24</v>
      </c>
      <c r="G1177" s="15" t="n">
        <v>0.05</v>
      </c>
      <c r="H1177" s="16" t="n">
        <v>2</v>
      </c>
      <c r="I1177" s="33" t="n">
        <v>30243.72</v>
      </c>
      <c r="J1177" s="33" t="n">
        <v>31835.52</v>
      </c>
    </row>
    <row r="1178" customFormat="false" ht="15" hidden="false" customHeight="false" outlineLevel="0" collapsed="false">
      <c r="A1178" s="3" t="s">
        <v>1568</v>
      </c>
      <c r="B1178" s="3" t="s">
        <v>283</v>
      </c>
      <c r="C1178" s="3" t="s">
        <v>403</v>
      </c>
      <c r="D1178" s="3" t="s">
        <v>392</v>
      </c>
      <c r="E1178" s="3" t="s">
        <v>398</v>
      </c>
      <c r="F1178" s="16" t="n">
        <v>12</v>
      </c>
      <c r="G1178" s="15" t="n">
        <v>0</v>
      </c>
      <c r="H1178" s="16" t="n">
        <v>12</v>
      </c>
      <c r="I1178" s="33" t="n">
        <v>30211.68</v>
      </c>
      <c r="J1178" s="33" t="n">
        <v>30211.68</v>
      </c>
    </row>
    <row r="1179" customFormat="false" ht="15" hidden="false" customHeight="false" outlineLevel="0" collapsed="false">
      <c r="A1179" s="3" t="s">
        <v>1569</v>
      </c>
      <c r="B1179" s="3" t="s">
        <v>282</v>
      </c>
      <c r="C1179" s="3" t="s">
        <v>387</v>
      </c>
      <c r="D1179" s="3" t="s">
        <v>418</v>
      </c>
      <c r="E1179" s="3" t="s">
        <v>385</v>
      </c>
      <c r="F1179" s="16" t="n">
        <v>12</v>
      </c>
      <c r="G1179" s="15" t="n">
        <v>0</v>
      </c>
      <c r="H1179" s="16" t="n">
        <v>5</v>
      </c>
      <c r="I1179" s="33" t="n">
        <v>30202.08</v>
      </c>
      <c r="J1179" s="33" t="n">
        <v>30202.08</v>
      </c>
    </row>
    <row r="1180" customFormat="false" ht="15" hidden="false" customHeight="false" outlineLevel="0" collapsed="false">
      <c r="A1180" s="3" t="s">
        <v>1570</v>
      </c>
      <c r="B1180" s="3" t="s">
        <v>282</v>
      </c>
      <c r="C1180" s="3" t="s">
        <v>384</v>
      </c>
      <c r="D1180" s="3" t="s">
        <v>381</v>
      </c>
      <c r="E1180" s="3" t="s">
        <v>385</v>
      </c>
      <c r="F1180" s="16" t="n">
        <v>24</v>
      </c>
      <c r="G1180" s="15" t="n">
        <v>0</v>
      </c>
      <c r="H1180" s="16" t="n">
        <v>17</v>
      </c>
      <c r="I1180" s="33" t="n">
        <v>30191.04</v>
      </c>
      <c r="J1180" s="33" t="n">
        <v>30191.04</v>
      </c>
    </row>
    <row r="1181" customFormat="false" ht="15" hidden="false" customHeight="false" outlineLevel="0" collapsed="false">
      <c r="A1181" s="3" t="s">
        <v>1571</v>
      </c>
      <c r="B1181" s="3" t="s">
        <v>282</v>
      </c>
      <c r="C1181" s="3" t="s">
        <v>401</v>
      </c>
      <c r="D1181" s="3" t="s">
        <v>418</v>
      </c>
      <c r="E1181" s="3" t="s">
        <v>398</v>
      </c>
      <c r="F1181" s="16" t="n">
        <v>24</v>
      </c>
      <c r="G1181" s="15" t="n">
        <v>0</v>
      </c>
      <c r="H1181" s="16" t="n">
        <v>4</v>
      </c>
      <c r="I1181" s="33" t="n">
        <v>30141.36</v>
      </c>
      <c r="J1181" s="33" t="n">
        <v>30141.36</v>
      </c>
    </row>
    <row r="1182" customFormat="false" ht="15" hidden="false" customHeight="false" outlineLevel="0" collapsed="false">
      <c r="A1182" s="3" t="s">
        <v>1572</v>
      </c>
      <c r="B1182" s="3" t="s">
        <v>283</v>
      </c>
      <c r="C1182" s="3" t="s">
        <v>396</v>
      </c>
      <c r="D1182" s="3" t="s">
        <v>392</v>
      </c>
      <c r="E1182" s="3" t="s">
        <v>382</v>
      </c>
      <c r="F1182" s="16" t="n">
        <v>1</v>
      </c>
      <c r="G1182" s="15" t="n">
        <v>0.15</v>
      </c>
      <c r="H1182" s="16" t="n">
        <v>1</v>
      </c>
      <c r="I1182" s="33" t="n">
        <v>30127.92</v>
      </c>
      <c r="J1182" s="33" t="n">
        <v>35444.64</v>
      </c>
    </row>
    <row r="1183" customFormat="false" ht="15" hidden="false" customHeight="false" outlineLevel="0" collapsed="false">
      <c r="A1183" s="3" t="s">
        <v>1573</v>
      </c>
      <c r="B1183" s="3" t="s">
        <v>282</v>
      </c>
      <c r="C1183" s="3" t="s">
        <v>380</v>
      </c>
      <c r="D1183" s="3" t="s">
        <v>692</v>
      </c>
      <c r="E1183" s="3" t="s">
        <v>385</v>
      </c>
      <c r="F1183" s="16" t="n">
        <v>24</v>
      </c>
      <c r="G1183" s="15" t="n">
        <v>0.1</v>
      </c>
      <c r="H1183" s="16" t="n">
        <v>6</v>
      </c>
      <c r="I1183" s="33" t="n">
        <v>29983.32</v>
      </c>
      <c r="J1183" s="33" t="n">
        <v>33314.76</v>
      </c>
    </row>
    <row r="1184" customFormat="false" ht="15" hidden="false" customHeight="false" outlineLevel="0" collapsed="false">
      <c r="A1184" s="3" t="s">
        <v>1574</v>
      </c>
      <c r="B1184" s="3" t="s">
        <v>282</v>
      </c>
      <c r="C1184" s="3" t="s">
        <v>387</v>
      </c>
      <c r="D1184" s="3" t="s">
        <v>418</v>
      </c>
      <c r="E1184" s="3" t="s">
        <v>385</v>
      </c>
      <c r="F1184" s="16" t="n">
        <v>12</v>
      </c>
      <c r="G1184" s="15" t="n">
        <v>0.2</v>
      </c>
      <c r="H1184" s="16" t="n">
        <v>8</v>
      </c>
      <c r="I1184" s="33" t="n">
        <v>29927.52</v>
      </c>
      <c r="J1184" s="33" t="n">
        <v>37409.4</v>
      </c>
    </row>
    <row r="1185" customFormat="false" ht="15" hidden="false" customHeight="false" outlineLevel="0" collapsed="false">
      <c r="A1185" s="3" t="s">
        <v>1575</v>
      </c>
      <c r="B1185" s="3" t="s">
        <v>282</v>
      </c>
      <c r="C1185" s="3" t="s">
        <v>384</v>
      </c>
      <c r="D1185" s="3" t="s">
        <v>392</v>
      </c>
      <c r="E1185" s="3" t="s">
        <v>398</v>
      </c>
      <c r="F1185" s="16" t="n">
        <v>24</v>
      </c>
      <c r="G1185" s="15" t="n">
        <v>0.1</v>
      </c>
      <c r="H1185" s="16" t="n">
        <v>13</v>
      </c>
      <c r="I1185" s="33" t="n">
        <v>29926.44</v>
      </c>
      <c r="J1185" s="33" t="n">
        <v>33251.64</v>
      </c>
    </row>
    <row r="1186" customFormat="false" ht="15" hidden="false" customHeight="false" outlineLevel="0" collapsed="false">
      <c r="A1186" s="3" t="s">
        <v>1576</v>
      </c>
      <c r="B1186" s="3" t="s">
        <v>282</v>
      </c>
      <c r="C1186" s="3" t="s">
        <v>384</v>
      </c>
      <c r="D1186" s="3" t="s">
        <v>392</v>
      </c>
      <c r="E1186" s="3" t="s">
        <v>382</v>
      </c>
      <c r="F1186" s="16" t="n">
        <v>12</v>
      </c>
      <c r="G1186" s="15" t="n">
        <v>0</v>
      </c>
      <c r="H1186" s="16" t="n">
        <v>4</v>
      </c>
      <c r="I1186" s="33" t="n">
        <v>29920.32</v>
      </c>
      <c r="J1186" s="33" t="n">
        <v>29920.32</v>
      </c>
    </row>
    <row r="1187" customFormat="false" ht="15" hidden="false" customHeight="false" outlineLevel="0" collapsed="false">
      <c r="A1187" s="3" t="s">
        <v>1577</v>
      </c>
      <c r="B1187" s="3" t="s">
        <v>282</v>
      </c>
      <c r="C1187" s="3" t="s">
        <v>387</v>
      </c>
      <c r="D1187" s="3" t="s">
        <v>381</v>
      </c>
      <c r="E1187" s="3" t="s">
        <v>398</v>
      </c>
      <c r="F1187" s="16" t="n">
        <v>24</v>
      </c>
      <c r="G1187" s="15" t="n">
        <v>0.1</v>
      </c>
      <c r="H1187" s="16" t="n">
        <v>3</v>
      </c>
      <c r="I1187" s="33" t="n">
        <v>29919.96</v>
      </c>
      <c r="J1187" s="33" t="n">
        <v>33244.44</v>
      </c>
    </row>
    <row r="1188" customFormat="false" ht="15" hidden="false" customHeight="false" outlineLevel="0" collapsed="false">
      <c r="A1188" s="3" t="s">
        <v>1578</v>
      </c>
      <c r="B1188" s="3" t="s">
        <v>282</v>
      </c>
      <c r="C1188" s="3" t="s">
        <v>387</v>
      </c>
      <c r="D1188" s="3" t="s">
        <v>392</v>
      </c>
      <c r="E1188" s="3" t="s">
        <v>385</v>
      </c>
      <c r="F1188" s="16" t="n">
        <v>24</v>
      </c>
      <c r="G1188" s="15" t="n">
        <v>0</v>
      </c>
      <c r="H1188" s="16" t="n">
        <v>1</v>
      </c>
      <c r="I1188" s="33" t="n">
        <v>29918.16</v>
      </c>
      <c r="J1188" s="33" t="n">
        <v>29918.16</v>
      </c>
    </row>
    <row r="1189" customFormat="false" ht="15" hidden="false" customHeight="false" outlineLevel="0" collapsed="false">
      <c r="A1189" s="3" t="s">
        <v>1579</v>
      </c>
      <c r="B1189" s="3" t="s">
        <v>282</v>
      </c>
      <c r="C1189" s="3" t="s">
        <v>380</v>
      </c>
      <c r="D1189" s="3" t="s">
        <v>392</v>
      </c>
      <c r="E1189" s="3" t="s">
        <v>382</v>
      </c>
      <c r="F1189" s="16" t="n">
        <v>12</v>
      </c>
      <c r="G1189" s="15" t="n">
        <v>0</v>
      </c>
      <c r="H1189" s="16" t="n">
        <v>11</v>
      </c>
      <c r="I1189" s="33" t="n">
        <v>29814.6</v>
      </c>
      <c r="J1189" s="33" t="n">
        <v>29814.6</v>
      </c>
    </row>
    <row r="1190" customFormat="false" ht="15" hidden="false" customHeight="false" outlineLevel="0" collapsed="false">
      <c r="A1190" s="3" t="s">
        <v>1580</v>
      </c>
      <c r="B1190" s="3" t="s">
        <v>283</v>
      </c>
      <c r="C1190" s="3" t="s">
        <v>403</v>
      </c>
      <c r="D1190" s="3" t="s">
        <v>692</v>
      </c>
      <c r="E1190" s="3" t="s">
        <v>398</v>
      </c>
      <c r="F1190" s="16" t="n">
        <v>1</v>
      </c>
      <c r="G1190" s="15" t="n">
        <v>0</v>
      </c>
      <c r="H1190" s="16" t="n">
        <v>1</v>
      </c>
      <c r="I1190" s="33" t="n">
        <v>29768.52</v>
      </c>
      <c r="J1190" s="33" t="n">
        <v>29768.52</v>
      </c>
    </row>
    <row r="1191" customFormat="false" ht="15" hidden="false" customHeight="false" outlineLevel="0" collapsed="false">
      <c r="A1191" s="3" t="s">
        <v>1581</v>
      </c>
      <c r="B1191" s="3" t="s">
        <v>282</v>
      </c>
      <c r="C1191" s="3" t="s">
        <v>387</v>
      </c>
      <c r="D1191" s="3" t="s">
        <v>692</v>
      </c>
      <c r="E1191" s="3" t="s">
        <v>398</v>
      </c>
      <c r="F1191" s="16" t="n">
        <v>12</v>
      </c>
      <c r="G1191" s="15" t="n">
        <v>0.1</v>
      </c>
      <c r="H1191" s="16" t="n">
        <v>6</v>
      </c>
      <c r="I1191" s="33" t="n">
        <v>29749.8</v>
      </c>
      <c r="J1191" s="33" t="n">
        <v>33055.32</v>
      </c>
    </row>
    <row r="1192" customFormat="false" ht="15" hidden="false" customHeight="false" outlineLevel="0" collapsed="false">
      <c r="A1192" s="3" t="s">
        <v>1582</v>
      </c>
      <c r="B1192" s="3" t="s">
        <v>282</v>
      </c>
      <c r="C1192" s="3" t="s">
        <v>401</v>
      </c>
      <c r="D1192" s="3" t="s">
        <v>418</v>
      </c>
      <c r="E1192" s="3" t="s">
        <v>385</v>
      </c>
      <c r="F1192" s="16" t="n">
        <v>24</v>
      </c>
      <c r="G1192" s="15" t="n">
        <v>0</v>
      </c>
      <c r="H1192" s="16" t="n">
        <v>24</v>
      </c>
      <c r="I1192" s="33" t="n">
        <v>29724.72</v>
      </c>
      <c r="J1192" s="33" t="n">
        <v>29724.72</v>
      </c>
    </row>
    <row r="1193" customFormat="false" ht="15" hidden="false" customHeight="false" outlineLevel="0" collapsed="false">
      <c r="A1193" s="3" t="s">
        <v>1583</v>
      </c>
      <c r="B1193" s="3" t="s">
        <v>282</v>
      </c>
      <c r="C1193" s="3" t="s">
        <v>380</v>
      </c>
      <c r="D1193" s="3" t="s">
        <v>388</v>
      </c>
      <c r="E1193" s="3" t="s">
        <v>385</v>
      </c>
      <c r="F1193" s="16" t="n">
        <v>24</v>
      </c>
      <c r="G1193" s="15" t="n">
        <v>0</v>
      </c>
      <c r="H1193" s="16" t="n">
        <v>4</v>
      </c>
      <c r="I1193" s="33" t="n">
        <v>29722.2</v>
      </c>
      <c r="J1193" s="33" t="n">
        <v>29722.2</v>
      </c>
    </row>
    <row r="1194" customFormat="false" ht="15" hidden="false" customHeight="false" outlineLevel="0" collapsed="false">
      <c r="A1194" s="3" t="s">
        <v>1584</v>
      </c>
      <c r="B1194" s="3" t="s">
        <v>282</v>
      </c>
      <c r="C1194" s="3" t="s">
        <v>405</v>
      </c>
      <c r="D1194" s="3" t="s">
        <v>392</v>
      </c>
      <c r="E1194" s="3" t="s">
        <v>398</v>
      </c>
      <c r="F1194" s="16" t="n">
        <v>12</v>
      </c>
      <c r="G1194" s="15" t="n">
        <v>0</v>
      </c>
      <c r="H1194" s="16" t="n">
        <v>4</v>
      </c>
      <c r="I1194" s="33" t="n">
        <v>29700.84</v>
      </c>
      <c r="J1194" s="33" t="n">
        <v>29700.84</v>
      </c>
    </row>
    <row r="1195" customFormat="false" ht="15" hidden="false" customHeight="false" outlineLevel="0" collapsed="false">
      <c r="A1195" s="3" t="s">
        <v>1585</v>
      </c>
      <c r="B1195" s="3" t="s">
        <v>282</v>
      </c>
      <c r="C1195" s="3" t="s">
        <v>396</v>
      </c>
      <c r="D1195" s="3" t="s">
        <v>381</v>
      </c>
      <c r="E1195" s="3" t="s">
        <v>382</v>
      </c>
      <c r="F1195" s="16" t="n">
        <v>12</v>
      </c>
      <c r="G1195" s="15" t="n">
        <v>0</v>
      </c>
      <c r="H1195" s="16" t="n">
        <v>10</v>
      </c>
      <c r="I1195" s="33" t="n">
        <v>29625.84</v>
      </c>
      <c r="J1195" s="33" t="n">
        <v>29625.84</v>
      </c>
    </row>
    <row r="1196" customFormat="false" ht="15" hidden="false" customHeight="false" outlineLevel="0" collapsed="false">
      <c r="A1196" s="3" t="s">
        <v>1586</v>
      </c>
      <c r="B1196" s="3" t="s">
        <v>282</v>
      </c>
      <c r="C1196" s="3" t="s">
        <v>380</v>
      </c>
      <c r="D1196" s="3" t="s">
        <v>381</v>
      </c>
      <c r="E1196" s="3" t="s">
        <v>398</v>
      </c>
      <c r="F1196" s="16" t="n">
        <v>12</v>
      </c>
      <c r="G1196" s="15" t="n">
        <v>0.1</v>
      </c>
      <c r="H1196" s="16" t="n">
        <v>4</v>
      </c>
      <c r="I1196" s="33" t="n">
        <v>29624.64</v>
      </c>
      <c r="J1196" s="33" t="n">
        <v>32916.36</v>
      </c>
    </row>
    <row r="1197" customFormat="false" ht="15" hidden="false" customHeight="false" outlineLevel="0" collapsed="false">
      <c r="A1197" s="3" t="s">
        <v>1587</v>
      </c>
      <c r="B1197" s="3" t="s">
        <v>282</v>
      </c>
      <c r="C1197" s="3" t="s">
        <v>403</v>
      </c>
      <c r="D1197" s="3" t="s">
        <v>381</v>
      </c>
      <c r="E1197" s="3" t="s">
        <v>382</v>
      </c>
      <c r="F1197" s="16" t="n">
        <v>12</v>
      </c>
      <c r="G1197" s="15" t="n">
        <v>0</v>
      </c>
      <c r="H1197" s="16" t="n">
        <v>8</v>
      </c>
      <c r="I1197" s="33" t="n">
        <v>29597.04</v>
      </c>
      <c r="J1197" s="33" t="n">
        <v>29597.04</v>
      </c>
    </row>
    <row r="1198" customFormat="false" ht="15" hidden="false" customHeight="false" outlineLevel="0" collapsed="false">
      <c r="A1198" s="3" t="s">
        <v>1588</v>
      </c>
      <c r="B1198" s="3" t="s">
        <v>282</v>
      </c>
      <c r="C1198" s="3" t="s">
        <v>384</v>
      </c>
      <c r="D1198" s="3" t="s">
        <v>381</v>
      </c>
      <c r="E1198" s="3" t="s">
        <v>398</v>
      </c>
      <c r="F1198" s="16" t="n">
        <v>12</v>
      </c>
      <c r="G1198" s="15" t="n">
        <v>0</v>
      </c>
      <c r="H1198" s="16" t="n">
        <v>7</v>
      </c>
      <c r="I1198" s="33" t="n">
        <v>29554.92</v>
      </c>
      <c r="J1198" s="33" t="n">
        <v>29554.92</v>
      </c>
    </row>
    <row r="1199" customFormat="false" ht="15" hidden="false" customHeight="false" outlineLevel="0" collapsed="false">
      <c r="A1199" s="3" t="s">
        <v>1589</v>
      </c>
      <c r="B1199" s="3" t="s">
        <v>282</v>
      </c>
      <c r="C1199" s="3" t="s">
        <v>405</v>
      </c>
      <c r="D1199" s="3" t="s">
        <v>418</v>
      </c>
      <c r="E1199" s="3" t="s">
        <v>385</v>
      </c>
      <c r="F1199" s="16" t="n">
        <v>24</v>
      </c>
      <c r="G1199" s="15" t="n">
        <v>0</v>
      </c>
      <c r="H1199" s="16" t="n">
        <v>4</v>
      </c>
      <c r="I1199" s="33" t="n">
        <v>29553.36</v>
      </c>
      <c r="J1199" s="33" t="n">
        <v>29553.36</v>
      </c>
    </row>
    <row r="1200" customFormat="false" ht="15" hidden="false" customHeight="false" outlineLevel="0" collapsed="false">
      <c r="A1200" s="3" t="s">
        <v>1590</v>
      </c>
      <c r="B1200" s="3" t="s">
        <v>282</v>
      </c>
      <c r="C1200" s="3" t="s">
        <v>387</v>
      </c>
      <c r="D1200" s="3" t="s">
        <v>381</v>
      </c>
      <c r="E1200" s="3" t="s">
        <v>398</v>
      </c>
      <c r="F1200" s="16" t="n">
        <v>12</v>
      </c>
      <c r="G1200" s="15" t="n">
        <v>0</v>
      </c>
      <c r="H1200" s="16" t="n">
        <v>11</v>
      </c>
      <c r="I1200" s="33" t="n">
        <v>29438.4</v>
      </c>
      <c r="J1200" s="33" t="n">
        <v>29438.4</v>
      </c>
    </row>
    <row r="1201" customFormat="false" ht="15" hidden="false" customHeight="false" outlineLevel="0" collapsed="false">
      <c r="A1201" s="3" t="s">
        <v>1591</v>
      </c>
      <c r="B1201" s="3" t="s">
        <v>283</v>
      </c>
      <c r="C1201" s="3" t="s">
        <v>384</v>
      </c>
      <c r="D1201" s="3" t="s">
        <v>418</v>
      </c>
      <c r="E1201" s="3" t="s">
        <v>382</v>
      </c>
      <c r="F1201" s="16" t="n">
        <v>12</v>
      </c>
      <c r="G1201" s="15" t="n">
        <v>0</v>
      </c>
      <c r="H1201" s="16" t="n">
        <v>5</v>
      </c>
      <c r="I1201" s="33" t="n">
        <v>29418.84</v>
      </c>
      <c r="J1201" s="33" t="n">
        <v>29418.84</v>
      </c>
    </row>
    <row r="1202" customFormat="false" ht="15" hidden="false" customHeight="false" outlineLevel="0" collapsed="false">
      <c r="A1202" s="3" t="s">
        <v>1592</v>
      </c>
      <c r="B1202" s="3" t="s">
        <v>282</v>
      </c>
      <c r="C1202" s="3" t="s">
        <v>403</v>
      </c>
      <c r="D1202" s="3" t="s">
        <v>418</v>
      </c>
      <c r="E1202" s="3" t="s">
        <v>382</v>
      </c>
      <c r="F1202" s="16" t="n">
        <v>12</v>
      </c>
      <c r="G1202" s="15" t="n">
        <v>0</v>
      </c>
      <c r="H1202" s="16" t="n">
        <v>3</v>
      </c>
      <c r="I1202" s="33" t="n">
        <v>29406.36</v>
      </c>
      <c r="J1202" s="33" t="n">
        <v>29406.36</v>
      </c>
    </row>
    <row r="1203" customFormat="false" ht="15" hidden="false" customHeight="false" outlineLevel="0" collapsed="false">
      <c r="A1203" s="3" t="s">
        <v>1593</v>
      </c>
      <c r="B1203" s="3" t="s">
        <v>282</v>
      </c>
      <c r="C1203" s="3" t="s">
        <v>380</v>
      </c>
      <c r="D1203" s="3" t="s">
        <v>381</v>
      </c>
      <c r="E1203" s="3" t="s">
        <v>398</v>
      </c>
      <c r="F1203" s="16" t="n">
        <v>24</v>
      </c>
      <c r="G1203" s="15" t="n">
        <v>0</v>
      </c>
      <c r="H1203" s="16" t="n">
        <v>13</v>
      </c>
      <c r="I1203" s="33" t="n">
        <v>29404.68</v>
      </c>
      <c r="J1203" s="33" t="n">
        <v>29404.68</v>
      </c>
    </row>
    <row r="1204" customFormat="false" ht="15" hidden="false" customHeight="false" outlineLevel="0" collapsed="false">
      <c r="A1204" s="3" t="s">
        <v>1594</v>
      </c>
      <c r="B1204" s="3" t="s">
        <v>282</v>
      </c>
      <c r="C1204" s="3" t="s">
        <v>405</v>
      </c>
      <c r="D1204" s="3" t="s">
        <v>388</v>
      </c>
      <c r="E1204" s="3" t="s">
        <v>385</v>
      </c>
      <c r="F1204" s="16" t="n">
        <v>12</v>
      </c>
      <c r="G1204" s="15" t="n">
        <v>0.15</v>
      </c>
      <c r="H1204" s="16" t="n">
        <v>6</v>
      </c>
      <c r="I1204" s="33" t="n">
        <v>29376.72</v>
      </c>
      <c r="J1204" s="33" t="n">
        <v>34560.84</v>
      </c>
    </row>
    <row r="1205" customFormat="false" ht="15" hidden="false" customHeight="false" outlineLevel="0" collapsed="false">
      <c r="A1205" s="3" t="s">
        <v>1595</v>
      </c>
      <c r="B1205" s="3" t="s">
        <v>282</v>
      </c>
      <c r="C1205" s="3" t="s">
        <v>387</v>
      </c>
      <c r="D1205" s="3" t="s">
        <v>392</v>
      </c>
      <c r="E1205" s="3" t="s">
        <v>398</v>
      </c>
      <c r="F1205" s="16" t="n">
        <v>12</v>
      </c>
      <c r="G1205" s="15" t="n">
        <v>0</v>
      </c>
      <c r="H1205" s="16" t="n">
        <v>12</v>
      </c>
      <c r="I1205" s="33" t="n">
        <v>29373.36</v>
      </c>
      <c r="J1205" s="33" t="n">
        <v>29373.36</v>
      </c>
    </row>
    <row r="1206" customFormat="false" ht="15" hidden="false" customHeight="false" outlineLevel="0" collapsed="false">
      <c r="A1206" s="3" t="s">
        <v>1596</v>
      </c>
      <c r="B1206" s="3" t="s">
        <v>282</v>
      </c>
      <c r="C1206" s="3" t="s">
        <v>396</v>
      </c>
      <c r="D1206" s="3" t="s">
        <v>392</v>
      </c>
      <c r="E1206" s="3" t="s">
        <v>398</v>
      </c>
      <c r="F1206" s="16" t="n">
        <v>12</v>
      </c>
      <c r="G1206" s="15" t="n">
        <v>0</v>
      </c>
      <c r="H1206" s="16" t="n">
        <v>2</v>
      </c>
      <c r="I1206" s="33" t="n">
        <v>29360.76</v>
      </c>
      <c r="J1206" s="33" t="n">
        <v>29360.76</v>
      </c>
    </row>
    <row r="1207" customFormat="false" ht="15" hidden="false" customHeight="false" outlineLevel="0" collapsed="false">
      <c r="A1207" s="3" t="s">
        <v>1597</v>
      </c>
      <c r="B1207" s="3" t="s">
        <v>282</v>
      </c>
      <c r="C1207" s="3" t="s">
        <v>401</v>
      </c>
      <c r="D1207" s="3" t="s">
        <v>392</v>
      </c>
      <c r="E1207" s="3" t="s">
        <v>385</v>
      </c>
      <c r="F1207" s="16" t="n">
        <v>12</v>
      </c>
      <c r="G1207" s="15" t="n">
        <v>0</v>
      </c>
      <c r="H1207" s="16" t="n">
        <v>5</v>
      </c>
      <c r="I1207" s="33" t="n">
        <v>29314.2</v>
      </c>
      <c r="J1207" s="33" t="n">
        <v>29314.2</v>
      </c>
    </row>
    <row r="1208" customFormat="false" ht="15" hidden="false" customHeight="false" outlineLevel="0" collapsed="false">
      <c r="A1208" s="3" t="s">
        <v>1598</v>
      </c>
      <c r="B1208" s="3" t="s">
        <v>282</v>
      </c>
      <c r="C1208" s="3" t="s">
        <v>384</v>
      </c>
      <c r="D1208" s="3" t="s">
        <v>388</v>
      </c>
      <c r="E1208" s="3" t="s">
        <v>398</v>
      </c>
      <c r="F1208" s="16" t="n">
        <v>12</v>
      </c>
      <c r="G1208" s="15" t="n">
        <v>0</v>
      </c>
      <c r="H1208" s="16" t="n">
        <v>11</v>
      </c>
      <c r="I1208" s="33" t="n">
        <v>29299.44</v>
      </c>
      <c r="J1208" s="33" t="n">
        <v>29299.44</v>
      </c>
    </row>
    <row r="1209" customFormat="false" ht="15" hidden="false" customHeight="false" outlineLevel="0" collapsed="false">
      <c r="A1209" s="3" t="s">
        <v>1599</v>
      </c>
      <c r="B1209" s="3" t="s">
        <v>282</v>
      </c>
      <c r="C1209" s="3" t="s">
        <v>403</v>
      </c>
      <c r="D1209" s="3" t="s">
        <v>392</v>
      </c>
      <c r="E1209" s="3" t="s">
        <v>398</v>
      </c>
      <c r="F1209" s="16" t="n">
        <v>12</v>
      </c>
      <c r="G1209" s="15" t="n">
        <v>0.25</v>
      </c>
      <c r="H1209" s="16" t="n">
        <v>10</v>
      </c>
      <c r="I1209" s="33" t="n">
        <v>29294.64</v>
      </c>
      <c r="J1209" s="33" t="n">
        <v>39059.52</v>
      </c>
    </row>
    <row r="1210" customFormat="false" ht="15" hidden="false" customHeight="false" outlineLevel="0" collapsed="false">
      <c r="A1210" s="3" t="s">
        <v>1600</v>
      </c>
      <c r="B1210" s="3" t="s">
        <v>282</v>
      </c>
      <c r="C1210" s="3" t="s">
        <v>403</v>
      </c>
      <c r="D1210" s="3" t="s">
        <v>388</v>
      </c>
      <c r="E1210" s="3" t="s">
        <v>398</v>
      </c>
      <c r="F1210" s="16" t="n">
        <v>24</v>
      </c>
      <c r="G1210" s="15" t="n">
        <v>0.1</v>
      </c>
      <c r="H1210" s="16" t="n">
        <v>10</v>
      </c>
      <c r="I1210" s="33" t="n">
        <v>29236.2</v>
      </c>
      <c r="J1210" s="33" t="n">
        <v>32484.72</v>
      </c>
    </row>
    <row r="1211" customFormat="false" ht="15" hidden="false" customHeight="false" outlineLevel="0" collapsed="false">
      <c r="A1211" s="3" t="s">
        <v>1601</v>
      </c>
      <c r="B1211" s="3" t="s">
        <v>282</v>
      </c>
      <c r="C1211" s="3" t="s">
        <v>403</v>
      </c>
      <c r="D1211" s="3" t="s">
        <v>392</v>
      </c>
      <c r="E1211" s="3" t="s">
        <v>398</v>
      </c>
      <c r="F1211" s="16" t="n">
        <v>24</v>
      </c>
      <c r="G1211" s="15" t="n">
        <v>0</v>
      </c>
      <c r="H1211" s="16" t="n">
        <v>21</v>
      </c>
      <c r="I1211" s="33" t="n">
        <v>29231.16</v>
      </c>
      <c r="J1211" s="33" t="n">
        <v>29231.16</v>
      </c>
    </row>
    <row r="1212" customFormat="false" ht="15" hidden="false" customHeight="false" outlineLevel="0" collapsed="false">
      <c r="A1212" s="3" t="s">
        <v>1602</v>
      </c>
      <c r="B1212" s="3" t="s">
        <v>282</v>
      </c>
      <c r="C1212" s="3" t="s">
        <v>401</v>
      </c>
      <c r="D1212" s="3" t="s">
        <v>418</v>
      </c>
      <c r="E1212" s="3" t="s">
        <v>398</v>
      </c>
      <c r="F1212" s="16" t="n">
        <v>24</v>
      </c>
      <c r="G1212" s="15" t="n">
        <v>0.05</v>
      </c>
      <c r="H1212" s="16" t="n">
        <v>4</v>
      </c>
      <c r="I1212" s="33" t="n">
        <v>29185.2</v>
      </c>
      <c r="J1212" s="33" t="n">
        <v>30721.32</v>
      </c>
    </row>
    <row r="1213" customFormat="false" ht="15" hidden="false" customHeight="false" outlineLevel="0" collapsed="false">
      <c r="A1213" s="3" t="s">
        <v>1603</v>
      </c>
      <c r="B1213" s="3" t="s">
        <v>282</v>
      </c>
      <c r="C1213" s="3" t="s">
        <v>396</v>
      </c>
      <c r="D1213" s="3" t="s">
        <v>388</v>
      </c>
      <c r="E1213" s="3" t="s">
        <v>398</v>
      </c>
      <c r="F1213" s="16" t="n">
        <v>12</v>
      </c>
      <c r="G1213" s="15" t="n">
        <v>0</v>
      </c>
      <c r="H1213" s="16" t="n">
        <v>6</v>
      </c>
      <c r="I1213" s="33" t="n">
        <v>29157.72</v>
      </c>
      <c r="J1213" s="33" t="n">
        <v>29157.72</v>
      </c>
    </row>
    <row r="1214" customFormat="false" ht="15" hidden="false" customHeight="false" outlineLevel="0" collapsed="false">
      <c r="A1214" s="3" t="s">
        <v>1604</v>
      </c>
      <c r="B1214" s="3" t="s">
        <v>282</v>
      </c>
      <c r="C1214" s="3" t="s">
        <v>396</v>
      </c>
      <c r="D1214" s="3" t="s">
        <v>418</v>
      </c>
      <c r="E1214" s="3" t="s">
        <v>382</v>
      </c>
      <c r="F1214" s="16" t="n">
        <v>24</v>
      </c>
      <c r="G1214" s="15" t="n">
        <v>0.15</v>
      </c>
      <c r="H1214" s="16" t="n">
        <v>15</v>
      </c>
      <c r="I1214" s="33" t="n">
        <v>29096.4</v>
      </c>
      <c r="J1214" s="33" t="n">
        <v>34231.08</v>
      </c>
    </row>
    <row r="1215" customFormat="false" ht="15" hidden="false" customHeight="false" outlineLevel="0" collapsed="false">
      <c r="A1215" s="3" t="s">
        <v>1605</v>
      </c>
      <c r="B1215" s="3" t="s">
        <v>283</v>
      </c>
      <c r="C1215" s="3" t="s">
        <v>405</v>
      </c>
      <c r="D1215" s="3" t="s">
        <v>392</v>
      </c>
      <c r="E1215" s="3" t="s">
        <v>385</v>
      </c>
      <c r="F1215" s="16" t="n">
        <v>12</v>
      </c>
      <c r="G1215" s="15" t="n">
        <v>0</v>
      </c>
      <c r="H1215" s="16" t="n">
        <v>9</v>
      </c>
      <c r="I1215" s="33" t="n">
        <v>29035.44</v>
      </c>
      <c r="J1215" s="33" t="n">
        <v>29035.44</v>
      </c>
    </row>
    <row r="1216" customFormat="false" ht="15" hidden="false" customHeight="false" outlineLevel="0" collapsed="false">
      <c r="A1216" s="3" t="s">
        <v>1606</v>
      </c>
      <c r="B1216" s="3" t="s">
        <v>283</v>
      </c>
      <c r="C1216" s="3" t="s">
        <v>403</v>
      </c>
      <c r="D1216" s="3" t="s">
        <v>418</v>
      </c>
      <c r="E1216" s="3" t="s">
        <v>398</v>
      </c>
      <c r="F1216" s="16" t="n">
        <v>12</v>
      </c>
      <c r="G1216" s="15" t="n">
        <v>0</v>
      </c>
      <c r="H1216" s="16" t="n">
        <v>3</v>
      </c>
      <c r="I1216" s="33" t="n">
        <v>29012.04</v>
      </c>
      <c r="J1216" s="33" t="n">
        <v>29012.04</v>
      </c>
    </row>
    <row r="1217" customFormat="false" ht="15" hidden="false" customHeight="false" outlineLevel="0" collapsed="false">
      <c r="A1217" s="3" t="s">
        <v>1607</v>
      </c>
      <c r="B1217" s="3" t="s">
        <v>282</v>
      </c>
      <c r="C1217" s="3" t="s">
        <v>403</v>
      </c>
      <c r="D1217" s="3" t="s">
        <v>392</v>
      </c>
      <c r="E1217" s="3" t="s">
        <v>385</v>
      </c>
      <c r="F1217" s="16" t="n">
        <v>12</v>
      </c>
      <c r="G1217" s="15" t="n">
        <v>0</v>
      </c>
      <c r="H1217" s="16" t="n">
        <v>3</v>
      </c>
      <c r="I1217" s="33" t="n">
        <v>28993.56</v>
      </c>
      <c r="J1217" s="33" t="n">
        <v>28993.56</v>
      </c>
    </row>
    <row r="1218" customFormat="false" ht="15" hidden="false" customHeight="false" outlineLevel="0" collapsed="false">
      <c r="A1218" s="3" t="s">
        <v>1608</v>
      </c>
      <c r="B1218" s="3" t="s">
        <v>283</v>
      </c>
      <c r="C1218" s="3" t="s">
        <v>401</v>
      </c>
      <c r="D1218" s="3" t="s">
        <v>392</v>
      </c>
      <c r="E1218" s="3" t="s">
        <v>398</v>
      </c>
      <c r="F1218" s="16" t="n">
        <v>1</v>
      </c>
      <c r="G1218" s="15" t="n">
        <v>0</v>
      </c>
      <c r="H1218" s="16" t="n">
        <v>1</v>
      </c>
      <c r="I1218" s="33" t="n">
        <v>28973.28</v>
      </c>
      <c r="J1218" s="33" t="n">
        <v>28973.28</v>
      </c>
    </row>
    <row r="1219" customFormat="false" ht="15" hidden="false" customHeight="false" outlineLevel="0" collapsed="false">
      <c r="A1219" s="3" t="s">
        <v>1609</v>
      </c>
      <c r="B1219" s="3" t="s">
        <v>282</v>
      </c>
      <c r="C1219" s="3" t="s">
        <v>387</v>
      </c>
      <c r="D1219" s="3" t="s">
        <v>692</v>
      </c>
      <c r="E1219" s="3" t="s">
        <v>398</v>
      </c>
      <c r="F1219" s="16" t="n">
        <v>12</v>
      </c>
      <c r="G1219" s="15" t="n">
        <v>0</v>
      </c>
      <c r="H1219" s="16" t="n">
        <v>3</v>
      </c>
      <c r="I1219" s="33" t="n">
        <v>28819.44</v>
      </c>
      <c r="J1219" s="33" t="n">
        <v>28819.44</v>
      </c>
    </row>
    <row r="1220" customFormat="false" ht="15" hidden="false" customHeight="false" outlineLevel="0" collapsed="false">
      <c r="A1220" s="3" t="s">
        <v>1610</v>
      </c>
      <c r="B1220" s="3" t="s">
        <v>282</v>
      </c>
      <c r="C1220" s="3" t="s">
        <v>403</v>
      </c>
      <c r="D1220" s="3" t="s">
        <v>381</v>
      </c>
      <c r="E1220" s="3" t="s">
        <v>385</v>
      </c>
      <c r="F1220" s="16" t="n">
        <v>24</v>
      </c>
      <c r="G1220" s="15" t="n">
        <v>0.35</v>
      </c>
      <c r="H1220" s="16" t="n">
        <v>6</v>
      </c>
      <c r="I1220" s="33" t="n">
        <v>28756.32</v>
      </c>
      <c r="J1220" s="33" t="n">
        <v>44240.52</v>
      </c>
    </row>
    <row r="1221" customFormat="false" ht="15" hidden="false" customHeight="false" outlineLevel="0" collapsed="false">
      <c r="A1221" s="3" t="s">
        <v>1611</v>
      </c>
      <c r="B1221" s="3" t="s">
        <v>282</v>
      </c>
      <c r="C1221" s="3" t="s">
        <v>387</v>
      </c>
      <c r="D1221" s="3" t="s">
        <v>418</v>
      </c>
      <c r="E1221" s="3" t="s">
        <v>398</v>
      </c>
      <c r="F1221" s="16" t="n">
        <v>12</v>
      </c>
      <c r="G1221" s="15" t="n">
        <v>0.15</v>
      </c>
      <c r="H1221" s="16" t="n">
        <v>7</v>
      </c>
      <c r="I1221" s="33" t="n">
        <v>28644</v>
      </c>
      <c r="J1221" s="33" t="n">
        <v>33698.76</v>
      </c>
    </row>
    <row r="1222" customFormat="false" ht="15" hidden="false" customHeight="false" outlineLevel="0" collapsed="false">
      <c r="A1222" s="3" t="s">
        <v>1612</v>
      </c>
      <c r="B1222" s="3" t="s">
        <v>282</v>
      </c>
      <c r="C1222" s="3" t="s">
        <v>380</v>
      </c>
      <c r="D1222" s="3" t="s">
        <v>418</v>
      </c>
      <c r="E1222" s="3" t="s">
        <v>398</v>
      </c>
      <c r="F1222" s="16" t="n">
        <v>12</v>
      </c>
      <c r="G1222" s="15" t="n">
        <v>0</v>
      </c>
      <c r="H1222" s="16" t="n">
        <v>10</v>
      </c>
      <c r="I1222" s="33" t="n">
        <v>28612.8</v>
      </c>
      <c r="J1222" s="33" t="n">
        <v>28612.8</v>
      </c>
    </row>
    <row r="1223" customFormat="false" ht="15" hidden="false" customHeight="false" outlineLevel="0" collapsed="false">
      <c r="A1223" s="3" t="s">
        <v>1613</v>
      </c>
      <c r="B1223" s="3" t="s">
        <v>282</v>
      </c>
      <c r="C1223" s="3" t="s">
        <v>403</v>
      </c>
      <c r="D1223" s="3" t="s">
        <v>388</v>
      </c>
      <c r="E1223" s="3" t="s">
        <v>398</v>
      </c>
      <c r="F1223" s="16" t="n">
        <v>12</v>
      </c>
      <c r="G1223" s="15" t="n">
        <v>0</v>
      </c>
      <c r="H1223" s="16" t="n">
        <v>5</v>
      </c>
      <c r="I1223" s="33" t="n">
        <v>28610.64</v>
      </c>
      <c r="J1223" s="33" t="n">
        <v>28610.64</v>
      </c>
    </row>
    <row r="1224" customFormat="false" ht="15" hidden="false" customHeight="false" outlineLevel="0" collapsed="false">
      <c r="A1224" s="3" t="s">
        <v>1614</v>
      </c>
      <c r="B1224" s="3" t="s">
        <v>282</v>
      </c>
      <c r="C1224" s="3" t="s">
        <v>387</v>
      </c>
      <c r="D1224" s="3" t="s">
        <v>392</v>
      </c>
      <c r="E1224" s="3" t="s">
        <v>398</v>
      </c>
      <c r="F1224" s="16" t="n">
        <v>12</v>
      </c>
      <c r="G1224" s="15" t="n">
        <v>0</v>
      </c>
      <c r="H1224" s="16" t="n">
        <v>6</v>
      </c>
      <c r="I1224" s="33" t="n">
        <v>28596.72</v>
      </c>
      <c r="J1224" s="33" t="n">
        <v>28596.72</v>
      </c>
    </row>
    <row r="1225" customFormat="false" ht="15" hidden="false" customHeight="false" outlineLevel="0" collapsed="false">
      <c r="A1225" s="3" t="s">
        <v>1615</v>
      </c>
      <c r="B1225" s="3" t="s">
        <v>282</v>
      </c>
      <c r="C1225" s="3" t="s">
        <v>401</v>
      </c>
      <c r="D1225" s="3" t="s">
        <v>388</v>
      </c>
      <c r="E1225" s="3" t="s">
        <v>385</v>
      </c>
      <c r="F1225" s="16" t="n">
        <v>12</v>
      </c>
      <c r="G1225" s="15" t="n">
        <v>0.1</v>
      </c>
      <c r="H1225" s="16" t="n">
        <v>10</v>
      </c>
      <c r="I1225" s="33" t="n">
        <v>28596.36</v>
      </c>
      <c r="J1225" s="33" t="n">
        <v>31773.72</v>
      </c>
    </row>
    <row r="1226" customFormat="false" ht="15" hidden="false" customHeight="false" outlineLevel="0" collapsed="false">
      <c r="A1226" s="3" t="s">
        <v>1616</v>
      </c>
      <c r="B1226" s="3" t="s">
        <v>283</v>
      </c>
      <c r="C1226" s="3" t="s">
        <v>401</v>
      </c>
      <c r="D1226" s="3" t="s">
        <v>692</v>
      </c>
      <c r="E1226" s="3" t="s">
        <v>398</v>
      </c>
      <c r="F1226" s="16" t="n">
        <v>1</v>
      </c>
      <c r="G1226" s="15" t="n">
        <v>0</v>
      </c>
      <c r="H1226" s="16" t="n">
        <v>1</v>
      </c>
      <c r="I1226" s="33" t="n">
        <v>28565.04</v>
      </c>
      <c r="J1226" s="33" t="n">
        <v>28565.04</v>
      </c>
    </row>
    <row r="1227" customFormat="false" ht="15" hidden="false" customHeight="false" outlineLevel="0" collapsed="false">
      <c r="A1227" s="3" t="s">
        <v>1617</v>
      </c>
      <c r="B1227" s="3" t="s">
        <v>282</v>
      </c>
      <c r="C1227" s="3" t="s">
        <v>403</v>
      </c>
      <c r="D1227" s="3" t="s">
        <v>418</v>
      </c>
      <c r="E1227" s="3" t="s">
        <v>385</v>
      </c>
      <c r="F1227" s="16" t="n">
        <v>12</v>
      </c>
      <c r="G1227" s="15" t="n">
        <v>0</v>
      </c>
      <c r="H1227" s="16" t="n">
        <v>10</v>
      </c>
      <c r="I1227" s="33" t="n">
        <v>28462.44</v>
      </c>
      <c r="J1227" s="33" t="n">
        <v>28462.44</v>
      </c>
    </row>
    <row r="1228" customFormat="false" ht="15" hidden="false" customHeight="false" outlineLevel="0" collapsed="false">
      <c r="A1228" s="3" t="s">
        <v>1618</v>
      </c>
      <c r="B1228" s="3" t="s">
        <v>282</v>
      </c>
      <c r="C1228" s="3" t="s">
        <v>401</v>
      </c>
      <c r="D1228" s="3" t="s">
        <v>388</v>
      </c>
      <c r="E1228" s="3" t="s">
        <v>398</v>
      </c>
      <c r="F1228" s="16" t="n">
        <v>12</v>
      </c>
      <c r="G1228" s="15" t="n">
        <v>0</v>
      </c>
      <c r="H1228" s="16" t="n">
        <v>1</v>
      </c>
      <c r="I1228" s="33" t="n">
        <v>28456.08</v>
      </c>
      <c r="J1228" s="33" t="n">
        <v>28456.08</v>
      </c>
    </row>
    <row r="1229" customFormat="false" ht="15" hidden="false" customHeight="false" outlineLevel="0" collapsed="false">
      <c r="A1229" s="3" t="s">
        <v>1619</v>
      </c>
      <c r="B1229" s="3" t="s">
        <v>282</v>
      </c>
      <c r="C1229" s="3" t="s">
        <v>401</v>
      </c>
      <c r="D1229" s="3" t="s">
        <v>381</v>
      </c>
      <c r="E1229" s="3" t="s">
        <v>382</v>
      </c>
      <c r="F1229" s="16" t="n">
        <v>24</v>
      </c>
      <c r="G1229" s="15" t="n">
        <v>0.15</v>
      </c>
      <c r="H1229" s="16" t="n">
        <v>19</v>
      </c>
      <c r="I1229" s="33" t="n">
        <v>28454.76</v>
      </c>
      <c r="J1229" s="33" t="n">
        <v>33476.28</v>
      </c>
    </row>
    <row r="1230" customFormat="false" ht="15" hidden="false" customHeight="false" outlineLevel="0" collapsed="false">
      <c r="A1230" s="3" t="s">
        <v>1620</v>
      </c>
      <c r="B1230" s="3" t="s">
        <v>282</v>
      </c>
      <c r="C1230" s="3" t="s">
        <v>380</v>
      </c>
      <c r="D1230" s="3" t="s">
        <v>381</v>
      </c>
      <c r="E1230" s="3" t="s">
        <v>398</v>
      </c>
      <c r="F1230" s="16" t="n">
        <v>12</v>
      </c>
      <c r="G1230" s="15" t="n">
        <v>0.2</v>
      </c>
      <c r="H1230" s="16" t="n">
        <v>9</v>
      </c>
      <c r="I1230" s="33" t="n">
        <v>28446</v>
      </c>
      <c r="J1230" s="33" t="n">
        <v>35557.44</v>
      </c>
    </row>
    <row r="1231" customFormat="false" ht="15" hidden="false" customHeight="false" outlineLevel="0" collapsed="false">
      <c r="A1231" s="3" t="s">
        <v>1621</v>
      </c>
      <c r="B1231" s="3" t="s">
        <v>282</v>
      </c>
      <c r="C1231" s="3" t="s">
        <v>380</v>
      </c>
      <c r="D1231" s="3" t="s">
        <v>388</v>
      </c>
      <c r="E1231" s="3" t="s">
        <v>385</v>
      </c>
      <c r="F1231" s="16" t="n">
        <v>12</v>
      </c>
      <c r="G1231" s="15" t="n">
        <v>0</v>
      </c>
      <c r="H1231" s="16" t="n">
        <v>9</v>
      </c>
      <c r="I1231" s="33" t="n">
        <v>28329.12</v>
      </c>
      <c r="J1231" s="33" t="n">
        <v>28329.12</v>
      </c>
    </row>
    <row r="1232" customFormat="false" ht="15" hidden="false" customHeight="false" outlineLevel="0" collapsed="false">
      <c r="A1232" s="3" t="s">
        <v>1622</v>
      </c>
      <c r="B1232" s="3" t="s">
        <v>282</v>
      </c>
      <c r="C1232" s="3" t="s">
        <v>401</v>
      </c>
      <c r="D1232" s="3" t="s">
        <v>392</v>
      </c>
      <c r="E1232" s="3" t="s">
        <v>398</v>
      </c>
      <c r="F1232" s="16" t="n">
        <v>24</v>
      </c>
      <c r="G1232" s="15" t="n">
        <v>0</v>
      </c>
      <c r="H1232" s="16" t="n">
        <v>15</v>
      </c>
      <c r="I1232" s="33" t="n">
        <v>28328.52</v>
      </c>
      <c r="J1232" s="33" t="n">
        <v>28328.52</v>
      </c>
    </row>
    <row r="1233" customFormat="false" ht="15" hidden="false" customHeight="false" outlineLevel="0" collapsed="false">
      <c r="A1233" s="3" t="s">
        <v>1623</v>
      </c>
      <c r="B1233" s="3" t="s">
        <v>282</v>
      </c>
      <c r="C1233" s="3" t="s">
        <v>384</v>
      </c>
      <c r="D1233" s="3" t="s">
        <v>381</v>
      </c>
      <c r="E1233" s="3" t="s">
        <v>382</v>
      </c>
      <c r="F1233" s="16" t="n">
        <v>12</v>
      </c>
      <c r="G1233" s="15" t="n">
        <v>0</v>
      </c>
      <c r="H1233" s="16" t="n">
        <v>8</v>
      </c>
      <c r="I1233" s="33" t="n">
        <v>28283.76</v>
      </c>
      <c r="J1233" s="33" t="n">
        <v>28283.76</v>
      </c>
    </row>
    <row r="1234" customFormat="false" ht="15" hidden="false" customHeight="false" outlineLevel="0" collapsed="false">
      <c r="A1234" s="3" t="s">
        <v>1624</v>
      </c>
      <c r="B1234" s="3" t="s">
        <v>282</v>
      </c>
      <c r="C1234" s="3" t="s">
        <v>401</v>
      </c>
      <c r="D1234" s="3" t="s">
        <v>381</v>
      </c>
      <c r="E1234" s="3" t="s">
        <v>398</v>
      </c>
      <c r="F1234" s="16" t="n">
        <v>12</v>
      </c>
      <c r="G1234" s="15" t="n">
        <v>0</v>
      </c>
      <c r="H1234" s="16" t="n">
        <v>7</v>
      </c>
      <c r="I1234" s="33" t="n">
        <v>28239.24</v>
      </c>
      <c r="J1234" s="33" t="n">
        <v>28239.24</v>
      </c>
    </row>
    <row r="1235" customFormat="false" ht="15" hidden="false" customHeight="false" outlineLevel="0" collapsed="false">
      <c r="A1235" s="3" t="s">
        <v>1625</v>
      </c>
      <c r="B1235" s="3" t="s">
        <v>282</v>
      </c>
      <c r="C1235" s="3" t="s">
        <v>380</v>
      </c>
      <c r="D1235" s="3" t="s">
        <v>392</v>
      </c>
      <c r="E1235" s="3" t="s">
        <v>385</v>
      </c>
      <c r="F1235" s="16" t="n">
        <v>12</v>
      </c>
      <c r="G1235" s="15" t="n">
        <v>0</v>
      </c>
      <c r="H1235" s="16" t="n">
        <v>11</v>
      </c>
      <c r="I1235" s="33" t="n">
        <v>28186.68</v>
      </c>
      <c r="J1235" s="33" t="n">
        <v>28186.68</v>
      </c>
    </row>
    <row r="1236" customFormat="false" ht="15" hidden="false" customHeight="false" outlineLevel="0" collapsed="false">
      <c r="A1236" s="3" t="s">
        <v>1626</v>
      </c>
      <c r="B1236" s="3" t="s">
        <v>282</v>
      </c>
      <c r="C1236" s="3" t="s">
        <v>405</v>
      </c>
      <c r="D1236" s="3" t="s">
        <v>392</v>
      </c>
      <c r="E1236" s="3" t="s">
        <v>385</v>
      </c>
      <c r="F1236" s="16" t="n">
        <v>12</v>
      </c>
      <c r="G1236" s="15" t="n">
        <v>0</v>
      </c>
      <c r="H1236" s="16" t="n">
        <v>10</v>
      </c>
      <c r="I1236" s="33" t="n">
        <v>28163.52</v>
      </c>
      <c r="J1236" s="33" t="n">
        <v>28163.52</v>
      </c>
    </row>
    <row r="1237" customFormat="false" ht="15" hidden="false" customHeight="false" outlineLevel="0" collapsed="false">
      <c r="A1237" s="3" t="s">
        <v>1627</v>
      </c>
      <c r="B1237" s="3" t="s">
        <v>282</v>
      </c>
      <c r="C1237" s="3" t="s">
        <v>380</v>
      </c>
      <c r="D1237" s="3" t="s">
        <v>381</v>
      </c>
      <c r="E1237" s="3" t="s">
        <v>398</v>
      </c>
      <c r="F1237" s="16" t="n">
        <v>12</v>
      </c>
      <c r="G1237" s="15" t="n">
        <v>0.25</v>
      </c>
      <c r="H1237" s="16" t="n">
        <v>2</v>
      </c>
      <c r="I1237" s="33" t="n">
        <v>28157.04</v>
      </c>
      <c r="J1237" s="33" t="n">
        <v>37542.72</v>
      </c>
    </row>
    <row r="1238" customFormat="false" ht="15" hidden="false" customHeight="false" outlineLevel="0" collapsed="false">
      <c r="A1238" s="3" t="s">
        <v>1628</v>
      </c>
      <c r="B1238" s="3" t="s">
        <v>282</v>
      </c>
      <c r="C1238" s="3" t="s">
        <v>401</v>
      </c>
      <c r="D1238" s="3" t="s">
        <v>392</v>
      </c>
      <c r="E1238" s="3" t="s">
        <v>382</v>
      </c>
      <c r="F1238" s="16" t="n">
        <v>24</v>
      </c>
      <c r="G1238" s="15" t="n">
        <v>0.3</v>
      </c>
      <c r="H1238" s="16" t="n">
        <v>13</v>
      </c>
      <c r="I1238" s="33" t="n">
        <v>28150.32</v>
      </c>
      <c r="J1238" s="33" t="n">
        <v>40214.64</v>
      </c>
    </row>
    <row r="1239" customFormat="false" ht="15" hidden="false" customHeight="false" outlineLevel="0" collapsed="false">
      <c r="A1239" s="3" t="s">
        <v>1629</v>
      </c>
      <c r="B1239" s="3" t="s">
        <v>282</v>
      </c>
      <c r="C1239" s="3" t="s">
        <v>403</v>
      </c>
      <c r="D1239" s="3" t="s">
        <v>392</v>
      </c>
      <c r="E1239" s="3" t="s">
        <v>398</v>
      </c>
      <c r="F1239" s="16" t="n">
        <v>24</v>
      </c>
      <c r="G1239" s="15" t="n">
        <v>0</v>
      </c>
      <c r="H1239" s="16" t="n">
        <v>19</v>
      </c>
      <c r="I1239" s="33" t="n">
        <v>28088.16</v>
      </c>
      <c r="J1239" s="33" t="n">
        <v>28088.16</v>
      </c>
    </row>
    <row r="1240" customFormat="false" ht="15" hidden="false" customHeight="false" outlineLevel="0" collapsed="false">
      <c r="A1240" s="3" t="s">
        <v>1630</v>
      </c>
      <c r="B1240" s="3" t="s">
        <v>283</v>
      </c>
      <c r="C1240" s="3" t="s">
        <v>403</v>
      </c>
      <c r="D1240" s="3" t="s">
        <v>692</v>
      </c>
      <c r="E1240" s="3" t="s">
        <v>382</v>
      </c>
      <c r="F1240" s="16" t="n">
        <v>1</v>
      </c>
      <c r="G1240" s="15" t="n">
        <v>0.1</v>
      </c>
      <c r="H1240" s="16" t="n">
        <v>1</v>
      </c>
      <c r="I1240" s="33" t="n">
        <v>28016.4</v>
      </c>
      <c r="J1240" s="33" t="n">
        <v>31129.32</v>
      </c>
    </row>
    <row r="1241" customFormat="false" ht="15" hidden="false" customHeight="false" outlineLevel="0" collapsed="false">
      <c r="A1241" s="3" t="s">
        <v>1631</v>
      </c>
      <c r="B1241" s="3" t="s">
        <v>282</v>
      </c>
      <c r="C1241" s="3" t="s">
        <v>403</v>
      </c>
      <c r="D1241" s="3" t="s">
        <v>692</v>
      </c>
      <c r="E1241" s="3" t="s">
        <v>398</v>
      </c>
      <c r="F1241" s="16" t="n">
        <v>24</v>
      </c>
      <c r="G1241" s="15" t="n">
        <v>0</v>
      </c>
      <c r="H1241" s="16" t="n">
        <v>7</v>
      </c>
      <c r="I1241" s="33" t="n">
        <v>27971.64</v>
      </c>
      <c r="J1241" s="33" t="n">
        <v>27971.64</v>
      </c>
    </row>
    <row r="1242" customFormat="false" ht="15" hidden="false" customHeight="false" outlineLevel="0" collapsed="false">
      <c r="A1242" s="3" t="s">
        <v>1632</v>
      </c>
      <c r="B1242" s="3" t="s">
        <v>282</v>
      </c>
      <c r="C1242" s="3" t="s">
        <v>387</v>
      </c>
      <c r="D1242" s="3" t="s">
        <v>381</v>
      </c>
      <c r="E1242" s="3" t="s">
        <v>398</v>
      </c>
      <c r="F1242" s="16" t="n">
        <v>24</v>
      </c>
      <c r="G1242" s="15" t="n">
        <v>0.2</v>
      </c>
      <c r="H1242" s="16" t="n">
        <v>20</v>
      </c>
      <c r="I1242" s="33" t="n">
        <v>27938.04</v>
      </c>
      <c r="J1242" s="33" t="n">
        <v>34922.52</v>
      </c>
    </row>
    <row r="1243" customFormat="false" ht="15" hidden="false" customHeight="false" outlineLevel="0" collapsed="false">
      <c r="A1243" s="3" t="s">
        <v>1633</v>
      </c>
      <c r="B1243" s="3" t="s">
        <v>282</v>
      </c>
      <c r="C1243" s="3" t="s">
        <v>401</v>
      </c>
      <c r="D1243" s="3" t="s">
        <v>418</v>
      </c>
      <c r="E1243" s="3" t="s">
        <v>398</v>
      </c>
      <c r="F1243" s="16" t="n">
        <v>12</v>
      </c>
      <c r="G1243" s="15" t="n">
        <v>0</v>
      </c>
      <c r="H1243" s="16" t="n">
        <v>12</v>
      </c>
      <c r="I1243" s="33" t="n">
        <v>27929.4</v>
      </c>
      <c r="J1243" s="33" t="n">
        <v>27929.4</v>
      </c>
    </row>
    <row r="1244" customFormat="false" ht="15" hidden="false" customHeight="false" outlineLevel="0" collapsed="false">
      <c r="A1244" s="3" t="s">
        <v>1634</v>
      </c>
      <c r="B1244" s="3" t="s">
        <v>282</v>
      </c>
      <c r="C1244" s="3" t="s">
        <v>396</v>
      </c>
      <c r="D1244" s="3" t="s">
        <v>388</v>
      </c>
      <c r="E1244" s="3" t="s">
        <v>385</v>
      </c>
      <c r="F1244" s="16" t="n">
        <v>24</v>
      </c>
      <c r="G1244" s="15" t="n">
        <v>0</v>
      </c>
      <c r="H1244" s="16" t="n">
        <v>17</v>
      </c>
      <c r="I1244" s="33" t="n">
        <v>27924.96</v>
      </c>
      <c r="J1244" s="33" t="n">
        <v>27924.96</v>
      </c>
    </row>
    <row r="1245" customFormat="false" ht="15" hidden="false" customHeight="false" outlineLevel="0" collapsed="false">
      <c r="A1245" s="3" t="s">
        <v>1635</v>
      </c>
      <c r="B1245" s="3" t="s">
        <v>283</v>
      </c>
      <c r="C1245" s="3" t="s">
        <v>401</v>
      </c>
      <c r="D1245" s="3" t="s">
        <v>692</v>
      </c>
      <c r="E1245" s="3" t="s">
        <v>385</v>
      </c>
      <c r="F1245" s="16" t="n">
        <v>1</v>
      </c>
      <c r="G1245" s="15" t="n">
        <v>0</v>
      </c>
      <c r="H1245" s="16" t="n">
        <v>1</v>
      </c>
      <c r="I1245" s="33" t="n">
        <v>27747.96</v>
      </c>
      <c r="J1245" s="33" t="n">
        <v>27747.96</v>
      </c>
    </row>
    <row r="1246" customFormat="false" ht="15" hidden="false" customHeight="false" outlineLevel="0" collapsed="false">
      <c r="A1246" s="3" t="s">
        <v>1636</v>
      </c>
      <c r="B1246" s="3" t="s">
        <v>282</v>
      </c>
      <c r="C1246" s="3" t="s">
        <v>401</v>
      </c>
      <c r="D1246" s="3" t="s">
        <v>392</v>
      </c>
      <c r="E1246" s="3" t="s">
        <v>398</v>
      </c>
      <c r="F1246" s="16" t="n">
        <v>12</v>
      </c>
      <c r="G1246" s="15" t="n">
        <v>0</v>
      </c>
      <c r="H1246" s="16" t="n">
        <v>5</v>
      </c>
      <c r="I1246" s="33" t="n">
        <v>27738.96</v>
      </c>
      <c r="J1246" s="33" t="n">
        <v>27738.96</v>
      </c>
    </row>
    <row r="1247" customFormat="false" ht="15" hidden="false" customHeight="false" outlineLevel="0" collapsed="false">
      <c r="A1247" s="3" t="s">
        <v>1637</v>
      </c>
      <c r="B1247" s="3" t="s">
        <v>282</v>
      </c>
      <c r="C1247" s="3" t="s">
        <v>396</v>
      </c>
      <c r="D1247" s="3" t="s">
        <v>392</v>
      </c>
      <c r="E1247" s="3" t="s">
        <v>385</v>
      </c>
      <c r="F1247" s="16" t="n">
        <v>24</v>
      </c>
      <c r="G1247" s="15" t="n">
        <v>0.15</v>
      </c>
      <c r="H1247" s="16" t="n">
        <v>12</v>
      </c>
      <c r="I1247" s="33" t="n">
        <v>27706.44</v>
      </c>
      <c r="J1247" s="33" t="n">
        <v>32595.72</v>
      </c>
    </row>
    <row r="1248" customFormat="false" ht="15" hidden="false" customHeight="false" outlineLevel="0" collapsed="false">
      <c r="A1248" s="3" t="s">
        <v>1638</v>
      </c>
      <c r="B1248" s="3" t="s">
        <v>282</v>
      </c>
      <c r="C1248" s="3" t="s">
        <v>403</v>
      </c>
      <c r="D1248" s="3" t="s">
        <v>381</v>
      </c>
      <c r="E1248" s="3" t="s">
        <v>398</v>
      </c>
      <c r="F1248" s="16" t="n">
        <v>24</v>
      </c>
      <c r="G1248" s="15" t="n">
        <v>0.25</v>
      </c>
      <c r="H1248" s="16" t="n">
        <v>22</v>
      </c>
      <c r="I1248" s="33" t="n">
        <v>27684.96</v>
      </c>
      <c r="J1248" s="33" t="n">
        <v>36913.32</v>
      </c>
    </row>
    <row r="1249" customFormat="false" ht="15" hidden="false" customHeight="false" outlineLevel="0" collapsed="false">
      <c r="A1249" s="3" t="s">
        <v>1639</v>
      </c>
      <c r="B1249" s="3" t="s">
        <v>282</v>
      </c>
      <c r="C1249" s="3" t="s">
        <v>405</v>
      </c>
      <c r="D1249" s="3" t="s">
        <v>381</v>
      </c>
      <c r="E1249" s="3" t="s">
        <v>382</v>
      </c>
      <c r="F1249" s="16" t="n">
        <v>12</v>
      </c>
      <c r="G1249" s="15" t="n">
        <v>0.2</v>
      </c>
      <c r="H1249" s="16" t="n">
        <v>6</v>
      </c>
      <c r="I1249" s="33" t="n">
        <v>27676.92</v>
      </c>
      <c r="J1249" s="33" t="n">
        <v>34596.12</v>
      </c>
    </row>
    <row r="1250" customFormat="false" ht="15" hidden="false" customHeight="false" outlineLevel="0" collapsed="false">
      <c r="A1250" s="3" t="s">
        <v>1640</v>
      </c>
      <c r="B1250" s="3" t="s">
        <v>282</v>
      </c>
      <c r="C1250" s="3" t="s">
        <v>396</v>
      </c>
      <c r="D1250" s="3" t="s">
        <v>692</v>
      </c>
      <c r="E1250" s="3" t="s">
        <v>398</v>
      </c>
      <c r="F1250" s="16" t="n">
        <v>24</v>
      </c>
      <c r="G1250" s="15" t="n">
        <v>0</v>
      </c>
      <c r="H1250" s="16" t="n">
        <v>18</v>
      </c>
      <c r="I1250" s="33" t="n">
        <v>27647.04</v>
      </c>
      <c r="J1250" s="33" t="n">
        <v>27647.04</v>
      </c>
    </row>
    <row r="1251" customFormat="false" ht="15" hidden="false" customHeight="false" outlineLevel="0" collapsed="false">
      <c r="A1251" s="3" t="s">
        <v>1641</v>
      </c>
      <c r="B1251" s="3" t="s">
        <v>282</v>
      </c>
      <c r="C1251" s="3" t="s">
        <v>403</v>
      </c>
      <c r="D1251" s="3" t="s">
        <v>381</v>
      </c>
      <c r="E1251" s="3" t="s">
        <v>385</v>
      </c>
      <c r="F1251" s="16" t="n">
        <v>24</v>
      </c>
      <c r="G1251" s="15" t="n">
        <v>0</v>
      </c>
      <c r="H1251" s="16" t="n">
        <v>2</v>
      </c>
      <c r="I1251" s="33" t="n">
        <v>27626.16</v>
      </c>
      <c r="J1251" s="33" t="n">
        <v>27626.16</v>
      </c>
    </row>
    <row r="1252" customFormat="false" ht="15" hidden="false" customHeight="false" outlineLevel="0" collapsed="false">
      <c r="A1252" s="3" t="s">
        <v>1642</v>
      </c>
      <c r="B1252" s="3" t="s">
        <v>282</v>
      </c>
      <c r="C1252" s="3" t="s">
        <v>401</v>
      </c>
      <c r="D1252" s="3" t="s">
        <v>392</v>
      </c>
      <c r="E1252" s="3" t="s">
        <v>398</v>
      </c>
      <c r="F1252" s="16" t="n">
        <v>24</v>
      </c>
      <c r="G1252" s="15" t="n">
        <v>0</v>
      </c>
      <c r="H1252" s="16" t="n">
        <v>5</v>
      </c>
      <c r="I1252" s="33" t="n">
        <v>27622.08</v>
      </c>
      <c r="J1252" s="33" t="n">
        <v>27622.08</v>
      </c>
    </row>
    <row r="1253" customFormat="false" ht="15" hidden="false" customHeight="false" outlineLevel="0" collapsed="false">
      <c r="A1253" s="3" t="s">
        <v>1643</v>
      </c>
      <c r="B1253" s="3" t="s">
        <v>282</v>
      </c>
      <c r="C1253" s="3" t="s">
        <v>396</v>
      </c>
      <c r="D1253" s="3" t="s">
        <v>381</v>
      </c>
      <c r="E1253" s="3" t="s">
        <v>385</v>
      </c>
      <c r="F1253" s="16" t="n">
        <v>24</v>
      </c>
      <c r="G1253" s="15" t="n">
        <v>0</v>
      </c>
      <c r="H1253" s="16" t="n">
        <v>8</v>
      </c>
      <c r="I1253" s="33" t="n">
        <v>27604.08</v>
      </c>
      <c r="J1253" s="33" t="n">
        <v>27604.08</v>
      </c>
    </row>
    <row r="1254" customFormat="false" ht="15" hidden="false" customHeight="false" outlineLevel="0" collapsed="false">
      <c r="A1254" s="3" t="s">
        <v>1644</v>
      </c>
      <c r="B1254" s="3" t="s">
        <v>282</v>
      </c>
      <c r="C1254" s="3" t="s">
        <v>384</v>
      </c>
      <c r="D1254" s="3" t="s">
        <v>381</v>
      </c>
      <c r="E1254" s="3" t="s">
        <v>398</v>
      </c>
      <c r="F1254" s="16" t="n">
        <v>24</v>
      </c>
      <c r="G1254" s="15" t="n">
        <v>0</v>
      </c>
      <c r="H1254" s="16" t="n">
        <v>13</v>
      </c>
      <c r="I1254" s="33" t="n">
        <v>27555.36</v>
      </c>
      <c r="J1254" s="33" t="n">
        <v>27555.36</v>
      </c>
    </row>
    <row r="1255" customFormat="false" ht="15" hidden="false" customHeight="false" outlineLevel="0" collapsed="false">
      <c r="A1255" s="3" t="s">
        <v>1645</v>
      </c>
      <c r="B1255" s="3" t="s">
        <v>283</v>
      </c>
      <c r="C1255" s="3" t="s">
        <v>405</v>
      </c>
      <c r="D1255" s="3" t="s">
        <v>692</v>
      </c>
      <c r="E1255" s="3" t="s">
        <v>398</v>
      </c>
      <c r="F1255" s="16" t="n">
        <v>1</v>
      </c>
      <c r="G1255" s="15" t="n">
        <v>0</v>
      </c>
      <c r="H1255" s="16" t="n">
        <v>1</v>
      </c>
      <c r="I1255" s="33" t="n">
        <v>27535.32</v>
      </c>
      <c r="J1255" s="33" t="n">
        <v>27535.32</v>
      </c>
    </row>
    <row r="1256" customFormat="false" ht="15" hidden="false" customHeight="false" outlineLevel="0" collapsed="false">
      <c r="A1256" s="3" t="s">
        <v>1646</v>
      </c>
      <c r="B1256" s="3" t="s">
        <v>283</v>
      </c>
      <c r="C1256" s="3" t="s">
        <v>396</v>
      </c>
      <c r="D1256" s="3" t="s">
        <v>392</v>
      </c>
      <c r="E1256" s="3" t="s">
        <v>398</v>
      </c>
      <c r="F1256" s="16" t="n">
        <v>1</v>
      </c>
      <c r="G1256" s="15" t="n">
        <v>0</v>
      </c>
      <c r="H1256" s="16" t="n">
        <v>1</v>
      </c>
      <c r="I1256" s="33" t="n">
        <v>27526.32</v>
      </c>
      <c r="J1256" s="33" t="n">
        <v>27526.32</v>
      </c>
    </row>
    <row r="1257" customFormat="false" ht="15" hidden="false" customHeight="false" outlineLevel="0" collapsed="false">
      <c r="A1257" s="3" t="s">
        <v>1647</v>
      </c>
      <c r="B1257" s="3" t="s">
        <v>283</v>
      </c>
      <c r="C1257" s="3" t="s">
        <v>387</v>
      </c>
      <c r="D1257" s="3" t="s">
        <v>692</v>
      </c>
      <c r="E1257" s="3" t="s">
        <v>382</v>
      </c>
      <c r="F1257" s="16" t="n">
        <v>12</v>
      </c>
      <c r="G1257" s="15" t="n">
        <v>0</v>
      </c>
      <c r="H1257" s="16" t="n">
        <v>11</v>
      </c>
      <c r="I1257" s="33" t="n">
        <v>27524.76</v>
      </c>
      <c r="J1257" s="33" t="n">
        <v>27524.76</v>
      </c>
    </row>
    <row r="1258" customFormat="false" ht="15" hidden="false" customHeight="false" outlineLevel="0" collapsed="false">
      <c r="A1258" s="3" t="s">
        <v>1648</v>
      </c>
      <c r="B1258" s="3" t="s">
        <v>282</v>
      </c>
      <c r="C1258" s="3" t="s">
        <v>403</v>
      </c>
      <c r="D1258" s="3" t="s">
        <v>381</v>
      </c>
      <c r="E1258" s="3" t="s">
        <v>385</v>
      </c>
      <c r="F1258" s="16" t="n">
        <v>12</v>
      </c>
      <c r="G1258" s="15" t="n">
        <v>0</v>
      </c>
      <c r="H1258" s="16" t="n">
        <v>7</v>
      </c>
      <c r="I1258" s="33" t="n">
        <v>27516.84</v>
      </c>
      <c r="J1258" s="33" t="n">
        <v>27516.84</v>
      </c>
    </row>
    <row r="1259" customFormat="false" ht="15" hidden="false" customHeight="false" outlineLevel="0" collapsed="false">
      <c r="A1259" s="3" t="s">
        <v>1649</v>
      </c>
      <c r="B1259" s="3" t="s">
        <v>282</v>
      </c>
      <c r="C1259" s="3" t="s">
        <v>405</v>
      </c>
      <c r="D1259" s="3" t="s">
        <v>418</v>
      </c>
      <c r="E1259" s="3" t="s">
        <v>398</v>
      </c>
      <c r="F1259" s="16" t="n">
        <v>12</v>
      </c>
      <c r="G1259" s="15" t="n">
        <v>0</v>
      </c>
      <c r="H1259" s="16" t="n">
        <v>8</v>
      </c>
      <c r="I1259" s="33" t="n">
        <v>27494.76</v>
      </c>
      <c r="J1259" s="33" t="n">
        <v>27494.76</v>
      </c>
    </row>
    <row r="1260" customFormat="false" ht="15" hidden="false" customHeight="false" outlineLevel="0" collapsed="false">
      <c r="A1260" s="3" t="s">
        <v>1650</v>
      </c>
      <c r="B1260" s="3" t="s">
        <v>282</v>
      </c>
      <c r="C1260" s="3" t="s">
        <v>403</v>
      </c>
      <c r="D1260" s="3" t="s">
        <v>392</v>
      </c>
      <c r="E1260" s="3" t="s">
        <v>382</v>
      </c>
      <c r="F1260" s="16" t="n">
        <v>24</v>
      </c>
      <c r="G1260" s="15" t="n">
        <v>0.3</v>
      </c>
      <c r="H1260" s="16" t="n">
        <v>22</v>
      </c>
      <c r="I1260" s="33" t="n">
        <v>27478.08</v>
      </c>
      <c r="J1260" s="33" t="n">
        <v>39254.52</v>
      </c>
    </row>
    <row r="1261" customFormat="false" ht="15" hidden="false" customHeight="false" outlineLevel="0" collapsed="false">
      <c r="A1261" s="3" t="s">
        <v>1651</v>
      </c>
      <c r="B1261" s="3" t="s">
        <v>283</v>
      </c>
      <c r="C1261" s="3" t="s">
        <v>405</v>
      </c>
      <c r="D1261" s="3" t="s">
        <v>692</v>
      </c>
      <c r="E1261" s="3" t="s">
        <v>398</v>
      </c>
      <c r="F1261" s="16" t="n">
        <v>1</v>
      </c>
      <c r="G1261" s="15" t="n">
        <v>0</v>
      </c>
      <c r="H1261" s="16" t="n">
        <v>1</v>
      </c>
      <c r="I1261" s="33" t="n">
        <v>27389.4</v>
      </c>
      <c r="J1261" s="33" t="n">
        <v>27389.4</v>
      </c>
    </row>
    <row r="1262" customFormat="false" ht="15" hidden="false" customHeight="false" outlineLevel="0" collapsed="false">
      <c r="A1262" s="3" t="s">
        <v>1652</v>
      </c>
      <c r="B1262" s="3" t="s">
        <v>282</v>
      </c>
      <c r="C1262" s="3" t="s">
        <v>396</v>
      </c>
      <c r="D1262" s="3" t="s">
        <v>388</v>
      </c>
      <c r="E1262" s="3" t="s">
        <v>398</v>
      </c>
      <c r="F1262" s="16" t="n">
        <v>12</v>
      </c>
      <c r="G1262" s="15" t="n">
        <v>0</v>
      </c>
      <c r="H1262" s="16" t="n">
        <v>1</v>
      </c>
      <c r="I1262" s="33" t="n">
        <v>27337.32</v>
      </c>
      <c r="J1262" s="33" t="n">
        <v>27337.32</v>
      </c>
    </row>
    <row r="1263" customFormat="false" ht="15" hidden="false" customHeight="false" outlineLevel="0" collapsed="false">
      <c r="A1263" s="3" t="s">
        <v>1653</v>
      </c>
      <c r="B1263" s="3" t="s">
        <v>282</v>
      </c>
      <c r="C1263" s="3" t="s">
        <v>396</v>
      </c>
      <c r="D1263" s="3" t="s">
        <v>388</v>
      </c>
      <c r="E1263" s="3" t="s">
        <v>385</v>
      </c>
      <c r="F1263" s="16" t="n">
        <v>12</v>
      </c>
      <c r="G1263" s="15" t="n">
        <v>0.15</v>
      </c>
      <c r="H1263" s="16" t="n">
        <v>4</v>
      </c>
      <c r="I1263" s="33" t="n">
        <v>27336.6</v>
      </c>
      <c r="J1263" s="33" t="n">
        <v>32160.72</v>
      </c>
    </row>
    <row r="1264" customFormat="false" ht="15" hidden="false" customHeight="false" outlineLevel="0" collapsed="false">
      <c r="A1264" s="3" t="s">
        <v>1654</v>
      </c>
      <c r="B1264" s="3" t="s">
        <v>283</v>
      </c>
      <c r="C1264" s="3" t="s">
        <v>396</v>
      </c>
      <c r="D1264" s="3" t="s">
        <v>692</v>
      </c>
      <c r="E1264" s="3" t="s">
        <v>385</v>
      </c>
      <c r="F1264" s="16" t="n">
        <v>1</v>
      </c>
      <c r="G1264" s="15" t="n">
        <v>0</v>
      </c>
      <c r="H1264" s="16" t="n">
        <v>1</v>
      </c>
      <c r="I1264" s="33" t="n">
        <v>27317.64</v>
      </c>
      <c r="J1264" s="33" t="n">
        <v>27317.64</v>
      </c>
    </row>
    <row r="1265" customFormat="false" ht="15" hidden="false" customHeight="false" outlineLevel="0" collapsed="false">
      <c r="A1265" s="3" t="s">
        <v>1655</v>
      </c>
      <c r="B1265" s="3" t="s">
        <v>282</v>
      </c>
      <c r="C1265" s="3" t="s">
        <v>405</v>
      </c>
      <c r="D1265" s="3" t="s">
        <v>418</v>
      </c>
      <c r="E1265" s="3" t="s">
        <v>385</v>
      </c>
      <c r="F1265" s="16" t="n">
        <v>12</v>
      </c>
      <c r="G1265" s="15" t="n">
        <v>0</v>
      </c>
      <c r="H1265" s="16" t="n">
        <v>6</v>
      </c>
      <c r="I1265" s="33" t="n">
        <v>27307.56</v>
      </c>
      <c r="J1265" s="33" t="n">
        <v>27307.56</v>
      </c>
    </row>
    <row r="1266" customFormat="false" ht="15" hidden="false" customHeight="false" outlineLevel="0" collapsed="false">
      <c r="A1266" s="3" t="s">
        <v>1656</v>
      </c>
      <c r="B1266" s="3" t="s">
        <v>282</v>
      </c>
      <c r="C1266" s="3" t="s">
        <v>384</v>
      </c>
      <c r="D1266" s="3" t="s">
        <v>388</v>
      </c>
      <c r="E1266" s="3" t="s">
        <v>398</v>
      </c>
      <c r="F1266" s="16" t="n">
        <v>12</v>
      </c>
      <c r="G1266" s="15" t="n">
        <v>0</v>
      </c>
      <c r="H1266" s="16" t="n">
        <v>6</v>
      </c>
      <c r="I1266" s="33" t="n">
        <v>27300.72</v>
      </c>
      <c r="J1266" s="33" t="n">
        <v>27300.72</v>
      </c>
    </row>
    <row r="1267" customFormat="false" ht="15" hidden="false" customHeight="false" outlineLevel="0" collapsed="false">
      <c r="A1267" s="3" t="s">
        <v>1657</v>
      </c>
      <c r="B1267" s="3" t="s">
        <v>282</v>
      </c>
      <c r="C1267" s="3" t="s">
        <v>380</v>
      </c>
      <c r="D1267" s="3" t="s">
        <v>692</v>
      </c>
      <c r="E1267" s="3" t="s">
        <v>382</v>
      </c>
      <c r="F1267" s="16" t="n">
        <v>12</v>
      </c>
      <c r="G1267" s="15" t="n">
        <v>0</v>
      </c>
      <c r="H1267" s="16" t="n">
        <v>12</v>
      </c>
      <c r="I1267" s="33" t="n">
        <v>27292.68</v>
      </c>
      <c r="J1267" s="33" t="n">
        <v>27292.68</v>
      </c>
    </row>
    <row r="1268" customFormat="false" ht="15" hidden="false" customHeight="false" outlineLevel="0" collapsed="false">
      <c r="A1268" s="3" t="s">
        <v>1658</v>
      </c>
      <c r="B1268" s="3" t="s">
        <v>283</v>
      </c>
      <c r="C1268" s="3" t="s">
        <v>403</v>
      </c>
      <c r="D1268" s="3" t="s">
        <v>392</v>
      </c>
      <c r="E1268" s="3" t="s">
        <v>382</v>
      </c>
      <c r="F1268" s="16" t="n">
        <v>12</v>
      </c>
      <c r="G1268" s="15" t="n">
        <v>0</v>
      </c>
      <c r="H1268" s="16" t="n">
        <v>7</v>
      </c>
      <c r="I1268" s="33" t="n">
        <v>27252.72</v>
      </c>
      <c r="J1268" s="33" t="n">
        <v>27252.72</v>
      </c>
    </row>
    <row r="1269" customFormat="false" ht="15" hidden="false" customHeight="false" outlineLevel="0" collapsed="false">
      <c r="A1269" s="3" t="s">
        <v>1659</v>
      </c>
      <c r="B1269" s="3" t="s">
        <v>283</v>
      </c>
      <c r="C1269" s="3" t="s">
        <v>387</v>
      </c>
      <c r="D1269" s="3" t="s">
        <v>418</v>
      </c>
      <c r="E1269" s="3" t="s">
        <v>398</v>
      </c>
      <c r="F1269" s="16" t="n">
        <v>12</v>
      </c>
      <c r="G1269" s="15" t="n">
        <v>0</v>
      </c>
      <c r="H1269" s="16" t="n">
        <v>2</v>
      </c>
      <c r="I1269" s="33" t="n">
        <v>27196.32</v>
      </c>
      <c r="J1269" s="33" t="n">
        <v>27196.32</v>
      </c>
    </row>
    <row r="1270" customFormat="false" ht="15" hidden="false" customHeight="false" outlineLevel="0" collapsed="false">
      <c r="A1270" s="3" t="s">
        <v>1660</v>
      </c>
      <c r="B1270" s="3" t="s">
        <v>282</v>
      </c>
      <c r="C1270" s="3" t="s">
        <v>384</v>
      </c>
      <c r="D1270" s="3" t="s">
        <v>381</v>
      </c>
      <c r="E1270" s="3" t="s">
        <v>385</v>
      </c>
      <c r="F1270" s="16" t="n">
        <v>24</v>
      </c>
      <c r="G1270" s="15" t="n">
        <v>0</v>
      </c>
      <c r="H1270" s="16" t="n">
        <v>19</v>
      </c>
      <c r="I1270" s="33" t="n">
        <v>27189.84</v>
      </c>
      <c r="J1270" s="33" t="n">
        <v>27189.84</v>
      </c>
    </row>
    <row r="1271" customFormat="false" ht="15" hidden="false" customHeight="false" outlineLevel="0" collapsed="false">
      <c r="A1271" s="3" t="s">
        <v>1661</v>
      </c>
      <c r="B1271" s="3" t="s">
        <v>283</v>
      </c>
      <c r="C1271" s="3" t="s">
        <v>387</v>
      </c>
      <c r="D1271" s="3" t="s">
        <v>392</v>
      </c>
      <c r="E1271" s="3" t="s">
        <v>398</v>
      </c>
      <c r="F1271" s="16" t="n">
        <v>12</v>
      </c>
      <c r="G1271" s="15" t="n">
        <v>0</v>
      </c>
      <c r="H1271" s="16" t="n">
        <v>2</v>
      </c>
      <c r="I1271" s="33" t="n">
        <v>27139.68</v>
      </c>
      <c r="J1271" s="33" t="n">
        <v>27139.68</v>
      </c>
    </row>
    <row r="1272" customFormat="false" ht="15" hidden="false" customHeight="false" outlineLevel="0" collapsed="false">
      <c r="A1272" s="3" t="s">
        <v>1662</v>
      </c>
      <c r="B1272" s="3" t="s">
        <v>282</v>
      </c>
      <c r="C1272" s="3" t="s">
        <v>384</v>
      </c>
      <c r="D1272" s="3" t="s">
        <v>392</v>
      </c>
      <c r="E1272" s="3" t="s">
        <v>398</v>
      </c>
      <c r="F1272" s="16" t="n">
        <v>12</v>
      </c>
      <c r="G1272" s="15" t="n">
        <v>0</v>
      </c>
      <c r="H1272" s="16" t="n">
        <v>6</v>
      </c>
      <c r="I1272" s="33" t="n">
        <v>27111</v>
      </c>
      <c r="J1272" s="33" t="n">
        <v>27111</v>
      </c>
    </row>
    <row r="1273" customFormat="false" ht="15" hidden="false" customHeight="false" outlineLevel="0" collapsed="false">
      <c r="A1273" s="3" t="s">
        <v>1663</v>
      </c>
      <c r="B1273" s="3" t="s">
        <v>283</v>
      </c>
      <c r="C1273" s="3" t="s">
        <v>384</v>
      </c>
      <c r="D1273" s="3" t="s">
        <v>692</v>
      </c>
      <c r="E1273" s="3" t="s">
        <v>398</v>
      </c>
      <c r="F1273" s="16" t="n">
        <v>1</v>
      </c>
      <c r="G1273" s="15" t="n">
        <v>0</v>
      </c>
      <c r="H1273" s="16" t="n">
        <v>1</v>
      </c>
      <c r="I1273" s="33" t="n">
        <v>27084.36</v>
      </c>
      <c r="J1273" s="33" t="n">
        <v>27084.36</v>
      </c>
    </row>
    <row r="1274" customFormat="false" ht="15" hidden="false" customHeight="false" outlineLevel="0" collapsed="false">
      <c r="A1274" s="3" t="s">
        <v>1664</v>
      </c>
      <c r="B1274" s="3" t="s">
        <v>282</v>
      </c>
      <c r="C1274" s="3" t="s">
        <v>403</v>
      </c>
      <c r="D1274" s="3" t="s">
        <v>381</v>
      </c>
      <c r="E1274" s="3" t="s">
        <v>385</v>
      </c>
      <c r="F1274" s="16" t="n">
        <v>24</v>
      </c>
      <c r="G1274" s="15" t="n">
        <v>0.15</v>
      </c>
      <c r="H1274" s="16" t="n">
        <v>6</v>
      </c>
      <c r="I1274" s="33" t="n">
        <v>27069.84</v>
      </c>
      <c r="J1274" s="33" t="n">
        <v>31846.92</v>
      </c>
    </row>
    <row r="1275" customFormat="false" ht="15" hidden="false" customHeight="false" outlineLevel="0" collapsed="false">
      <c r="A1275" s="3" t="s">
        <v>1665</v>
      </c>
      <c r="B1275" s="3" t="s">
        <v>282</v>
      </c>
      <c r="C1275" s="3" t="s">
        <v>401</v>
      </c>
      <c r="D1275" s="3" t="s">
        <v>388</v>
      </c>
      <c r="E1275" s="3" t="s">
        <v>382</v>
      </c>
      <c r="F1275" s="16" t="n">
        <v>12</v>
      </c>
      <c r="G1275" s="15" t="n">
        <v>0.15</v>
      </c>
      <c r="H1275" s="16" t="n">
        <v>8</v>
      </c>
      <c r="I1275" s="33" t="n">
        <v>27039.48</v>
      </c>
      <c r="J1275" s="33" t="n">
        <v>31811.04</v>
      </c>
    </row>
    <row r="1276" customFormat="false" ht="15" hidden="false" customHeight="false" outlineLevel="0" collapsed="false">
      <c r="A1276" s="3" t="s">
        <v>1666</v>
      </c>
      <c r="B1276" s="3" t="s">
        <v>282</v>
      </c>
      <c r="C1276" s="3" t="s">
        <v>396</v>
      </c>
      <c r="D1276" s="3" t="s">
        <v>381</v>
      </c>
      <c r="E1276" s="3" t="s">
        <v>385</v>
      </c>
      <c r="F1276" s="16" t="n">
        <v>24</v>
      </c>
      <c r="G1276" s="15" t="n">
        <v>0.15</v>
      </c>
      <c r="H1276" s="16" t="n">
        <v>13</v>
      </c>
      <c r="I1276" s="33" t="n">
        <v>26983.56</v>
      </c>
      <c r="J1276" s="33" t="n">
        <v>31745.28</v>
      </c>
    </row>
    <row r="1277" customFormat="false" ht="15" hidden="false" customHeight="false" outlineLevel="0" collapsed="false">
      <c r="A1277" s="3" t="s">
        <v>1667</v>
      </c>
      <c r="B1277" s="3" t="s">
        <v>282</v>
      </c>
      <c r="C1277" s="3" t="s">
        <v>403</v>
      </c>
      <c r="D1277" s="3" t="s">
        <v>392</v>
      </c>
      <c r="E1277" s="3" t="s">
        <v>398</v>
      </c>
      <c r="F1277" s="16" t="n">
        <v>12</v>
      </c>
      <c r="G1277" s="15" t="n">
        <v>0</v>
      </c>
      <c r="H1277" s="16" t="n">
        <v>6</v>
      </c>
      <c r="I1277" s="33" t="n">
        <v>26962.68</v>
      </c>
      <c r="J1277" s="33" t="n">
        <v>26962.68</v>
      </c>
    </row>
    <row r="1278" customFormat="false" ht="15" hidden="false" customHeight="false" outlineLevel="0" collapsed="false">
      <c r="A1278" s="3" t="s">
        <v>1668</v>
      </c>
      <c r="B1278" s="3" t="s">
        <v>283</v>
      </c>
      <c r="C1278" s="3" t="s">
        <v>405</v>
      </c>
      <c r="D1278" s="3" t="s">
        <v>692</v>
      </c>
      <c r="E1278" s="3" t="s">
        <v>398</v>
      </c>
      <c r="F1278" s="16" t="n">
        <v>12</v>
      </c>
      <c r="G1278" s="15" t="n">
        <v>0</v>
      </c>
      <c r="H1278" s="16" t="n">
        <v>1</v>
      </c>
      <c r="I1278" s="33" t="n">
        <v>26934.72</v>
      </c>
      <c r="J1278" s="33" t="n">
        <v>26934.72</v>
      </c>
    </row>
    <row r="1279" customFormat="false" ht="15" hidden="false" customHeight="false" outlineLevel="0" collapsed="false">
      <c r="A1279" s="3" t="s">
        <v>1669</v>
      </c>
      <c r="B1279" s="3" t="s">
        <v>282</v>
      </c>
      <c r="C1279" s="3" t="s">
        <v>396</v>
      </c>
      <c r="D1279" s="3" t="s">
        <v>418</v>
      </c>
      <c r="E1279" s="3" t="s">
        <v>398</v>
      </c>
      <c r="F1279" s="16" t="n">
        <v>24</v>
      </c>
      <c r="G1279" s="15" t="n">
        <v>0.2</v>
      </c>
      <c r="H1279" s="16" t="n">
        <v>20</v>
      </c>
      <c r="I1279" s="33" t="n">
        <v>26927.64</v>
      </c>
      <c r="J1279" s="33" t="n">
        <v>33659.52</v>
      </c>
    </row>
    <row r="1280" customFormat="false" ht="15" hidden="false" customHeight="false" outlineLevel="0" collapsed="false">
      <c r="A1280" s="3" t="s">
        <v>1670</v>
      </c>
      <c r="B1280" s="3" t="s">
        <v>282</v>
      </c>
      <c r="C1280" s="3" t="s">
        <v>384</v>
      </c>
      <c r="D1280" s="3" t="s">
        <v>392</v>
      </c>
      <c r="E1280" s="3" t="s">
        <v>385</v>
      </c>
      <c r="F1280" s="16" t="n">
        <v>24</v>
      </c>
      <c r="G1280" s="15" t="n">
        <v>0</v>
      </c>
      <c r="H1280" s="16" t="n">
        <v>16</v>
      </c>
      <c r="I1280" s="33" t="n">
        <v>26909.88</v>
      </c>
      <c r="J1280" s="33" t="n">
        <v>26909.88</v>
      </c>
    </row>
    <row r="1281" customFormat="false" ht="15" hidden="false" customHeight="false" outlineLevel="0" collapsed="false">
      <c r="A1281" s="3" t="s">
        <v>1671</v>
      </c>
      <c r="B1281" s="3" t="s">
        <v>282</v>
      </c>
      <c r="C1281" s="3" t="s">
        <v>403</v>
      </c>
      <c r="D1281" s="3" t="s">
        <v>418</v>
      </c>
      <c r="E1281" s="3" t="s">
        <v>382</v>
      </c>
      <c r="F1281" s="16" t="n">
        <v>12</v>
      </c>
      <c r="G1281" s="15" t="n">
        <v>0.1</v>
      </c>
      <c r="H1281" s="16" t="n">
        <v>3</v>
      </c>
      <c r="I1281" s="33" t="n">
        <v>26875.56</v>
      </c>
      <c r="J1281" s="33" t="n">
        <v>29861.76</v>
      </c>
    </row>
    <row r="1282" customFormat="false" ht="15" hidden="false" customHeight="false" outlineLevel="0" collapsed="false">
      <c r="A1282" s="3" t="s">
        <v>1672</v>
      </c>
      <c r="B1282" s="3" t="s">
        <v>283</v>
      </c>
      <c r="C1282" s="3" t="s">
        <v>405</v>
      </c>
      <c r="D1282" s="3" t="s">
        <v>418</v>
      </c>
      <c r="E1282" s="3" t="s">
        <v>398</v>
      </c>
      <c r="F1282" s="16" t="n">
        <v>12</v>
      </c>
      <c r="G1282" s="15" t="n">
        <v>0</v>
      </c>
      <c r="H1282" s="16" t="n">
        <v>5</v>
      </c>
      <c r="I1282" s="33" t="n">
        <v>26874.6</v>
      </c>
      <c r="J1282" s="33" t="n">
        <v>26874.6</v>
      </c>
    </row>
    <row r="1283" customFormat="false" ht="15" hidden="false" customHeight="false" outlineLevel="0" collapsed="false">
      <c r="A1283" s="3" t="s">
        <v>1673</v>
      </c>
      <c r="B1283" s="3" t="s">
        <v>282</v>
      </c>
      <c r="C1283" s="3" t="s">
        <v>380</v>
      </c>
      <c r="D1283" s="3" t="s">
        <v>381</v>
      </c>
      <c r="E1283" s="3" t="s">
        <v>385</v>
      </c>
      <c r="F1283" s="16" t="n">
        <v>12</v>
      </c>
      <c r="G1283" s="15" t="n">
        <v>0.1</v>
      </c>
      <c r="H1283" s="16" t="n">
        <v>1</v>
      </c>
      <c r="I1283" s="33" t="n">
        <v>26866.92</v>
      </c>
      <c r="J1283" s="33" t="n">
        <v>29852.16</v>
      </c>
    </row>
    <row r="1284" customFormat="false" ht="15" hidden="false" customHeight="false" outlineLevel="0" collapsed="false">
      <c r="A1284" s="3" t="s">
        <v>1674</v>
      </c>
      <c r="B1284" s="3" t="s">
        <v>282</v>
      </c>
      <c r="C1284" s="3" t="s">
        <v>380</v>
      </c>
      <c r="D1284" s="3" t="s">
        <v>381</v>
      </c>
      <c r="E1284" s="3" t="s">
        <v>385</v>
      </c>
      <c r="F1284" s="16" t="n">
        <v>12</v>
      </c>
      <c r="G1284" s="15" t="n">
        <v>0.1</v>
      </c>
      <c r="H1284" s="16" t="n">
        <v>1</v>
      </c>
      <c r="I1284" s="33" t="n">
        <v>26853.48</v>
      </c>
      <c r="J1284" s="33" t="n">
        <v>29837.28</v>
      </c>
    </row>
    <row r="1285" customFormat="false" ht="15" hidden="false" customHeight="false" outlineLevel="0" collapsed="false">
      <c r="A1285" s="3" t="s">
        <v>1675</v>
      </c>
      <c r="B1285" s="3" t="s">
        <v>282</v>
      </c>
      <c r="C1285" s="3" t="s">
        <v>387</v>
      </c>
      <c r="D1285" s="3" t="s">
        <v>392</v>
      </c>
      <c r="E1285" s="3" t="s">
        <v>382</v>
      </c>
      <c r="F1285" s="16" t="n">
        <v>12</v>
      </c>
      <c r="G1285" s="15" t="n">
        <v>0</v>
      </c>
      <c r="H1285" s="16" t="n">
        <v>3</v>
      </c>
      <c r="I1285" s="33" t="n">
        <v>26743.32</v>
      </c>
      <c r="J1285" s="33" t="n">
        <v>26743.32</v>
      </c>
    </row>
    <row r="1286" customFormat="false" ht="15" hidden="false" customHeight="false" outlineLevel="0" collapsed="false">
      <c r="A1286" s="3" t="s">
        <v>1676</v>
      </c>
      <c r="B1286" s="3" t="s">
        <v>283</v>
      </c>
      <c r="C1286" s="3" t="s">
        <v>405</v>
      </c>
      <c r="D1286" s="3" t="s">
        <v>392</v>
      </c>
      <c r="E1286" s="3" t="s">
        <v>385</v>
      </c>
      <c r="F1286" s="16" t="n">
        <v>1</v>
      </c>
      <c r="G1286" s="15" t="n">
        <v>0</v>
      </c>
      <c r="H1286" s="16" t="n">
        <v>1</v>
      </c>
      <c r="I1286" s="33" t="n">
        <v>26701.32</v>
      </c>
      <c r="J1286" s="33" t="n">
        <v>26701.32</v>
      </c>
    </row>
    <row r="1287" customFormat="false" ht="15" hidden="false" customHeight="false" outlineLevel="0" collapsed="false">
      <c r="A1287" s="3" t="s">
        <v>1677</v>
      </c>
      <c r="B1287" s="3" t="s">
        <v>282</v>
      </c>
      <c r="C1287" s="3" t="s">
        <v>396</v>
      </c>
      <c r="D1287" s="3" t="s">
        <v>692</v>
      </c>
      <c r="E1287" s="3" t="s">
        <v>385</v>
      </c>
      <c r="F1287" s="16" t="n">
        <v>24</v>
      </c>
      <c r="G1287" s="15" t="n">
        <v>0.15</v>
      </c>
      <c r="H1287" s="16" t="n">
        <v>19</v>
      </c>
      <c r="I1287" s="33" t="n">
        <v>26694.48</v>
      </c>
      <c r="J1287" s="33" t="n">
        <v>31405.32</v>
      </c>
    </row>
    <row r="1288" customFormat="false" ht="15" hidden="false" customHeight="false" outlineLevel="0" collapsed="false">
      <c r="A1288" s="3" t="s">
        <v>1678</v>
      </c>
      <c r="B1288" s="3" t="s">
        <v>283</v>
      </c>
      <c r="C1288" s="3" t="s">
        <v>401</v>
      </c>
      <c r="D1288" s="3" t="s">
        <v>392</v>
      </c>
      <c r="E1288" s="3" t="s">
        <v>398</v>
      </c>
      <c r="F1288" s="16" t="n">
        <v>12</v>
      </c>
      <c r="G1288" s="15" t="n">
        <v>0</v>
      </c>
      <c r="H1288" s="16" t="n">
        <v>4</v>
      </c>
      <c r="I1288" s="33" t="n">
        <v>26676.12</v>
      </c>
      <c r="J1288" s="33" t="n">
        <v>26676.12</v>
      </c>
    </row>
    <row r="1289" customFormat="false" ht="15" hidden="false" customHeight="false" outlineLevel="0" collapsed="false">
      <c r="A1289" s="3" t="s">
        <v>1679</v>
      </c>
      <c r="B1289" s="3" t="s">
        <v>282</v>
      </c>
      <c r="C1289" s="3" t="s">
        <v>401</v>
      </c>
      <c r="D1289" s="3" t="s">
        <v>388</v>
      </c>
      <c r="E1289" s="3" t="s">
        <v>385</v>
      </c>
      <c r="F1289" s="16" t="n">
        <v>12</v>
      </c>
      <c r="G1289" s="15" t="n">
        <v>0</v>
      </c>
      <c r="H1289" s="16" t="n">
        <v>12</v>
      </c>
      <c r="I1289" s="33" t="n">
        <v>26633.16</v>
      </c>
      <c r="J1289" s="33" t="n">
        <v>26633.16</v>
      </c>
    </row>
    <row r="1290" customFormat="false" ht="15" hidden="false" customHeight="false" outlineLevel="0" collapsed="false">
      <c r="A1290" s="3" t="s">
        <v>1680</v>
      </c>
      <c r="B1290" s="3" t="s">
        <v>283</v>
      </c>
      <c r="C1290" s="3" t="s">
        <v>380</v>
      </c>
      <c r="D1290" s="3" t="s">
        <v>692</v>
      </c>
      <c r="E1290" s="3" t="s">
        <v>382</v>
      </c>
      <c r="F1290" s="16" t="n">
        <v>12</v>
      </c>
      <c r="G1290" s="15" t="n">
        <v>0</v>
      </c>
      <c r="H1290" s="16" t="n">
        <v>5</v>
      </c>
      <c r="I1290" s="33" t="n">
        <v>26617.92</v>
      </c>
      <c r="J1290" s="33" t="n">
        <v>26617.92</v>
      </c>
    </row>
    <row r="1291" customFormat="false" ht="15" hidden="false" customHeight="false" outlineLevel="0" collapsed="false">
      <c r="A1291" s="3" t="s">
        <v>1681</v>
      </c>
      <c r="B1291" s="3" t="s">
        <v>282</v>
      </c>
      <c r="C1291" s="3" t="s">
        <v>387</v>
      </c>
      <c r="D1291" s="3" t="s">
        <v>418</v>
      </c>
      <c r="E1291" s="3" t="s">
        <v>398</v>
      </c>
      <c r="F1291" s="16" t="n">
        <v>24</v>
      </c>
      <c r="G1291" s="15" t="n">
        <v>0</v>
      </c>
      <c r="H1291" s="16" t="n">
        <v>15</v>
      </c>
      <c r="I1291" s="33" t="n">
        <v>26508.96</v>
      </c>
      <c r="J1291" s="33" t="n">
        <v>26508.96</v>
      </c>
    </row>
    <row r="1292" customFormat="false" ht="15" hidden="false" customHeight="false" outlineLevel="0" collapsed="false">
      <c r="A1292" s="3" t="s">
        <v>1682</v>
      </c>
      <c r="B1292" s="3" t="s">
        <v>282</v>
      </c>
      <c r="C1292" s="3" t="s">
        <v>403</v>
      </c>
      <c r="D1292" s="3" t="s">
        <v>418</v>
      </c>
      <c r="E1292" s="3" t="s">
        <v>398</v>
      </c>
      <c r="F1292" s="16" t="n">
        <v>24</v>
      </c>
      <c r="G1292" s="15" t="n">
        <v>0.1</v>
      </c>
      <c r="H1292" s="16" t="n">
        <v>11</v>
      </c>
      <c r="I1292" s="33" t="n">
        <v>26482.8</v>
      </c>
      <c r="J1292" s="33" t="n">
        <v>29425.32</v>
      </c>
    </row>
    <row r="1293" customFormat="false" ht="15" hidden="false" customHeight="false" outlineLevel="0" collapsed="false">
      <c r="A1293" s="3" t="s">
        <v>1683</v>
      </c>
      <c r="B1293" s="3" t="s">
        <v>282</v>
      </c>
      <c r="C1293" s="3" t="s">
        <v>401</v>
      </c>
      <c r="D1293" s="3" t="s">
        <v>388</v>
      </c>
      <c r="E1293" s="3" t="s">
        <v>398</v>
      </c>
      <c r="F1293" s="16" t="n">
        <v>24</v>
      </c>
      <c r="G1293" s="15" t="n">
        <v>0</v>
      </c>
      <c r="H1293" s="16" t="n">
        <v>13</v>
      </c>
      <c r="I1293" s="33" t="n">
        <v>26460</v>
      </c>
      <c r="J1293" s="33" t="n">
        <v>26460</v>
      </c>
    </row>
    <row r="1294" customFormat="false" ht="15" hidden="false" customHeight="false" outlineLevel="0" collapsed="false">
      <c r="A1294" s="3" t="s">
        <v>1684</v>
      </c>
      <c r="B1294" s="3" t="s">
        <v>282</v>
      </c>
      <c r="C1294" s="3" t="s">
        <v>380</v>
      </c>
      <c r="D1294" s="3" t="s">
        <v>381</v>
      </c>
      <c r="E1294" s="3" t="s">
        <v>385</v>
      </c>
      <c r="F1294" s="16" t="n">
        <v>24</v>
      </c>
      <c r="G1294" s="15" t="n">
        <v>0.1</v>
      </c>
      <c r="H1294" s="16" t="n">
        <v>15</v>
      </c>
      <c r="I1294" s="33" t="n">
        <v>26420.88</v>
      </c>
      <c r="J1294" s="33" t="n">
        <v>29356.56</v>
      </c>
    </row>
    <row r="1295" customFormat="false" ht="15" hidden="false" customHeight="false" outlineLevel="0" collapsed="false">
      <c r="A1295" s="3" t="s">
        <v>1685</v>
      </c>
      <c r="B1295" s="3" t="s">
        <v>282</v>
      </c>
      <c r="C1295" s="3" t="s">
        <v>387</v>
      </c>
      <c r="D1295" s="3" t="s">
        <v>418</v>
      </c>
      <c r="E1295" s="3" t="s">
        <v>385</v>
      </c>
      <c r="F1295" s="16" t="n">
        <v>24</v>
      </c>
      <c r="G1295" s="15" t="n">
        <v>0</v>
      </c>
      <c r="H1295" s="16" t="n">
        <v>20</v>
      </c>
      <c r="I1295" s="33" t="n">
        <v>26379.12</v>
      </c>
      <c r="J1295" s="33" t="n">
        <v>26379.12</v>
      </c>
    </row>
    <row r="1296" customFormat="false" ht="15" hidden="false" customHeight="false" outlineLevel="0" collapsed="false">
      <c r="A1296" s="3" t="s">
        <v>1686</v>
      </c>
      <c r="B1296" s="3" t="s">
        <v>282</v>
      </c>
      <c r="C1296" s="3" t="s">
        <v>401</v>
      </c>
      <c r="D1296" s="3" t="s">
        <v>392</v>
      </c>
      <c r="E1296" s="3" t="s">
        <v>398</v>
      </c>
      <c r="F1296" s="16" t="n">
        <v>24</v>
      </c>
      <c r="G1296" s="15" t="n">
        <v>0</v>
      </c>
      <c r="H1296" s="16" t="n">
        <v>7</v>
      </c>
      <c r="I1296" s="33" t="n">
        <v>26370.6</v>
      </c>
      <c r="J1296" s="33" t="n">
        <v>26370.6</v>
      </c>
    </row>
    <row r="1297" customFormat="false" ht="15" hidden="false" customHeight="false" outlineLevel="0" collapsed="false">
      <c r="A1297" s="3" t="s">
        <v>1687</v>
      </c>
      <c r="B1297" s="3" t="s">
        <v>282</v>
      </c>
      <c r="C1297" s="3" t="s">
        <v>384</v>
      </c>
      <c r="D1297" s="3" t="s">
        <v>392</v>
      </c>
      <c r="E1297" s="3" t="s">
        <v>385</v>
      </c>
      <c r="F1297" s="16" t="n">
        <v>12</v>
      </c>
      <c r="G1297" s="15" t="n">
        <v>0</v>
      </c>
      <c r="H1297" s="16" t="n">
        <v>11</v>
      </c>
      <c r="I1297" s="33" t="n">
        <v>26363.52</v>
      </c>
      <c r="J1297" s="33" t="n">
        <v>26363.52</v>
      </c>
    </row>
    <row r="1298" customFormat="false" ht="15" hidden="false" customHeight="false" outlineLevel="0" collapsed="false">
      <c r="A1298" s="3" t="s">
        <v>1688</v>
      </c>
      <c r="B1298" s="3" t="s">
        <v>282</v>
      </c>
      <c r="C1298" s="3" t="s">
        <v>380</v>
      </c>
      <c r="D1298" s="3" t="s">
        <v>381</v>
      </c>
      <c r="E1298" s="3" t="s">
        <v>398</v>
      </c>
      <c r="F1298" s="16" t="n">
        <v>24</v>
      </c>
      <c r="G1298" s="15" t="n">
        <v>0</v>
      </c>
      <c r="H1298" s="16" t="n">
        <v>3</v>
      </c>
      <c r="I1298" s="33" t="n">
        <v>26326.8</v>
      </c>
      <c r="J1298" s="33" t="n">
        <v>26326.8</v>
      </c>
    </row>
    <row r="1299" customFormat="false" ht="15" hidden="false" customHeight="false" outlineLevel="0" collapsed="false">
      <c r="A1299" s="3" t="s">
        <v>1689</v>
      </c>
      <c r="B1299" s="3" t="s">
        <v>282</v>
      </c>
      <c r="C1299" s="3" t="s">
        <v>405</v>
      </c>
      <c r="D1299" s="3" t="s">
        <v>381</v>
      </c>
      <c r="E1299" s="3" t="s">
        <v>398</v>
      </c>
      <c r="F1299" s="16" t="n">
        <v>24</v>
      </c>
      <c r="G1299" s="15" t="n">
        <v>0</v>
      </c>
      <c r="H1299" s="16" t="n">
        <v>15</v>
      </c>
      <c r="I1299" s="33" t="n">
        <v>26322.48</v>
      </c>
      <c r="J1299" s="33" t="n">
        <v>26322.48</v>
      </c>
    </row>
    <row r="1300" customFormat="false" ht="15" hidden="false" customHeight="false" outlineLevel="0" collapsed="false">
      <c r="A1300" s="3" t="s">
        <v>1690</v>
      </c>
      <c r="B1300" s="3" t="s">
        <v>282</v>
      </c>
      <c r="C1300" s="3" t="s">
        <v>401</v>
      </c>
      <c r="D1300" s="3" t="s">
        <v>392</v>
      </c>
      <c r="E1300" s="3" t="s">
        <v>398</v>
      </c>
      <c r="F1300" s="16" t="n">
        <v>24</v>
      </c>
      <c r="G1300" s="15" t="n">
        <v>0</v>
      </c>
      <c r="H1300" s="16" t="n">
        <v>4</v>
      </c>
      <c r="I1300" s="33" t="n">
        <v>26253.72</v>
      </c>
      <c r="J1300" s="33" t="n">
        <v>26253.72</v>
      </c>
    </row>
    <row r="1301" customFormat="false" ht="15" hidden="false" customHeight="false" outlineLevel="0" collapsed="false">
      <c r="A1301" s="3" t="s">
        <v>1691</v>
      </c>
      <c r="B1301" s="3" t="s">
        <v>282</v>
      </c>
      <c r="C1301" s="3" t="s">
        <v>403</v>
      </c>
      <c r="D1301" s="3" t="s">
        <v>392</v>
      </c>
      <c r="E1301" s="3" t="s">
        <v>398</v>
      </c>
      <c r="F1301" s="16" t="n">
        <v>24</v>
      </c>
      <c r="G1301" s="15" t="n">
        <v>0</v>
      </c>
      <c r="H1301" s="16" t="n">
        <v>14</v>
      </c>
      <c r="I1301" s="33" t="n">
        <v>26176.08</v>
      </c>
      <c r="J1301" s="33" t="n">
        <v>26176.08</v>
      </c>
    </row>
    <row r="1302" customFormat="false" ht="15" hidden="false" customHeight="false" outlineLevel="0" collapsed="false">
      <c r="A1302" s="3" t="s">
        <v>1692</v>
      </c>
      <c r="B1302" s="3" t="s">
        <v>282</v>
      </c>
      <c r="C1302" s="3" t="s">
        <v>401</v>
      </c>
      <c r="D1302" s="3" t="s">
        <v>392</v>
      </c>
      <c r="E1302" s="3" t="s">
        <v>385</v>
      </c>
      <c r="F1302" s="16" t="n">
        <v>24</v>
      </c>
      <c r="G1302" s="15" t="n">
        <v>0</v>
      </c>
      <c r="H1302" s="16" t="n">
        <v>16</v>
      </c>
      <c r="I1302" s="33" t="n">
        <v>26167.56</v>
      </c>
      <c r="J1302" s="33" t="n">
        <v>26167.56</v>
      </c>
    </row>
    <row r="1303" customFormat="false" ht="15" hidden="false" customHeight="false" outlineLevel="0" collapsed="false">
      <c r="A1303" s="3" t="s">
        <v>1693</v>
      </c>
      <c r="B1303" s="3" t="s">
        <v>283</v>
      </c>
      <c r="C1303" s="3" t="s">
        <v>387</v>
      </c>
      <c r="D1303" s="3" t="s">
        <v>418</v>
      </c>
      <c r="E1303" s="3" t="s">
        <v>398</v>
      </c>
      <c r="F1303" s="16" t="n">
        <v>1</v>
      </c>
      <c r="G1303" s="15" t="n">
        <v>0</v>
      </c>
      <c r="H1303" s="16" t="n">
        <v>1</v>
      </c>
      <c r="I1303" s="33" t="n">
        <v>26059.2</v>
      </c>
      <c r="J1303" s="33" t="n">
        <v>26059.2</v>
      </c>
    </row>
    <row r="1304" customFormat="false" ht="15" hidden="false" customHeight="false" outlineLevel="0" collapsed="false">
      <c r="A1304" s="3" t="s">
        <v>1694</v>
      </c>
      <c r="B1304" s="3" t="s">
        <v>282</v>
      </c>
      <c r="C1304" s="3" t="s">
        <v>396</v>
      </c>
      <c r="D1304" s="3" t="s">
        <v>392</v>
      </c>
      <c r="E1304" s="3" t="s">
        <v>398</v>
      </c>
      <c r="F1304" s="16" t="n">
        <v>24</v>
      </c>
      <c r="G1304" s="15" t="n">
        <v>0</v>
      </c>
      <c r="H1304" s="16" t="n">
        <v>1</v>
      </c>
      <c r="I1304" s="33" t="n">
        <v>26042.04</v>
      </c>
      <c r="J1304" s="33" t="n">
        <v>26042.04</v>
      </c>
    </row>
    <row r="1305" customFormat="false" ht="15" hidden="false" customHeight="false" outlineLevel="0" collapsed="false">
      <c r="A1305" s="3" t="s">
        <v>1695</v>
      </c>
      <c r="B1305" s="3" t="s">
        <v>283</v>
      </c>
      <c r="C1305" s="3" t="s">
        <v>401</v>
      </c>
      <c r="D1305" s="3" t="s">
        <v>692</v>
      </c>
      <c r="E1305" s="3" t="s">
        <v>382</v>
      </c>
      <c r="F1305" s="16" t="n">
        <v>1</v>
      </c>
      <c r="G1305" s="15" t="n">
        <v>0.1</v>
      </c>
      <c r="H1305" s="16" t="n">
        <v>1</v>
      </c>
      <c r="I1305" s="33" t="n">
        <v>26036.52</v>
      </c>
      <c r="J1305" s="33" t="n">
        <v>28929.48</v>
      </c>
    </row>
    <row r="1306" customFormat="false" ht="15" hidden="false" customHeight="false" outlineLevel="0" collapsed="false">
      <c r="A1306" s="3" t="s">
        <v>1696</v>
      </c>
      <c r="B1306" s="3" t="s">
        <v>283</v>
      </c>
      <c r="C1306" s="3" t="s">
        <v>396</v>
      </c>
      <c r="D1306" s="3" t="s">
        <v>381</v>
      </c>
      <c r="E1306" s="3" t="s">
        <v>385</v>
      </c>
      <c r="F1306" s="16" t="n">
        <v>1</v>
      </c>
      <c r="G1306" s="15" t="n">
        <v>0</v>
      </c>
      <c r="H1306" s="16" t="n">
        <v>1</v>
      </c>
      <c r="I1306" s="33" t="n">
        <v>26018.52</v>
      </c>
      <c r="J1306" s="33" t="n">
        <v>26018.52</v>
      </c>
    </row>
    <row r="1307" customFormat="false" ht="15" hidden="false" customHeight="false" outlineLevel="0" collapsed="false">
      <c r="A1307" s="3" t="s">
        <v>1697</v>
      </c>
      <c r="B1307" s="3" t="s">
        <v>282</v>
      </c>
      <c r="C1307" s="3" t="s">
        <v>396</v>
      </c>
      <c r="D1307" s="3" t="s">
        <v>381</v>
      </c>
      <c r="E1307" s="3" t="s">
        <v>398</v>
      </c>
      <c r="F1307" s="16" t="n">
        <v>24</v>
      </c>
      <c r="G1307" s="15" t="n">
        <v>0</v>
      </c>
      <c r="H1307" s="16" t="n">
        <v>4</v>
      </c>
      <c r="I1307" s="33" t="n">
        <v>25989.36</v>
      </c>
      <c r="J1307" s="33" t="n">
        <v>25989.36</v>
      </c>
    </row>
    <row r="1308" customFormat="false" ht="15" hidden="false" customHeight="false" outlineLevel="0" collapsed="false">
      <c r="A1308" s="3" t="s">
        <v>1698</v>
      </c>
      <c r="B1308" s="3" t="s">
        <v>282</v>
      </c>
      <c r="C1308" s="3" t="s">
        <v>403</v>
      </c>
      <c r="D1308" s="3" t="s">
        <v>392</v>
      </c>
      <c r="E1308" s="3" t="s">
        <v>398</v>
      </c>
      <c r="F1308" s="16" t="n">
        <v>24</v>
      </c>
      <c r="G1308" s="15" t="n">
        <v>0</v>
      </c>
      <c r="H1308" s="16" t="n">
        <v>14</v>
      </c>
      <c r="I1308" s="33" t="n">
        <v>25951.32</v>
      </c>
      <c r="J1308" s="33" t="n">
        <v>25951.32</v>
      </c>
    </row>
    <row r="1309" customFormat="false" ht="15" hidden="false" customHeight="false" outlineLevel="0" collapsed="false">
      <c r="A1309" s="3" t="s">
        <v>1699</v>
      </c>
      <c r="B1309" s="3" t="s">
        <v>282</v>
      </c>
      <c r="C1309" s="3" t="s">
        <v>405</v>
      </c>
      <c r="D1309" s="3" t="s">
        <v>381</v>
      </c>
      <c r="E1309" s="3" t="s">
        <v>398</v>
      </c>
      <c r="F1309" s="16" t="n">
        <v>24</v>
      </c>
      <c r="G1309" s="15" t="n">
        <v>0</v>
      </c>
      <c r="H1309" s="16" t="n">
        <v>14</v>
      </c>
      <c r="I1309" s="33" t="n">
        <v>25932.12</v>
      </c>
      <c r="J1309" s="33" t="n">
        <v>25932.12</v>
      </c>
    </row>
    <row r="1310" customFormat="false" ht="15" hidden="false" customHeight="false" outlineLevel="0" collapsed="false">
      <c r="A1310" s="3" t="s">
        <v>1700</v>
      </c>
      <c r="B1310" s="3" t="s">
        <v>283</v>
      </c>
      <c r="C1310" s="3" t="s">
        <v>405</v>
      </c>
      <c r="D1310" s="3" t="s">
        <v>692</v>
      </c>
      <c r="E1310" s="3" t="s">
        <v>398</v>
      </c>
      <c r="F1310" s="16" t="n">
        <v>1</v>
      </c>
      <c r="G1310" s="15" t="n">
        <v>0</v>
      </c>
      <c r="H1310" s="16" t="n">
        <v>1</v>
      </c>
      <c r="I1310" s="33" t="n">
        <v>25888.8</v>
      </c>
      <c r="J1310" s="33" t="n">
        <v>25888.8</v>
      </c>
    </row>
    <row r="1311" customFormat="false" ht="15" hidden="false" customHeight="false" outlineLevel="0" collapsed="false">
      <c r="A1311" s="3" t="s">
        <v>1701</v>
      </c>
      <c r="B1311" s="3" t="s">
        <v>282</v>
      </c>
      <c r="C1311" s="3" t="s">
        <v>396</v>
      </c>
      <c r="D1311" s="3" t="s">
        <v>381</v>
      </c>
      <c r="E1311" s="3" t="s">
        <v>398</v>
      </c>
      <c r="F1311" s="16" t="n">
        <v>12</v>
      </c>
      <c r="G1311" s="15" t="n">
        <v>0.1</v>
      </c>
      <c r="H1311" s="16" t="n">
        <v>6</v>
      </c>
      <c r="I1311" s="33" t="n">
        <v>25856.04</v>
      </c>
      <c r="J1311" s="33" t="n">
        <v>28728.84</v>
      </c>
    </row>
    <row r="1312" customFormat="false" ht="15" hidden="false" customHeight="false" outlineLevel="0" collapsed="false">
      <c r="A1312" s="3" t="s">
        <v>1702</v>
      </c>
      <c r="B1312" s="3" t="s">
        <v>282</v>
      </c>
      <c r="C1312" s="3" t="s">
        <v>380</v>
      </c>
      <c r="D1312" s="3" t="s">
        <v>392</v>
      </c>
      <c r="E1312" s="3" t="s">
        <v>398</v>
      </c>
      <c r="F1312" s="16" t="n">
        <v>24</v>
      </c>
      <c r="G1312" s="15" t="n">
        <v>0</v>
      </c>
      <c r="H1312" s="16" t="n">
        <v>21</v>
      </c>
      <c r="I1312" s="33" t="n">
        <v>25854.12</v>
      </c>
      <c r="J1312" s="33" t="n">
        <v>25854.12</v>
      </c>
    </row>
    <row r="1313" customFormat="false" ht="15" hidden="false" customHeight="false" outlineLevel="0" collapsed="false">
      <c r="A1313" s="3" t="s">
        <v>1703</v>
      </c>
      <c r="B1313" s="3" t="s">
        <v>282</v>
      </c>
      <c r="C1313" s="3" t="s">
        <v>384</v>
      </c>
      <c r="D1313" s="3" t="s">
        <v>392</v>
      </c>
      <c r="E1313" s="3" t="s">
        <v>382</v>
      </c>
      <c r="F1313" s="16" t="n">
        <v>24</v>
      </c>
      <c r="G1313" s="15" t="n">
        <v>0</v>
      </c>
      <c r="H1313" s="16" t="n">
        <v>22</v>
      </c>
      <c r="I1313" s="33" t="n">
        <v>25851</v>
      </c>
      <c r="J1313" s="33" t="n">
        <v>25851</v>
      </c>
    </row>
    <row r="1314" customFormat="false" ht="15" hidden="false" customHeight="false" outlineLevel="0" collapsed="false">
      <c r="A1314" s="3" t="s">
        <v>1704</v>
      </c>
      <c r="B1314" s="3" t="s">
        <v>282</v>
      </c>
      <c r="C1314" s="3" t="s">
        <v>396</v>
      </c>
      <c r="D1314" s="3" t="s">
        <v>381</v>
      </c>
      <c r="E1314" s="3" t="s">
        <v>385</v>
      </c>
      <c r="F1314" s="16" t="n">
        <v>24</v>
      </c>
      <c r="G1314" s="15" t="n">
        <v>0</v>
      </c>
      <c r="H1314" s="16" t="n">
        <v>3</v>
      </c>
      <c r="I1314" s="33" t="n">
        <v>25745.28</v>
      </c>
      <c r="J1314" s="33" t="n">
        <v>25745.28</v>
      </c>
    </row>
    <row r="1315" customFormat="false" ht="15" hidden="false" customHeight="false" outlineLevel="0" collapsed="false">
      <c r="A1315" s="3" t="s">
        <v>1705</v>
      </c>
      <c r="B1315" s="3" t="s">
        <v>282</v>
      </c>
      <c r="C1315" s="3" t="s">
        <v>401</v>
      </c>
      <c r="D1315" s="3" t="s">
        <v>392</v>
      </c>
      <c r="E1315" s="3" t="s">
        <v>398</v>
      </c>
      <c r="F1315" s="16" t="n">
        <v>12</v>
      </c>
      <c r="G1315" s="15" t="n">
        <v>0</v>
      </c>
      <c r="H1315" s="16" t="n">
        <v>7</v>
      </c>
      <c r="I1315" s="33" t="n">
        <v>25735.2</v>
      </c>
      <c r="J1315" s="33" t="n">
        <v>25735.2</v>
      </c>
    </row>
    <row r="1316" customFormat="false" ht="15" hidden="false" customHeight="false" outlineLevel="0" collapsed="false">
      <c r="A1316" s="3" t="s">
        <v>1706</v>
      </c>
      <c r="B1316" s="3" t="s">
        <v>282</v>
      </c>
      <c r="C1316" s="3" t="s">
        <v>384</v>
      </c>
      <c r="D1316" s="3" t="s">
        <v>388</v>
      </c>
      <c r="E1316" s="3" t="s">
        <v>398</v>
      </c>
      <c r="F1316" s="16" t="n">
        <v>12</v>
      </c>
      <c r="G1316" s="15" t="n">
        <v>0</v>
      </c>
      <c r="H1316" s="16" t="n">
        <v>6</v>
      </c>
      <c r="I1316" s="33" t="n">
        <v>25732.8</v>
      </c>
      <c r="J1316" s="33" t="n">
        <v>25732.8</v>
      </c>
    </row>
    <row r="1317" customFormat="false" ht="15" hidden="false" customHeight="false" outlineLevel="0" collapsed="false">
      <c r="A1317" s="3" t="s">
        <v>1707</v>
      </c>
      <c r="B1317" s="3" t="s">
        <v>282</v>
      </c>
      <c r="C1317" s="3" t="s">
        <v>384</v>
      </c>
      <c r="D1317" s="3" t="s">
        <v>418</v>
      </c>
      <c r="E1317" s="3" t="s">
        <v>382</v>
      </c>
      <c r="F1317" s="16" t="n">
        <v>12</v>
      </c>
      <c r="G1317" s="15" t="n">
        <v>0.2</v>
      </c>
      <c r="H1317" s="16" t="n">
        <v>3</v>
      </c>
      <c r="I1317" s="33" t="n">
        <v>25723.2</v>
      </c>
      <c r="J1317" s="33" t="n">
        <v>32154</v>
      </c>
    </row>
    <row r="1318" customFormat="false" ht="15" hidden="false" customHeight="false" outlineLevel="0" collapsed="false">
      <c r="A1318" s="3" t="s">
        <v>1708</v>
      </c>
      <c r="B1318" s="3" t="s">
        <v>283</v>
      </c>
      <c r="C1318" s="3" t="s">
        <v>403</v>
      </c>
      <c r="D1318" s="3" t="s">
        <v>392</v>
      </c>
      <c r="E1318" s="3" t="s">
        <v>385</v>
      </c>
      <c r="F1318" s="16" t="n">
        <v>1</v>
      </c>
      <c r="G1318" s="15" t="n">
        <v>0</v>
      </c>
      <c r="H1318" s="16" t="n">
        <v>1</v>
      </c>
      <c r="I1318" s="33" t="n">
        <v>25718.76</v>
      </c>
      <c r="J1318" s="33" t="n">
        <v>25718.76</v>
      </c>
    </row>
    <row r="1319" customFormat="false" ht="15" hidden="false" customHeight="false" outlineLevel="0" collapsed="false">
      <c r="A1319" s="3" t="s">
        <v>1709</v>
      </c>
      <c r="B1319" s="3" t="s">
        <v>282</v>
      </c>
      <c r="C1319" s="3" t="s">
        <v>403</v>
      </c>
      <c r="D1319" s="3" t="s">
        <v>418</v>
      </c>
      <c r="E1319" s="3" t="s">
        <v>398</v>
      </c>
      <c r="F1319" s="16" t="n">
        <v>12</v>
      </c>
      <c r="G1319" s="15" t="n">
        <v>0</v>
      </c>
      <c r="H1319" s="16" t="n">
        <v>9</v>
      </c>
      <c r="I1319" s="33" t="n">
        <v>25683.84</v>
      </c>
      <c r="J1319" s="33" t="n">
        <v>25683.84</v>
      </c>
    </row>
    <row r="1320" customFormat="false" ht="15" hidden="false" customHeight="false" outlineLevel="0" collapsed="false">
      <c r="A1320" s="3" t="s">
        <v>1710</v>
      </c>
      <c r="B1320" s="3" t="s">
        <v>282</v>
      </c>
      <c r="C1320" s="3" t="s">
        <v>401</v>
      </c>
      <c r="D1320" s="3" t="s">
        <v>388</v>
      </c>
      <c r="E1320" s="3" t="s">
        <v>385</v>
      </c>
      <c r="F1320" s="16" t="n">
        <v>24</v>
      </c>
      <c r="G1320" s="15" t="n">
        <v>0</v>
      </c>
      <c r="H1320" s="16" t="n">
        <v>22</v>
      </c>
      <c r="I1320" s="33" t="n">
        <v>25673.04</v>
      </c>
      <c r="J1320" s="33" t="n">
        <v>25673.04</v>
      </c>
    </row>
    <row r="1321" customFormat="false" ht="15" hidden="false" customHeight="false" outlineLevel="0" collapsed="false">
      <c r="A1321" s="3" t="s">
        <v>1711</v>
      </c>
      <c r="B1321" s="3" t="s">
        <v>282</v>
      </c>
      <c r="C1321" s="3" t="s">
        <v>396</v>
      </c>
      <c r="D1321" s="3" t="s">
        <v>392</v>
      </c>
      <c r="E1321" s="3" t="s">
        <v>398</v>
      </c>
      <c r="F1321" s="16" t="n">
        <v>24</v>
      </c>
      <c r="G1321" s="15" t="n">
        <v>0</v>
      </c>
      <c r="H1321" s="16" t="n">
        <v>20</v>
      </c>
      <c r="I1321" s="33" t="n">
        <v>25671.84</v>
      </c>
      <c r="J1321" s="33" t="n">
        <v>25671.84</v>
      </c>
    </row>
    <row r="1322" customFormat="false" ht="15" hidden="false" customHeight="false" outlineLevel="0" collapsed="false">
      <c r="A1322" s="3" t="s">
        <v>1712</v>
      </c>
      <c r="B1322" s="3" t="s">
        <v>282</v>
      </c>
      <c r="C1322" s="3" t="s">
        <v>405</v>
      </c>
      <c r="D1322" s="3" t="s">
        <v>392</v>
      </c>
      <c r="E1322" s="3" t="s">
        <v>385</v>
      </c>
      <c r="F1322" s="16" t="n">
        <v>12</v>
      </c>
      <c r="G1322" s="15" t="n">
        <v>0</v>
      </c>
      <c r="H1322" s="16" t="n">
        <v>8</v>
      </c>
      <c r="I1322" s="33" t="n">
        <v>25656.12</v>
      </c>
      <c r="J1322" s="33" t="n">
        <v>25656.12</v>
      </c>
    </row>
    <row r="1323" customFormat="false" ht="15" hidden="false" customHeight="false" outlineLevel="0" collapsed="false">
      <c r="A1323" s="3" t="s">
        <v>1713</v>
      </c>
      <c r="B1323" s="3" t="s">
        <v>282</v>
      </c>
      <c r="C1323" s="3" t="s">
        <v>396</v>
      </c>
      <c r="D1323" s="3" t="s">
        <v>381</v>
      </c>
      <c r="E1323" s="3" t="s">
        <v>398</v>
      </c>
      <c r="F1323" s="16" t="n">
        <v>24</v>
      </c>
      <c r="G1323" s="15" t="n">
        <v>0.25</v>
      </c>
      <c r="H1323" s="16" t="n">
        <v>4</v>
      </c>
      <c r="I1323" s="33" t="n">
        <v>25607.16</v>
      </c>
      <c r="J1323" s="33" t="n">
        <v>34142.88</v>
      </c>
    </row>
    <row r="1324" customFormat="false" ht="15" hidden="false" customHeight="false" outlineLevel="0" collapsed="false">
      <c r="A1324" s="3" t="s">
        <v>1714</v>
      </c>
      <c r="B1324" s="3" t="s">
        <v>282</v>
      </c>
      <c r="C1324" s="3" t="s">
        <v>403</v>
      </c>
      <c r="D1324" s="3" t="s">
        <v>381</v>
      </c>
      <c r="E1324" s="3" t="s">
        <v>398</v>
      </c>
      <c r="F1324" s="16" t="n">
        <v>24</v>
      </c>
      <c r="G1324" s="15" t="n">
        <v>0</v>
      </c>
      <c r="H1324" s="16" t="n">
        <v>3</v>
      </c>
      <c r="I1324" s="33" t="n">
        <v>25573.56</v>
      </c>
      <c r="J1324" s="33" t="n">
        <v>25573.56</v>
      </c>
    </row>
    <row r="1325" customFormat="false" ht="15" hidden="false" customHeight="false" outlineLevel="0" collapsed="false">
      <c r="A1325" s="3" t="s">
        <v>1715</v>
      </c>
      <c r="B1325" s="3" t="s">
        <v>283</v>
      </c>
      <c r="C1325" s="3" t="s">
        <v>401</v>
      </c>
      <c r="D1325" s="3" t="s">
        <v>692</v>
      </c>
      <c r="E1325" s="3" t="s">
        <v>398</v>
      </c>
      <c r="F1325" s="16" t="n">
        <v>1</v>
      </c>
      <c r="G1325" s="15" t="n">
        <v>0</v>
      </c>
      <c r="H1325" s="16" t="n">
        <v>1</v>
      </c>
      <c r="I1325" s="33" t="n">
        <v>25560.48</v>
      </c>
      <c r="J1325" s="33" t="n">
        <v>25560.48</v>
      </c>
    </row>
    <row r="1326" customFormat="false" ht="15" hidden="false" customHeight="false" outlineLevel="0" collapsed="false">
      <c r="A1326" s="3" t="s">
        <v>1716</v>
      </c>
      <c r="B1326" s="3" t="s">
        <v>282</v>
      </c>
      <c r="C1326" s="3" t="s">
        <v>403</v>
      </c>
      <c r="D1326" s="3" t="s">
        <v>381</v>
      </c>
      <c r="E1326" s="3" t="s">
        <v>382</v>
      </c>
      <c r="F1326" s="16" t="n">
        <v>12</v>
      </c>
      <c r="G1326" s="15" t="n">
        <v>0</v>
      </c>
      <c r="H1326" s="16" t="n">
        <v>6</v>
      </c>
      <c r="I1326" s="33" t="n">
        <v>25491.36</v>
      </c>
      <c r="J1326" s="33" t="n">
        <v>25491.36</v>
      </c>
    </row>
    <row r="1327" customFormat="false" ht="15" hidden="false" customHeight="false" outlineLevel="0" collapsed="false">
      <c r="A1327" s="3" t="s">
        <v>1717</v>
      </c>
      <c r="B1327" s="3" t="s">
        <v>282</v>
      </c>
      <c r="C1327" s="3" t="s">
        <v>384</v>
      </c>
      <c r="D1327" s="3" t="s">
        <v>381</v>
      </c>
      <c r="E1327" s="3" t="s">
        <v>385</v>
      </c>
      <c r="F1327" s="16" t="n">
        <v>12</v>
      </c>
      <c r="G1327" s="15" t="n">
        <v>0.05</v>
      </c>
      <c r="H1327" s="16" t="n">
        <v>9</v>
      </c>
      <c r="I1327" s="33" t="n">
        <v>25458.24</v>
      </c>
      <c r="J1327" s="33" t="n">
        <v>26798.16</v>
      </c>
    </row>
    <row r="1328" customFormat="false" ht="15" hidden="false" customHeight="false" outlineLevel="0" collapsed="false">
      <c r="A1328" s="3" t="s">
        <v>1718</v>
      </c>
      <c r="B1328" s="3" t="s">
        <v>283</v>
      </c>
      <c r="C1328" s="3" t="s">
        <v>401</v>
      </c>
      <c r="D1328" s="3" t="s">
        <v>692</v>
      </c>
      <c r="E1328" s="3" t="s">
        <v>398</v>
      </c>
      <c r="F1328" s="16" t="n">
        <v>12</v>
      </c>
      <c r="G1328" s="15" t="n">
        <v>0</v>
      </c>
      <c r="H1328" s="16" t="n">
        <v>12</v>
      </c>
      <c r="I1328" s="33" t="n">
        <v>25429.08</v>
      </c>
      <c r="J1328" s="33" t="n">
        <v>25429.08</v>
      </c>
    </row>
    <row r="1329" customFormat="false" ht="15" hidden="false" customHeight="false" outlineLevel="0" collapsed="false">
      <c r="A1329" s="3" t="s">
        <v>1719</v>
      </c>
      <c r="B1329" s="3" t="s">
        <v>282</v>
      </c>
      <c r="C1329" s="3" t="s">
        <v>405</v>
      </c>
      <c r="D1329" s="3" t="s">
        <v>418</v>
      </c>
      <c r="E1329" s="3" t="s">
        <v>385</v>
      </c>
      <c r="F1329" s="16" t="n">
        <v>12</v>
      </c>
      <c r="G1329" s="15" t="n">
        <v>0.1</v>
      </c>
      <c r="H1329" s="16" t="n">
        <v>2</v>
      </c>
      <c r="I1329" s="33" t="n">
        <v>25419.48</v>
      </c>
      <c r="J1329" s="33" t="n">
        <v>28243.8</v>
      </c>
    </row>
    <row r="1330" customFormat="false" ht="15" hidden="false" customHeight="false" outlineLevel="0" collapsed="false">
      <c r="A1330" s="3" t="s">
        <v>1720</v>
      </c>
      <c r="B1330" s="3" t="s">
        <v>282</v>
      </c>
      <c r="C1330" s="3" t="s">
        <v>384</v>
      </c>
      <c r="D1330" s="3" t="s">
        <v>381</v>
      </c>
      <c r="E1330" s="3" t="s">
        <v>385</v>
      </c>
      <c r="F1330" s="16" t="n">
        <v>12</v>
      </c>
      <c r="G1330" s="15" t="n">
        <v>0.1</v>
      </c>
      <c r="H1330" s="16" t="n">
        <v>12</v>
      </c>
      <c r="I1330" s="33" t="n">
        <v>25414.92</v>
      </c>
      <c r="J1330" s="33" t="n">
        <v>28238.88</v>
      </c>
    </row>
    <row r="1331" customFormat="false" ht="15" hidden="false" customHeight="false" outlineLevel="0" collapsed="false">
      <c r="A1331" s="3" t="s">
        <v>1721</v>
      </c>
      <c r="B1331" s="3" t="s">
        <v>282</v>
      </c>
      <c r="C1331" s="3" t="s">
        <v>405</v>
      </c>
      <c r="D1331" s="3" t="s">
        <v>418</v>
      </c>
      <c r="E1331" s="3" t="s">
        <v>398</v>
      </c>
      <c r="F1331" s="16" t="n">
        <v>24</v>
      </c>
      <c r="G1331" s="15" t="n">
        <v>0</v>
      </c>
      <c r="H1331" s="16" t="n">
        <v>15</v>
      </c>
      <c r="I1331" s="33" t="n">
        <v>25380.96</v>
      </c>
      <c r="J1331" s="33" t="n">
        <v>25380.96</v>
      </c>
    </row>
    <row r="1332" customFormat="false" ht="15" hidden="false" customHeight="false" outlineLevel="0" collapsed="false">
      <c r="A1332" s="3" t="s">
        <v>1722</v>
      </c>
      <c r="B1332" s="3" t="s">
        <v>283</v>
      </c>
      <c r="C1332" s="3" t="s">
        <v>384</v>
      </c>
      <c r="D1332" s="3" t="s">
        <v>381</v>
      </c>
      <c r="E1332" s="3" t="s">
        <v>382</v>
      </c>
      <c r="F1332" s="16" t="n">
        <v>12</v>
      </c>
      <c r="G1332" s="15" t="n">
        <v>0</v>
      </c>
      <c r="H1332" s="16" t="n">
        <v>1</v>
      </c>
      <c r="I1332" s="33" t="n">
        <v>25337.4</v>
      </c>
      <c r="J1332" s="33" t="n">
        <v>25337.4</v>
      </c>
    </row>
    <row r="1333" customFormat="false" ht="15" hidden="false" customHeight="false" outlineLevel="0" collapsed="false">
      <c r="A1333" s="3" t="s">
        <v>1723</v>
      </c>
      <c r="B1333" s="3" t="s">
        <v>282</v>
      </c>
      <c r="C1333" s="3" t="s">
        <v>384</v>
      </c>
      <c r="D1333" s="3" t="s">
        <v>388</v>
      </c>
      <c r="E1333" s="3" t="s">
        <v>382</v>
      </c>
      <c r="F1333" s="16" t="n">
        <v>24</v>
      </c>
      <c r="G1333" s="15" t="n">
        <v>0</v>
      </c>
      <c r="H1333" s="16" t="n">
        <v>6</v>
      </c>
      <c r="I1333" s="33" t="n">
        <v>25275.6</v>
      </c>
      <c r="J1333" s="33" t="n">
        <v>25275.6</v>
      </c>
    </row>
    <row r="1334" customFormat="false" ht="15" hidden="false" customHeight="false" outlineLevel="0" collapsed="false">
      <c r="A1334" s="3" t="s">
        <v>1724</v>
      </c>
      <c r="B1334" s="3" t="s">
        <v>283</v>
      </c>
      <c r="C1334" s="3" t="s">
        <v>405</v>
      </c>
      <c r="D1334" s="3" t="s">
        <v>388</v>
      </c>
      <c r="E1334" s="3" t="s">
        <v>385</v>
      </c>
      <c r="F1334" s="16" t="n">
        <v>12</v>
      </c>
      <c r="G1334" s="15" t="n">
        <v>0</v>
      </c>
      <c r="H1334" s="16" t="n">
        <v>9</v>
      </c>
      <c r="I1334" s="33" t="n">
        <v>25253.4</v>
      </c>
      <c r="J1334" s="33" t="n">
        <v>25253.4</v>
      </c>
    </row>
    <row r="1335" customFormat="false" ht="15" hidden="false" customHeight="false" outlineLevel="0" collapsed="false">
      <c r="A1335" s="3" t="s">
        <v>1725</v>
      </c>
      <c r="B1335" s="3" t="s">
        <v>282</v>
      </c>
      <c r="C1335" s="3" t="s">
        <v>403</v>
      </c>
      <c r="D1335" s="3" t="s">
        <v>381</v>
      </c>
      <c r="E1335" s="3" t="s">
        <v>382</v>
      </c>
      <c r="F1335" s="16" t="n">
        <v>12</v>
      </c>
      <c r="G1335" s="15" t="n">
        <v>0.2</v>
      </c>
      <c r="H1335" s="16" t="n">
        <v>11</v>
      </c>
      <c r="I1335" s="33" t="n">
        <v>25224.84</v>
      </c>
      <c r="J1335" s="33" t="n">
        <v>31531.08</v>
      </c>
    </row>
    <row r="1336" customFormat="false" ht="15" hidden="false" customHeight="false" outlineLevel="0" collapsed="false">
      <c r="A1336" s="3" t="s">
        <v>1726</v>
      </c>
      <c r="B1336" s="3" t="s">
        <v>282</v>
      </c>
      <c r="C1336" s="3" t="s">
        <v>403</v>
      </c>
      <c r="D1336" s="3" t="s">
        <v>392</v>
      </c>
      <c r="E1336" s="3" t="s">
        <v>385</v>
      </c>
      <c r="F1336" s="16" t="n">
        <v>24</v>
      </c>
      <c r="G1336" s="15" t="n">
        <v>0.05</v>
      </c>
      <c r="H1336" s="16" t="n">
        <v>3</v>
      </c>
      <c r="I1336" s="33" t="n">
        <v>25192.08</v>
      </c>
      <c r="J1336" s="33" t="n">
        <v>26517.96</v>
      </c>
    </row>
    <row r="1337" customFormat="false" ht="15" hidden="false" customHeight="false" outlineLevel="0" collapsed="false">
      <c r="A1337" s="3" t="s">
        <v>1727</v>
      </c>
      <c r="B1337" s="3" t="s">
        <v>283</v>
      </c>
      <c r="C1337" s="3" t="s">
        <v>380</v>
      </c>
      <c r="D1337" s="3" t="s">
        <v>692</v>
      </c>
      <c r="E1337" s="3" t="s">
        <v>382</v>
      </c>
      <c r="F1337" s="16" t="n">
        <v>12</v>
      </c>
      <c r="G1337" s="15" t="n">
        <v>0</v>
      </c>
      <c r="H1337" s="16" t="n">
        <v>4</v>
      </c>
      <c r="I1337" s="33" t="n">
        <v>25191.84</v>
      </c>
      <c r="J1337" s="33" t="n">
        <v>25191.84</v>
      </c>
    </row>
    <row r="1338" customFormat="false" ht="15" hidden="false" customHeight="false" outlineLevel="0" collapsed="false">
      <c r="A1338" s="3" t="s">
        <v>1728</v>
      </c>
      <c r="B1338" s="3" t="s">
        <v>282</v>
      </c>
      <c r="C1338" s="3" t="s">
        <v>401</v>
      </c>
      <c r="D1338" s="3" t="s">
        <v>392</v>
      </c>
      <c r="E1338" s="3" t="s">
        <v>398</v>
      </c>
      <c r="F1338" s="16" t="n">
        <v>24</v>
      </c>
      <c r="G1338" s="15" t="n">
        <v>0</v>
      </c>
      <c r="H1338" s="16" t="n">
        <v>22</v>
      </c>
      <c r="I1338" s="33" t="n">
        <v>25158.72</v>
      </c>
      <c r="J1338" s="33" t="n">
        <v>25158.72</v>
      </c>
    </row>
    <row r="1339" customFormat="false" ht="15" hidden="false" customHeight="false" outlineLevel="0" collapsed="false">
      <c r="A1339" s="3" t="s">
        <v>1729</v>
      </c>
      <c r="B1339" s="3" t="s">
        <v>282</v>
      </c>
      <c r="C1339" s="3" t="s">
        <v>387</v>
      </c>
      <c r="D1339" s="3" t="s">
        <v>392</v>
      </c>
      <c r="E1339" s="3" t="s">
        <v>385</v>
      </c>
      <c r="F1339" s="16" t="n">
        <v>12</v>
      </c>
      <c r="G1339" s="15" t="n">
        <v>0</v>
      </c>
      <c r="H1339" s="16" t="n">
        <v>12</v>
      </c>
      <c r="I1339" s="33" t="n">
        <v>25120.68</v>
      </c>
      <c r="J1339" s="33" t="n">
        <v>25120.68</v>
      </c>
    </row>
    <row r="1340" customFormat="false" ht="15" hidden="false" customHeight="false" outlineLevel="0" collapsed="false">
      <c r="A1340" s="3" t="s">
        <v>1730</v>
      </c>
      <c r="B1340" s="3" t="s">
        <v>282</v>
      </c>
      <c r="C1340" s="3" t="s">
        <v>396</v>
      </c>
      <c r="D1340" s="3" t="s">
        <v>392</v>
      </c>
      <c r="E1340" s="3" t="s">
        <v>398</v>
      </c>
      <c r="F1340" s="16" t="n">
        <v>24</v>
      </c>
      <c r="G1340" s="15" t="n">
        <v>0</v>
      </c>
      <c r="H1340" s="16" t="n">
        <v>19</v>
      </c>
      <c r="I1340" s="33" t="n">
        <v>25076.88</v>
      </c>
      <c r="J1340" s="33" t="n">
        <v>25076.88</v>
      </c>
    </row>
    <row r="1341" customFormat="false" ht="15" hidden="false" customHeight="false" outlineLevel="0" collapsed="false">
      <c r="A1341" s="3" t="s">
        <v>1731</v>
      </c>
      <c r="B1341" s="3" t="s">
        <v>282</v>
      </c>
      <c r="C1341" s="3" t="s">
        <v>396</v>
      </c>
      <c r="D1341" s="3" t="s">
        <v>381</v>
      </c>
      <c r="E1341" s="3" t="s">
        <v>398</v>
      </c>
      <c r="F1341" s="16" t="n">
        <v>12</v>
      </c>
      <c r="G1341" s="15" t="n">
        <v>0.05</v>
      </c>
      <c r="H1341" s="16" t="n">
        <v>8</v>
      </c>
      <c r="I1341" s="33" t="n">
        <v>25067.76</v>
      </c>
      <c r="J1341" s="33" t="n">
        <v>26387.16</v>
      </c>
    </row>
    <row r="1342" customFormat="false" ht="15" hidden="false" customHeight="false" outlineLevel="0" collapsed="false">
      <c r="A1342" s="3" t="s">
        <v>1732</v>
      </c>
      <c r="B1342" s="3" t="s">
        <v>282</v>
      </c>
      <c r="C1342" s="3" t="s">
        <v>401</v>
      </c>
      <c r="D1342" s="3" t="s">
        <v>381</v>
      </c>
      <c r="E1342" s="3" t="s">
        <v>398</v>
      </c>
      <c r="F1342" s="16" t="n">
        <v>24</v>
      </c>
      <c r="G1342" s="15" t="n">
        <v>0</v>
      </c>
      <c r="H1342" s="16" t="n">
        <v>11</v>
      </c>
      <c r="I1342" s="33" t="n">
        <v>25056.72</v>
      </c>
      <c r="J1342" s="33" t="n">
        <v>25056.72</v>
      </c>
    </row>
    <row r="1343" customFormat="false" ht="15" hidden="false" customHeight="false" outlineLevel="0" collapsed="false">
      <c r="A1343" s="3" t="s">
        <v>1733</v>
      </c>
      <c r="B1343" s="3" t="s">
        <v>282</v>
      </c>
      <c r="C1343" s="3" t="s">
        <v>401</v>
      </c>
      <c r="D1343" s="3" t="s">
        <v>418</v>
      </c>
      <c r="E1343" s="3" t="s">
        <v>385</v>
      </c>
      <c r="F1343" s="16" t="n">
        <v>24</v>
      </c>
      <c r="G1343" s="15" t="n">
        <v>0</v>
      </c>
      <c r="H1343" s="16" t="n">
        <v>20</v>
      </c>
      <c r="I1343" s="33" t="n">
        <v>25043.16</v>
      </c>
      <c r="J1343" s="33" t="n">
        <v>25043.16</v>
      </c>
    </row>
    <row r="1344" customFormat="false" ht="15" hidden="false" customHeight="false" outlineLevel="0" collapsed="false">
      <c r="A1344" s="3" t="s">
        <v>1734</v>
      </c>
      <c r="B1344" s="3" t="s">
        <v>282</v>
      </c>
      <c r="C1344" s="3" t="s">
        <v>403</v>
      </c>
      <c r="D1344" s="3" t="s">
        <v>388</v>
      </c>
      <c r="E1344" s="3" t="s">
        <v>385</v>
      </c>
      <c r="F1344" s="16" t="n">
        <v>12</v>
      </c>
      <c r="G1344" s="15" t="n">
        <v>0</v>
      </c>
      <c r="H1344" s="16" t="n">
        <v>5</v>
      </c>
      <c r="I1344" s="33" t="n">
        <v>24879</v>
      </c>
      <c r="J1344" s="33" t="n">
        <v>24879</v>
      </c>
    </row>
    <row r="1345" customFormat="false" ht="15" hidden="false" customHeight="false" outlineLevel="0" collapsed="false">
      <c r="A1345" s="3" t="s">
        <v>1735</v>
      </c>
      <c r="B1345" s="3" t="s">
        <v>282</v>
      </c>
      <c r="C1345" s="3" t="s">
        <v>403</v>
      </c>
      <c r="D1345" s="3" t="s">
        <v>418</v>
      </c>
      <c r="E1345" s="3" t="s">
        <v>382</v>
      </c>
      <c r="F1345" s="16" t="n">
        <v>12</v>
      </c>
      <c r="G1345" s="15" t="n">
        <v>0</v>
      </c>
      <c r="H1345" s="16" t="n">
        <v>1</v>
      </c>
      <c r="I1345" s="33" t="n">
        <v>24849.84</v>
      </c>
      <c r="J1345" s="33" t="n">
        <v>24849.84</v>
      </c>
    </row>
    <row r="1346" customFormat="false" ht="15" hidden="false" customHeight="false" outlineLevel="0" collapsed="false">
      <c r="A1346" s="3" t="s">
        <v>1736</v>
      </c>
      <c r="B1346" s="3" t="s">
        <v>282</v>
      </c>
      <c r="C1346" s="3" t="s">
        <v>401</v>
      </c>
      <c r="D1346" s="3" t="s">
        <v>381</v>
      </c>
      <c r="E1346" s="3" t="s">
        <v>385</v>
      </c>
      <c r="F1346" s="16" t="n">
        <v>12</v>
      </c>
      <c r="G1346" s="15" t="n">
        <v>0.25</v>
      </c>
      <c r="H1346" s="16" t="n">
        <v>1</v>
      </c>
      <c r="I1346" s="33" t="n">
        <v>24794.64</v>
      </c>
      <c r="J1346" s="33" t="n">
        <v>33059.52</v>
      </c>
    </row>
    <row r="1347" customFormat="false" ht="15" hidden="false" customHeight="false" outlineLevel="0" collapsed="false">
      <c r="A1347" s="3" t="s">
        <v>1737</v>
      </c>
      <c r="B1347" s="3" t="s">
        <v>282</v>
      </c>
      <c r="C1347" s="3" t="s">
        <v>403</v>
      </c>
      <c r="D1347" s="3" t="s">
        <v>381</v>
      </c>
      <c r="E1347" s="3" t="s">
        <v>385</v>
      </c>
      <c r="F1347" s="16" t="n">
        <v>12</v>
      </c>
      <c r="G1347" s="15" t="n">
        <v>0</v>
      </c>
      <c r="H1347" s="16" t="n">
        <v>11</v>
      </c>
      <c r="I1347" s="33" t="n">
        <v>24761.88</v>
      </c>
      <c r="J1347" s="33" t="n">
        <v>24761.88</v>
      </c>
    </row>
    <row r="1348" customFormat="false" ht="15" hidden="false" customHeight="false" outlineLevel="0" collapsed="false">
      <c r="A1348" s="3" t="s">
        <v>1738</v>
      </c>
      <c r="B1348" s="3" t="s">
        <v>282</v>
      </c>
      <c r="C1348" s="3" t="s">
        <v>387</v>
      </c>
      <c r="D1348" s="3" t="s">
        <v>381</v>
      </c>
      <c r="E1348" s="3" t="s">
        <v>398</v>
      </c>
      <c r="F1348" s="16" t="n">
        <v>24</v>
      </c>
      <c r="G1348" s="15" t="n">
        <v>0</v>
      </c>
      <c r="H1348" s="16" t="n">
        <v>7</v>
      </c>
      <c r="I1348" s="33" t="n">
        <v>24756.48</v>
      </c>
      <c r="J1348" s="33" t="n">
        <v>24756.48</v>
      </c>
    </row>
    <row r="1349" customFormat="false" ht="15" hidden="false" customHeight="false" outlineLevel="0" collapsed="false">
      <c r="A1349" s="3" t="s">
        <v>1739</v>
      </c>
      <c r="B1349" s="3" t="s">
        <v>282</v>
      </c>
      <c r="C1349" s="3" t="s">
        <v>380</v>
      </c>
      <c r="D1349" s="3" t="s">
        <v>381</v>
      </c>
      <c r="E1349" s="3" t="s">
        <v>385</v>
      </c>
      <c r="F1349" s="16" t="n">
        <v>24</v>
      </c>
      <c r="G1349" s="15" t="n">
        <v>0</v>
      </c>
      <c r="H1349" s="16" t="n">
        <v>22</v>
      </c>
      <c r="I1349" s="33" t="n">
        <v>24734.52</v>
      </c>
      <c r="J1349" s="33" t="n">
        <v>24734.52</v>
      </c>
    </row>
    <row r="1350" customFormat="false" ht="15" hidden="false" customHeight="false" outlineLevel="0" collapsed="false">
      <c r="A1350" s="3" t="s">
        <v>1740</v>
      </c>
      <c r="B1350" s="3" t="s">
        <v>283</v>
      </c>
      <c r="C1350" s="3" t="s">
        <v>387</v>
      </c>
      <c r="D1350" s="3" t="s">
        <v>692</v>
      </c>
      <c r="E1350" s="3" t="s">
        <v>398</v>
      </c>
      <c r="F1350" s="16" t="n">
        <v>1</v>
      </c>
      <c r="G1350" s="15" t="n">
        <v>0</v>
      </c>
      <c r="H1350" s="16" t="n">
        <v>1</v>
      </c>
      <c r="I1350" s="33" t="n">
        <v>24709.32</v>
      </c>
      <c r="J1350" s="33" t="n">
        <v>24709.32</v>
      </c>
    </row>
    <row r="1351" customFormat="false" ht="15" hidden="false" customHeight="false" outlineLevel="0" collapsed="false">
      <c r="A1351" s="3" t="s">
        <v>1741</v>
      </c>
      <c r="B1351" s="3" t="s">
        <v>283</v>
      </c>
      <c r="C1351" s="3" t="s">
        <v>403</v>
      </c>
      <c r="D1351" s="3" t="s">
        <v>418</v>
      </c>
      <c r="E1351" s="3" t="s">
        <v>398</v>
      </c>
      <c r="F1351" s="16" t="n">
        <v>1</v>
      </c>
      <c r="G1351" s="15" t="n">
        <v>0</v>
      </c>
      <c r="H1351" s="16" t="n">
        <v>1</v>
      </c>
      <c r="I1351" s="33" t="n">
        <v>24680.88</v>
      </c>
      <c r="J1351" s="33" t="n">
        <v>24680.88</v>
      </c>
    </row>
    <row r="1352" customFormat="false" ht="15" hidden="false" customHeight="false" outlineLevel="0" collapsed="false">
      <c r="A1352" s="3" t="s">
        <v>1742</v>
      </c>
      <c r="B1352" s="3" t="s">
        <v>282</v>
      </c>
      <c r="C1352" s="3" t="s">
        <v>403</v>
      </c>
      <c r="D1352" s="3" t="s">
        <v>392</v>
      </c>
      <c r="E1352" s="3" t="s">
        <v>382</v>
      </c>
      <c r="F1352" s="16" t="n">
        <v>12</v>
      </c>
      <c r="G1352" s="15" t="n">
        <v>0</v>
      </c>
      <c r="H1352" s="16" t="n">
        <v>9</v>
      </c>
      <c r="I1352" s="33" t="n">
        <v>24659.52</v>
      </c>
      <c r="J1352" s="33" t="n">
        <v>24659.52</v>
      </c>
    </row>
    <row r="1353" customFormat="false" ht="15" hidden="false" customHeight="false" outlineLevel="0" collapsed="false">
      <c r="A1353" s="3" t="s">
        <v>1743</v>
      </c>
      <c r="B1353" s="3" t="s">
        <v>282</v>
      </c>
      <c r="C1353" s="3" t="s">
        <v>384</v>
      </c>
      <c r="D1353" s="3" t="s">
        <v>381</v>
      </c>
      <c r="E1353" s="3" t="s">
        <v>398</v>
      </c>
      <c r="F1353" s="16" t="n">
        <v>24</v>
      </c>
      <c r="G1353" s="15" t="n">
        <v>0.3</v>
      </c>
      <c r="H1353" s="16" t="n">
        <v>11</v>
      </c>
      <c r="I1353" s="33" t="n">
        <v>24651.36</v>
      </c>
      <c r="J1353" s="33" t="n">
        <v>35216.28</v>
      </c>
    </row>
    <row r="1354" customFormat="false" ht="15" hidden="false" customHeight="false" outlineLevel="0" collapsed="false">
      <c r="A1354" s="3" t="s">
        <v>1744</v>
      </c>
      <c r="B1354" s="3" t="s">
        <v>283</v>
      </c>
      <c r="C1354" s="3" t="s">
        <v>387</v>
      </c>
      <c r="D1354" s="3" t="s">
        <v>392</v>
      </c>
      <c r="E1354" s="3" t="s">
        <v>398</v>
      </c>
      <c r="F1354" s="16" t="n">
        <v>1</v>
      </c>
      <c r="G1354" s="15" t="n">
        <v>0</v>
      </c>
      <c r="H1354" s="16" t="n">
        <v>1</v>
      </c>
      <c r="I1354" s="33" t="n">
        <v>24640.8</v>
      </c>
      <c r="J1354" s="33" t="n">
        <v>24640.8</v>
      </c>
    </row>
    <row r="1355" customFormat="false" ht="15" hidden="false" customHeight="false" outlineLevel="0" collapsed="false">
      <c r="A1355" s="3" t="s">
        <v>1745</v>
      </c>
      <c r="B1355" s="3" t="s">
        <v>282</v>
      </c>
      <c r="C1355" s="3" t="s">
        <v>396</v>
      </c>
      <c r="D1355" s="3" t="s">
        <v>381</v>
      </c>
      <c r="E1355" s="3" t="s">
        <v>382</v>
      </c>
      <c r="F1355" s="16" t="n">
        <v>24</v>
      </c>
      <c r="G1355" s="15" t="n">
        <v>0</v>
      </c>
      <c r="H1355" s="16" t="n">
        <v>12</v>
      </c>
      <c r="I1355" s="33" t="n">
        <v>24621.24</v>
      </c>
      <c r="J1355" s="33" t="n">
        <v>24621.24</v>
      </c>
    </row>
    <row r="1356" customFormat="false" ht="15" hidden="false" customHeight="false" outlineLevel="0" collapsed="false">
      <c r="A1356" s="3" t="s">
        <v>1746</v>
      </c>
      <c r="B1356" s="3" t="s">
        <v>283</v>
      </c>
      <c r="C1356" s="3" t="s">
        <v>405</v>
      </c>
      <c r="D1356" s="3" t="s">
        <v>692</v>
      </c>
      <c r="E1356" s="3" t="s">
        <v>398</v>
      </c>
      <c r="F1356" s="16" t="n">
        <v>12</v>
      </c>
      <c r="G1356" s="15" t="n">
        <v>0</v>
      </c>
      <c r="H1356" s="16" t="n">
        <v>12</v>
      </c>
      <c r="I1356" s="33" t="n">
        <v>24498.6</v>
      </c>
      <c r="J1356" s="33" t="n">
        <v>24498.6</v>
      </c>
    </row>
    <row r="1357" customFormat="false" ht="15" hidden="false" customHeight="false" outlineLevel="0" collapsed="false">
      <c r="A1357" s="3" t="s">
        <v>1747</v>
      </c>
      <c r="B1357" s="3" t="s">
        <v>282</v>
      </c>
      <c r="C1357" s="3" t="s">
        <v>396</v>
      </c>
      <c r="D1357" s="3" t="s">
        <v>392</v>
      </c>
      <c r="E1357" s="3" t="s">
        <v>398</v>
      </c>
      <c r="F1357" s="16" t="n">
        <v>12</v>
      </c>
      <c r="G1357" s="15" t="n">
        <v>0</v>
      </c>
      <c r="H1357" s="16" t="n">
        <v>6</v>
      </c>
      <c r="I1357" s="33" t="n">
        <v>24469.92</v>
      </c>
      <c r="J1357" s="33" t="n">
        <v>24469.92</v>
      </c>
    </row>
    <row r="1358" customFormat="false" ht="15" hidden="false" customHeight="false" outlineLevel="0" collapsed="false">
      <c r="A1358" s="3" t="s">
        <v>1748</v>
      </c>
      <c r="B1358" s="3" t="s">
        <v>283</v>
      </c>
      <c r="C1358" s="3" t="s">
        <v>405</v>
      </c>
      <c r="D1358" s="3" t="s">
        <v>692</v>
      </c>
      <c r="E1358" s="3" t="s">
        <v>398</v>
      </c>
      <c r="F1358" s="16" t="n">
        <v>12</v>
      </c>
      <c r="G1358" s="15" t="n">
        <v>0</v>
      </c>
      <c r="H1358" s="16" t="n">
        <v>2</v>
      </c>
      <c r="I1358" s="33" t="n">
        <v>24462.6</v>
      </c>
      <c r="J1358" s="33" t="n">
        <v>24462.6</v>
      </c>
    </row>
    <row r="1359" customFormat="false" ht="15" hidden="false" customHeight="false" outlineLevel="0" collapsed="false">
      <c r="A1359" s="3" t="s">
        <v>1749</v>
      </c>
      <c r="B1359" s="3" t="s">
        <v>282</v>
      </c>
      <c r="C1359" s="3" t="s">
        <v>384</v>
      </c>
      <c r="D1359" s="3" t="s">
        <v>392</v>
      </c>
      <c r="E1359" s="3" t="s">
        <v>398</v>
      </c>
      <c r="F1359" s="16" t="n">
        <v>24</v>
      </c>
      <c r="G1359" s="15" t="n">
        <v>0</v>
      </c>
      <c r="H1359" s="16" t="n">
        <v>10</v>
      </c>
      <c r="I1359" s="33" t="n">
        <v>24431.88</v>
      </c>
      <c r="J1359" s="33" t="n">
        <v>24431.88</v>
      </c>
    </row>
    <row r="1360" customFormat="false" ht="15" hidden="false" customHeight="false" outlineLevel="0" collapsed="false">
      <c r="A1360" s="3" t="s">
        <v>1750</v>
      </c>
      <c r="B1360" s="3" t="s">
        <v>283</v>
      </c>
      <c r="C1360" s="3" t="s">
        <v>380</v>
      </c>
      <c r="D1360" s="3" t="s">
        <v>692</v>
      </c>
      <c r="E1360" s="3" t="s">
        <v>382</v>
      </c>
      <c r="F1360" s="16" t="n">
        <v>1</v>
      </c>
      <c r="G1360" s="15" t="n">
        <v>0.1</v>
      </c>
      <c r="H1360" s="16" t="n">
        <v>1</v>
      </c>
      <c r="I1360" s="33" t="n">
        <v>24406.08</v>
      </c>
      <c r="J1360" s="33" t="n">
        <v>27117.96</v>
      </c>
    </row>
    <row r="1361" customFormat="false" ht="15" hidden="false" customHeight="false" outlineLevel="0" collapsed="false">
      <c r="A1361" s="3" t="s">
        <v>1751</v>
      </c>
      <c r="B1361" s="3" t="s">
        <v>282</v>
      </c>
      <c r="C1361" s="3" t="s">
        <v>384</v>
      </c>
      <c r="D1361" s="3" t="s">
        <v>392</v>
      </c>
      <c r="E1361" s="3" t="s">
        <v>398</v>
      </c>
      <c r="F1361" s="16" t="n">
        <v>12</v>
      </c>
      <c r="G1361" s="15" t="n">
        <v>0</v>
      </c>
      <c r="H1361" s="16" t="n">
        <v>9</v>
      </c>
      <c r="I1361" s="33" t="n">
        <v>24392.52</v>
      </c>
      <c r="J1361" s="33" t="n">
        <v>24392.52</v>
      </c>
    </row>
    <row r="1362" customFormat="false" ht="15" hidden="false" customHeight="false" outlineLevel="0" collapsed="false">
      <c r="A1362" s="3" t="s">
        <v>1752</v>
      </c>
      <c r="B1362" s="3" t="s">
        <v>283</v>
      </c>
      <c r="C1362" s="3" t="s">
        <v>380</v>
      </c>
      <c r="D1362" s="3" t="s">
        <v>392</v>
      </c>
      <c r="E1362" s="3" t="s">
        <v>398</v>
      </c>
      <c r="F1362" s="16" t="n">
        <v>1</v>
      </c>
      <c r="G1362" s="15" t="n">
        <v>0</v>
      </c>
      <c r="H1362" s="16" t="n">
        <v>1</v>
      </c>
      <c r="I1362" s="33" t="n">
        <v>24382.92</v>
      </c>
      <c r="J1362" s="33" t="n">
        <v>24382.92</v>
      </c>
    </row>
    <row r="1363" customFormat="false" ht="15" hidden="false" customHeight="false" outlineLevel="0" collapsed="false">
      <c r="A1363" s="3" t="s">
        <v>1753</v>
      </c>
      <c r="B1363" s="3" t="s">
        <v>283</v>
      </c>
      <c r="C1363" s="3" t="s">
        <v>403</v>
      </c>
      <c r="D1363" s="3" t="s">
        <v>692</v>
      </c>
      <c r="E1363" s="3" t="s">
        <v>382</v>
      </c>
      <c r="F1363" s="16" t="n">
        <v>12</v>
      </c>
      <c r="G1363" s="15" t="n">
        <v>0.1</v>
      </c>
      <c r="H1363" s="16" t="n">
        <v>1</v>
      </c>
      <c r="I1363" s="33" t="n">
        <v>24372.24</v>
      </c>
      <c r="J1363" s="33" t="n">
        <v>27080.28</v>
      </c>
    </row>
    <row r="1364" customFormat="false" ht="15" hidden="false" customHeight="false" outlineLevel="0" collapsed="false">
      <c r="A1364" s="3" t="s">
        <v>1754</v>
      </c>
      <c r="B1364" s="3" t="s">
        <v>282</v>
      </c>
      <c r="C1364" s="3" t="s">
        <v>401</v>
      </c>
      <c r="D1364" s="3" t="s">
        <v>381</v>
      </c>
      <c r="E1364" s="3" t="s">
        <v>385</v>
      </c>
      <c r="F1364" s="16" t="n">
        <v>12</v>
      </c>
      <c r="G1364" s="15" t="n">
        <v>0.1</v>
      </c>
      <c r="H1364" s="16" t="n">
        <v>10</v>
      </c>
      <c r="I1364" s="33" t="n">
        <v>24370.56</v>
      </c>
      <c r="J1364" s="33" t="n">
        <v>27078.36</v>
      </c>
    </row>
    <row r="1365" customFormat="false" ht="15" hidden="false" customHeight="false" outlineLevel="0" collapsed="false">
      <c r="A1365" s="3" t="s">
        <v>1755</v>
      </c>
      <c r="B1365" s="3" t="s">
        <v>282</v>
      </c>
      <c r="C1365" s="3" t="s">
        <v>401</v>
      </c>
      <c r="D1365" s="3" t="s">
        <v>381</v>
      </c>
      <c r="E1365" s="3" t="s">
        <v>398</v>
      </c>
      <c r="F1365" s="16" t="n">
        <v>12</v>
      </c>
      <c r="G1365" s="15" t="n">
        <v>0.15</v>
      </c>
      <c r="H1365" s="16" t="n">
        <v>10</v>
      </c>
      <c r="I1365" s="33" t="n">
        <v>24358.32</v>
      </c>
      <c r="J1365" s="33" t="n">
        <v>28656.84</v>
      </c>
    </row>
    <row r="1366" customFormat="false" ht="15" hidden="false" customHeight="false" outlineLevel="0" collapsed="false">
      <c r="A1366" s="3" t="s">
        <v>1756</v>
      </c>
      <c r="B1366" s="3" t="s">
        <v>282</v>
      </c>
      <c r="C1366" s="3" t="s">
        <v>380</v>
      </c>
      <c r="D1366" s="3" t="s">
        <v>388</v>
      </c>
      <c r="E1366" s="3" t="s">
        <v>385</v>
      </c>
      <c r="F1366" s="16" t="n">
        <v>12</v>
      </c>
      <c r="G1366" s="15" t="n">
        <v>0.1</v>
      </c>
      <c r="H1366" s="16" t="n">
        <v>3</v>
      </c>
      <c r="I1366" s="33" t="n">
        <v>24357.36</v>
      </c>
      <c r="J1366" s="33" t="n">
        <v>27063.72</v>
      </c>
    </row>
    <row r="1367" customFormat="false" ht="15" hidden="false" customHeight="false" outlineLevel="0" collapsed="false">
      <c r="A1367" s="3" t="s">
        <v>1757</v>
      </c>
      <c r="B1367" s="3" t="s">
        <v>282</v>
      </c>
      <c r="C1367" s="3" t="s">
        <v>405</v>
      </c>
      <c r="D1367" s="3" t="s">
        <v>392</v>
      </c>
      <c r="E1367" s="3" t="s">
        <v>398</v>
      </c>
      <c r="F1367" s="16" t="n">
        <v>12</v>
      </c>
      <c r="G1367" s="15" t="n">
        <v>0</v>
      </c>
      <c r="H1367" s="16" t="n">
        <v>6</v>
      </c>
      <c r="I1367" s="33" t="n">
        <v>24321.24</v>
      </c>
      <c r="J1367" s="33" t="n">
        <v>24321.24</v>
      </c>
    </row>
    <row r="1368" customFormat="false" ht="15" hidden="false" customHeight="false" outlineLevel="0" collapsed="false">
      <c r="A1368" s="3" t="s">
        <v>1758</v>
      </c>
      <c r="B1368" s="3" t="s">
        <v>283</v>
      </c>
      <c r="C1368" s="3" t="s">
        <v>405</v>
      </c>
      <c r="D1368" s="3" t="s">
        <v>692</v>
      </c>
      <c r="E1368" s="3" t="s">
        <v>398</v>
      </c>
      <c r="F1368" s="16" t="n">
        <v>12</v>
      </c>
      <c r="G1368" s="15" t="n">
        <v>0</v>
      </c>
      <c r="H1368" s="16" t="n">
        <v>2</v>
      </c>
      <c r="I1368" s="33" t="n">
        <v>24254.04</v>
      </c>
      <c r="J1368" s="33" t="n">
        <v>24254.04</v>
      </c>
    </row>
    <row r="1369" customFormat="false" ht="15" hidden="false" customHeight="false" outlineLevel="0" collapsed="false">
      <c r="A1369" s="3" t="s">
        <v>1759</v>
      </c>
      <c r="B1369" s="3" t="s">
        <v>282</v>
      </c>
      <c r="C1369" s="3" t="s">
        <v>396</v>
      </c>
      <c r="D1369" s="3" t="s">
        <v>392</v>
      </c>
      <c r="E1369" s="3" t="s">
        <v>385</v>
      </c>
      <c r="F1369" s="16" t="n">
        <v>24</v>
      </c>
      <c r="G1369" s="15" t="n">
        <v>0</v>
      </c>
      <c r="H1369" s="16" t="n">
        <v>1</v>
      </c>
      <c r="I1369" s="33" t="n">
        <v>24251.16</v>
      </c>
      <c r="J1369" s="33" t="n">
        <v>24251.16</v>
      </c>
    </row>
    <row r="1370" customFormat="false" ht="15" hidden="false" customHeight="false" outlineLevel="0" collapsed="false">
      <c r="A1370" s="3" t="s">
        <v>1760</v>
      </c>
      <c r="B1370" s="3" t="s">
        <v>283</v>
      </c>
      <c r="C1370" s="3" t="s">
        <v>401</v>
      </c>
      <c r="D1370" s="3" t="s">
        <v>692</v>
      </c>
      <c r="E1370" s="3" t="s">
        <v>398</v>
      </c>
      <c r="F1370" s="16" t="n">
        <v>1</v>
      </c>
      <c r="G1370" s="15" t="n">
        <v>0</v>
      </c>
      <c r="H1370" s="16" t="n">
        <v>1</v>
      </c>
      <c r="I1370" s="33" t="n">
        <v>24192</v>
      </c>
      <c r="J1370" s="33" t="n">
        <v>24192</v>
      </c>
    </row>
    <row r="1371" customFormat="false" ht="15" hidden="false" customHeight="false" outlineLevel="0" collapsed="false">
      <c r="A1371" s="3" t="s">
        <v>1761</v>
      </c>
      <c r="B1371" s="3" t="s">
        <v>282</v>
      </c>
      <c r="C1371" s="3" t="s">
        <v>396</v>
      </c>
      <c r="D1371" s="3" t="s">
        <v>381</v>
      </c>
      <c r="E1371" s="3" t="s">
        <v>382</v>
      </c>
      <c r="F1371" s="16" t="n">
        <v>24</v>
      </c>
      <c r="G1371" s="15" t="n">
        <v>0</v>
      </c>
      <c r="H1371" s="16" t="n">
        <v>20</v>
      </c>
      <c r="I1371" s="33" t="n">
        <v>24129.72</v>
      </c>
      <c r="J1371" s="33" t="n">
        <v>24129.72</v>
      </c>
    </row>
    <row r="1372" customFormat="false" ht="15" hidden="false" customHeight="false" outlineLevel="0" collapsed="false">
      <c r="A1372" s="3" t="s">
        <v>1762</v>
      </c>
      <c r="B1372" s="3" t="s">
        <v>283</v>
      </c>
      <c r="C1372" s="3" t="s">
        <v>396</v>
      </c>
      <c r="D1372" s="3" t="s">
        <v>381</v>
      </c>
      <c r="E1372" s="3" t="s">
        <v>398</v>
      </c>
      <c r="F1372" s="16" t="n">
        <v>12</v>
      </c>
      <c r="G1372" s="15" t="n">
        <v>0</v>
      </c>
      <c r="H1372" s="16" t="n">
        <v>3</v>
      </c>
      <c r="I1372" s="33" t="n">
        <v>24115.2</v>
      </c>
      <c r="J1372" s="33" t="n">
        <v>24115.2</v>
      </c>
    </row>
    <row r="1373" customFormat="false" ht="15" hidden="false" customHeight="false" outlineLevel="0" collapsed="false">
      <c r="A1373" s="3" t="s">
        <v>1763</v>
      </c>
      <c r="B1373" s="3" t="s">
        <v>283</v>
      </c>
      <c r="C1373" s="3" t="s">
        <v>405</v>
      </c>
      <c r="D1373" s="3" t="s">
        <v>418</v>
      </c>
      <c r="E1373" s="3" t="s">
        <v>398</v>
      </c>
      <c r="F1373" s="16" t="n">
        <v>1</v>
      </c>
      <c r="G1373" s="15" t="n">
        <v>0</v>
      </c>
      <c r="H1373" s="16" t="n">
        <v>1</v>
      </c>
      <c r="I1373" s="33" t="n">
        <v>24102.72</v>
      </c>
      <c r="J1373" s="33" t="n">
        <v>24102.72</v>
      </c>
    </row>
    <row r="1374" customFormat="false" ht="15" hidden="false" customHeight="false" outlineLevel="0" collapsed="false">
      <c r="A1374" s="3" t="s">
        <v>1764</v>
      </c>
      <c r="B1374" s="3" t="s">
        <v>283</v>
      </c>
      <c r="C1374" s="3" t="s">
        <v>387</v>
      </c>
      <c r="D1374" s="3" t="s">
        <v>381</v>
      </c>
      <c r="E1374" s="3" t="s">
        <v>382</v>
      </c>
      <c r="F1374" s="16" t="n">
        <v>12</v>
      </c>
      <c r="G1374" s="15" t="n">
        <v>0</v>
      </c>
      <c r="H1374" s="16" t="n">
        <v>11</v>
      </c>
      <c r="I1374" s="33" t="n">
        <v>24063.24</v>
      </c>
      <c r="J1374" s="33" t="n">
        <v>24063.24</v>
      </c>
    </row>
    <row r="1375" customFormat="false" ht="15" hidden="false" customHeight="false" outlineLevel="0" collapsed="false">
      <c r="A1375" s="3" t="s">
        <v>1765</v>
      </c>
      <c r="B1375" s="3" t="s">
        <v>282</v>
      </c>
      <c r="C1375" s="3" t="s">
        <v>405</v>
      </c>
      <c r="D1375" s="3" t="s">
        <v>418</v>
      </c>
      <c r="E1375" s="3" t="s">
        <v>385</v>
      </c>
      <c r="F1375" s="16" t="n">
        <v>24</v>
      </c>
      <c r="G1375" s="15" t="n">
        <v>0</v>
      </c>
      <c r="H1375" s="16" t="n">
        <v>18</v>
      </c>
      <c r="I1375" s="33" t="n">
        <v>24023.28</v>
      </c>
      <c r="J1375" s="33" t="n">
        <v>24023.28</v>
      </c>
    </row>
    <row r="1376" customFormat="false" ht="15" hidden="false" customHeight="false" outlineLevel="0" collapsed="false">
      <c r="A1376" s="3" t="s">
        <v>1766</v>
      </c>
      <c r="B1376" s="3" t="s">
        <v>282</v>
      </c>
      <c r="C1376" s="3" t="s">
        <v>405</v>
      </c>
      <c r="D1376" s="3" t="s">
        <v>418</v>
      </c>
      <c r="E1376" s="3" t="s">
        <v>385</v>
      </c>
      <c r="F1376" s="16" t="n">
        <v>12</v>
      </c>
      <c r="G1376" s="15" t="n">
        <v>0</v>
      </c>
      <c r="H1376" s="16" t="n">
        <v>2</v>
      </c>
      <c r="I1376" s="33" t="n">
        <v>24001.92</v>
      </c>
      <c r="J1376" s="33" t="n">
        <v>24001.92</v>
      </c>
    </row>
    <row r="1377" customFormat="false" ht="15" hidden="false" customHeight="false" outlineLevel="0" collapsed="false">
      <c r="A1377" s="3" t="s">
        <v>1767</v>
      </c>
      <c r="B1377" s="3" t="s">
        <v>282</v>
      </c>
      <c r="C1377" s="3" t="s">
        <v>384</v>
      </c>
      <c r="D1377" s="3" t="s">
        <v>392</v>
      </c>
      <c r="E1377" s="3" t="s">
        <v>385</v>
      </c>
      <c r="F1377" s="16" t="n">
        <v>12</v>
      </c>
      <c r="G1377" s="15" t="n">
        <v>0</v>
      </c>
      <c r="H1377" s="16" t="n">
        <v>8</v>
      </c>
      <c r="I1377" s="33" t="n">
        <v>23979.72</v>
      </c>
      <c r="J1377" s="33" t="n">
        <v>23979.72</v>
      </c>
    </row>
    <row r="1378" customFormat="false" ht="15" hidden="false" customHeight="false" outlineLevel="0" collapsed="false">
      <c r="A1378" s="3" t="s">
        <v>1768</v>
      </c>
      <c r="B1378" s="3" t="s">
        <v>282</v>
      </c>
      <c r="C1378" s="3" t="s">
        <v>396</v>
      </c>
      <c r="D1378" s="3" t="s">
        <v>392</v>
      </c>
      <c r="E1378" s="3" t="s">
        <v>398</v>
      </c>
      <c r="F1378" s="16" t="n">
        <v>12</v>
      </c>
      <c r="G1378" s="15" t="n">
        <v>0.1</v>
      </c>
      <c r="H1378" s="16" t="n">
        <v>12</v>
      </c>
      <c r="I1378" s="33" t="n">
        <v>23968.8</v>
      </c>
      <c r="J1378" s="33" t="n">
        <v>26631.96</v>
      </c>
    </row>
    <row r="1379" customFormat="false" ht="15" hidden="false" customHeight="false" outlineLevel="0" collapsed="false">
      <c r="A1379" s="3" t="s">
        <v>1769</v>
      </c>
      <c r="B1379" s="3" t="s">
        <v>282</v>
      </c>
      <c r="C1379" s="3" t="s">
        <v>405</v>
      </c>
      <c r="D1379" s="3" t="s">
        <v>418</v>
      </c>
      <c r="E1379" s="3" t="s">
        <v>398</v>
      </c>
      <c r="F1379" s="16" t="n">
        <v>24</v>
      </c>
      <c r="G1379" s="15" t="n">
        <v>0</v>
      </c>
      <c r="H1379" s="16" t="n">
        <v>16</v>
      </c>
      <c r="I1379" s="33" t="n">
        <v>23959.8</v>
      </c>
      <c r="J1379" s="33" t="n">
        <v>23959.8</v>
      </c>
    </row>
    <row r="1380" customFormat="false" ht="15" hidden="false" customHeight="false" outlineLevel="0" collapsed="false">
      <c r="A1380" s="3" t="s">
        <v>1770</v>
      </c>
      <c r="B1380" s="3" t="s">
        <v>282</v>
      </c>
      <c r="C1380" s="3" t="s">
        <v>403</v>
      </c>
      <c r="D1380" s="3" t="s">
        <v>692</v>
      </c>
      <c r="E1380" s="3" t="s">
        <v>398</v>
      </c>
      <c r="F1380" s="16" t="n">
        <v>12</v>
      </c>
      <c r="G1380" s="15" t="n">
        <v>0</v>
      </c>
      <c r="H1380" s="16" t="n">
        <v>4</v>
      </c>
      <c r="I1380" s="33" t="n">
        <v>23918.52</v>
      </c>
      <c r="J1380" s="33" t="n">
        <v>23918.52</v>
      </c>
    </row>
    <row r="1381" customFormat="false" ht="15" hidden="false" customHeight="false" outlineLevel="0" collapsed="false">
      <c r="A1381" s="3" t="s">
        <v>1771</v>
      </c>
      <c r="B1381" s="3" t="s">
        <v>283</v>
      </c>
      <c r="C1381" s="3" t="s">
        <v>387</v>
      </c>
      <c r="D1381" s="3" t="s">
        <v>392</v>
      </c>
      <c r="E1381" s="3" t="s">
        <v>385</v>
      </c>
      <c r="F1381" s="16" t="n">
        <v>12</v>
      </c>
      <c r="G1381" s="15" t="n">
        <v>0.1</v>
      </c>
      <c r="H1381" s="16" t="n">
        <v>1</v>
      </c>
      <c r="I1381" s="33" t="n">
        <v>23890.44</v>
      </c>
      <c r="J1381" s="33" t="n">
        <v>26544.84</v>
      </c>
    </row>
    <row r="1382" customFormat="false" ht="15" hidden="false" customHeight="false" outlineLevel="0" collapsed="false">
      <c r="A1382" s="3" t="s">
        <v>1772</v>
      </c>
      <c r="B1382" s="3" t="s">
        <v>282</v>
      </c>
      <c r="C1382" s="3" t="s">
        <v>380</v>
      </c>
      <c r="D1382" s="3" t="s">
        <v>418</v>
      </c>
      <c r="E1382" s="3" t="s">
        <v>398</v>
      </c>
      <c r="F1382" s="16" t="n">
        <v>12</v>
      </c>
      <c r="G1382" s="15" t="n">
        <v>0.4</v>
      </c>
      <c r="H1382" s="16" t="n">
        <v>3</v>
      </c>
      <c r="I1382" s="33" t="n">
        <v>23890.2</v>
      </c>
      <c r="J1382" s="33" t="n">
        <v>39816.96</v>
      </c>
    </row>
    <row r="1383" customFormat="false" ht="15" hidden="false" customHeight="false" outlineLevel="0" collapsed="false">
      <c r="A1383" s="3" t="s">
        <v>1773</v>
      </c>
      <c r="B1383" s="3" t="s">
        <v>282</v>
      </c>
      <c r="C1383" s="3" t="s">
        <v>396</v>
      </c>
      <c r="D1383" s="3" t="s">
        <v>692</v>
      </c>
      <c r="E1383" s="3" t="s">
        <v>398</v>
      </c>
      <c r="F1383" s="16" t="n">
        <v>24</v>
      </c>
      <c r="G1383" s="15" t="n">
        <v>0</v>
      </c>
      <c r="H1383" s="16" t="n">
        <v>16</v>
      </c>
      <c r="I1383" s="33" t="n">
        <v>23880.84</v>
      </c>
      <c r="J1383" s="33" t="n">
        <v>23880.84</v>
      </c>
    </row>
    <row r="1384" customFormat="false" ht="15" hidden="false" customHeight="false" outlineLevel="0" collapsed="false">
      <c r="A1384" s="3" t="s">
        <v>1774</v>
      </c>
      <c r="B1384" s="3" t="s">
        <v>283</v>
      </c>
      <c r="C1384" s="3" t="s">
        <v>380</v>
      </c>
      <c r="D1384" s="3" t="s">
        <v>692</v>
      </c>
      <c r="E1384" s="3" t="s">
        <v>398</v>
      </c>
      <c r="F1384" s="16" t="n">
        <v>12</v>
      </c>
      <c r="G1384" s="15" t="n">
        <v>0</v>
      </c>
      <c r="H1384" s="16" t="n">
        <v>9</v>
      </c>
      <c r="I1384" s="33" t="n">
        <v>23812.56</v>
      </c>
      <c r="J1384" s="33" t="n">
        <v>23812.56</v>
      </c>
    </row>
    <row r="1385" customFormat="false" ht="15" hidden="false" customHeight="false" outlineLevel="0" collapsed="false">
      <c r="A1385" s="3" t="s">
        <v>1775</v>
      </c>
      <c r="B1385" s="3" t="s">
        <v>282</v>
      </c>
      <c r="C1385" s="3" t="s">
        <v>384</v>
      </c>
      <c r="D1385" s="3" t="s">
        <v>392</v>
      </c>
      <c r="E1385" s="3" t="s">
        <v>398</v>
      </c>
      <c r="F1385" s="16" t="n">
        <v>24</v>
      </c>
      <c r="G1385" s="15" t="n">
        <v>0.2</v>
      </c>
      <c r="H1385" s="16" t="n">
        <v>1</v>
      </c>
      <c r="I1385" s="33" t="n">
        <v>23785.2</v>
      </c>
      <c r="J1385" s="33" t="n">
        <v>29731.44</v>
      </c>
    </row>
    <row r="1386" customFormat="false" ht="15" hidden="false" customHeight="false" outlineLevel="0" collapsed="false">
      <c r="A1386" s="3" t="s">
        <v>1776</v>
      </c>
      <c r="B1386" s="3" t="s">
        <v>283</v>
      </c>
      <c r="C1386" s="3" t="s">
        <v>396</v>
      </c>
      <c r="D1386" s="3" t="s">
        <v>692</v>
      </c>
      <c r="E1386" s="3" t="s">
        <v>398</v>
      </c>
      <c r="F1386" s="16" t="n">
        <v>12</v>
      </c>
      <c r="G1386" s="15" t="n">
        <v>0</v>
      </c>
      <c r="H1386" s="16" t="n">
        <v>2</v>
      </c>
      <c r="I1386" s="33" t="n">
        <v>23780.88</v>
      </c>
      <c r="J1386" s="33" t="n">
        <v>23780.88</v>
      </c>
    </row>
    <row r="1387" customFormat="false" ht="15" hidden="false" customHeight="false" outlineLevel="0" collapsed="false">
      <c r="A1387" s="3" t="s">
        <v>1777</v>
      </c>
      <c r="B1387" s="3" t="s">
        <v>283</v>
      </c>
      <c r="C1387" s="3" t="s">
        <v>403</v>
      </c>
      <c r="D1387" s="3" t="s">
        <v>692</v>
      </c>
      <c r="E1387" s="3" t="s">
        <v>398</v>
      </c>
      <c r="F1387" s="16" t="n">
        <v>1</v>
      </c>
      <c r="G1387" s="15" t="n">
        <v>0</v>
      </c>
      <c r="H1387" s="16" t="n">
        <v>1</v>
      </c>
      <c r="I1387" s="33" t="n">
        <v>23751.12</v>
      </c>
      <c r="J1387" s="33" t="n">
        <v>23751.12</v>
      </c>
    </row>
    <row r="1388" customFormat="false" ht="15" hidden="false" customHeight="false" outlineLevel="0" collapsed="false">
      <c r="A1388" s="3" t="s">
        <v>1778</v>
      </c>
      <c r="B1388" s="3" t="s">
        <v>283</v>
      </c>
      <c r="C1388" s="3" t="s">
        <v>401</v>
      </c>
      <c r="D1388" s="3" t="s">
        <v>418</v>
      </c>
      <c r="E1388" s="3" t="s">
        <v>385</v>
      </c>
      <c r="F1388" s="16" t="n">
        <v>12</v>
      </c>
      <c r="G1388" s="15" t="n">
        <v>0.1</v>
      </c>
      <c r="H1388" s="16" t="n">
        <v>5</v>
      </c>
      <c r="I1388" s="33" t="n">
        <v>23703.84</v>
      </c>
      <c r="J1388" s="33" t="n">
        <v>26337.6</v>
      </c>
    </row>
    <row r="1389" customFormat="false" ht="15" hidden="false" customHeight="false" outlineLevel="0" collapsed="false">
      <c r="A1389" s="3" t="s">
        <v>1779</v>
      </c>
      <c r="B1389" s="3" t="s">
        <v>282</v>
      </c>
      <c r="C1389" s="3" t="s">
        <v>396</v>
      </c>
      <c r="D1389" s="3" t="s">
        <v>392</v>
      </c>
      <c r="E1389" s="3" t="s">
        <v>385</v>
      </c>
      <c r="F1389" s="16" t="n">
        <v>24</v>
      </c>
      <c r="G1389" s="15" t="n">
        <v>0</v>
      </c>
      <c r="H1389" s="16" t="n">
        <v>8</v>
      </c>
      <c r="I1389" s="33" t="n">
        <v>23655.84</v>
      </c>
      <c r="J1389" s="33" t="n">
        <v>23655.84</v>
      </c>
    </row>
    <row r="1390" customFormat="false" ht="15" hidden="false" customHeight="false" outlineLevel="0" collapsed="false">
      <c r="A1390" s="3" t="s">
        <v>1780</v>
      </c>
      <c r="B1390" s="3" t="s">
        <v>283</v>
      </c>
      <c r="C1390" s="3" t="s">
        <v>403</v>
      </c>
      <c r="D1390" s="3" t="s">
        <v>418</v>
      </c>
      <c r="E1390" s="3" t="s">
        <v>398</v>
      </c>
      <c r="F1390" s="16" t="n">
        <v>1</v>
      </c>
      <c r="G1390" s="15" t="n">
        <v>0</v>
      </c>
      <c r="H1390" s="16" t="n">
        <v>1</v>
      </c>
      <c r="I1390" s="33" t="n">
        <v>23648.4</v>
      </c>
      <c r="J1390" s="33" t="n">
        <v>23648.4</v>
      </c>
    </row>
    <row r="1391" customFormat="false" ht="15" hidden="false" customHeight="false" outlineLevel="0" collapsed="false">
      <c r="A1391" s="3" t="s">
        <v>1781</v>
      </c>
      <c r="B1391" s="3" t="s">
        <v>282</v>
      </c>
      <c r="C1391" s="3" t="s">
        <v>396</v>
      </c>
      <c r="D1391" s="3" t="s">
        <v>381</v>
      </c>
      <c r="E1391" s="3" t="s">
        <v>398</v>
      </c>
      <c r="F1391" s="16" t="n">
        <v>12</v>
      </c>
      <c r="G1391" s="15" t="n">
        <v>0</v>
      </c>
      <c r="H1391" s="16" t="n">
        <v>6</v>
      </c>
      <c r="I1391" s="33" t="n">
        <v>23633.76</v>
      </c>
      <c r="J1391" s="33" t="n">
        <v>23633.76</v>
      </c>
    </row>
    <row r="1392" customFormat="false" ht="15" hidden="false" customHeight="false" outlineLevel="0" collapsed="false">
      <c r="A1392" s="3" t="s">
        <v>1782</v>
      </c>
      <c r="B1392" s="3" t="s">
        <v>282</v>
      </c>
      <c r="C1392" s="3" t="s">
        <v>384</v>
      </c>
      <c r="D1392" s="3" t="s">
        <v>392</v>
      </c>
      <c r="E1392" s="3" t="s">
        <v>398</v>
      </c>
      <c r="F1392" s="16" t="n">
        <v>24</v>
      </c>
      <c r="G1392" s="15" t="n">
        <v>0.15</v>
      </c>
      <c r="H1392" s="16" t="n">
        <v>14</v>
      </c>
      <c r="I1392" s="33" t="n">
        <v>23585.52</v>
      </c>
      <c r="J1392" s="33" t="n">
        <v>27747.6</v>
      </c>
    </row>
    <row r="1393" customFormat="false" ht="15" hidden="false" customHeight="false" outlineLevel="0" collapsed="false">
      <c r="A1393" s="3" t="s">
        <v>1783</v>
      </c>
      <c r="B1393" s="3" t="s">
        <v>283</v>
      </c>
      <c r="C1393" s="3" t="s">
        <v>387</v>
      </c>
      <c r="D1393" s="3" t="s">
        <v>381</v>
      </c>
      <c r="E1393" s="3" t="s">
        <v>398</v>
      </c>
      <c r="F1393" s="16" t="n">
        <v>1</v>
      </c>
      <c r="G1393" s="15" t="n">
        <v>0.1</v>
      </c>
      <c r="H1393" s="16" t="n">
        <v>1</v>
      </c>
      <c r="I1393" s="33" t="n">
        <v>23569.92</v>
      </c>
      <c r="J1393" s="33" t="n">
        <v>26188.68</v>
      </c>
    </row>
    <row r="1394" customFormat="false" ht="15" hidden="false" customHeight="false" outlineLevel="0" collapsed="false">
      <c r="A1394" s="3" t="s">
        <v>1784</v>
      </c>
      <c r="B1394" s="3" t="s">
        <v>283</v>
      </c>
      <c r="C1394" s="3" t="s">
        <v>401</v>
      </c>
      <c r="D1394" s="3" t="s">
        <v>418</v>
      </c>
      <c r="E1394" s="3" t="s">
        <v>382</v>
      </c>
      <c r="F1394" s="16" t="n">
        <v>1</v>
      </c>
      <c r="G1394" s="15" t="n">
        <v>0</v>
      </c>
      <c r="H1394" s="16" t="n">
        <v>1</v>
      </c>
      <c r="I1394" s="33" t="n">
        <v>23564.76</v>
      </c>
      <c r="J1394" s="33" t="n">
        <v>23564.76</v>
      </c>
    </row>
    <row r="1395" customFormat="false" ht="15" hidden="false" customHeight="false" outlineLevel="0" collapsed="false">
      <c r="A1395" s="3" t="s">
        <v>1785</v>
      </c>
      <c r="B1395" s="3" t="s">
        <v>282</v>
      </c>
      <c r="C1395" s="3" t="s">
        <v>384</v>
      </c>
      <c r="D1395" s="3" t="s">
        <v>392</v>
      </c>
      <c r="E1395" s="3" t="s">
        <v>398</v>
      </c>
      <c r="F1395" s="16" t="n">
        <v>12</v>
      </c>
      <c r="G1395" s="15" t="n">
        <v>0.1</v>
      </c>
      <c r="H1395" s="16" t="n">
        <v>9</v>
      </c>
      <c r="I1395" s="33" t="n">
        <v>23542.32</v>
      </c>
      <c r="J1395" s="33" t="n">
        <v>26158.08</v>
      </c>
    </row>
    <row r="1396" customFormat="false" ht="15" hidden="false" customHeight="false" outlineLevel="0" collapsed="false">
      <c r="A1396" s="3" t="s">
        <v>1786</v>
      </c>
      <c r="B1396" s="3" t="s">
        <v>282</v>
      </c>
      <c r="C1396" s="3" t="s">
        <v>387</v>
      </c>
      <c r="D1396" s="3" t="s">
        <v>392</v>
      </c>
      <c r="E1396" s="3" t="s">
        <v>398</v>
      </c>
      <c r="F1396" s="16" t="n">
        <v>12</v>
      </c>
      <c r="G1396" s="15" t="n">
        <v>0</v>
      </c>
      <c r="H1396" s="16" t="n">
        <v>4</v>
      </c>
      <c r="I1396" s="33" t="n">
        <v>23524.2</v>
      </c>
      <c r="J1396" s="33" t="n">
        <v>23524.2</v>
      </c>
    </row>
    <row r="1397" customFormat="false" ht="15" hidden="false" customHeight="false" outlineLevel="0" collapsed="false">
      <c r="A1397" s="3" t="s">
        <v>1787</v>
      </c>
      <c r="B1397" s="3" t="s">
        <v>283</v>
      </c>
      <c r="C1397" s="3" t="s">
        <v>401</v>
      </c>
      <c r="D1397" s="3" t="s">
        <v>418</v>
      </c>
      <c r="E1397" s="3" t="s">
        <v>398</v>
      </c>
      <c r="F1397" s="16" t="n">
        <v>1</v>
      </c>
      <c r="G1397" s="15" t="n">
        <v>0</v>
      </c>
      <c r="H1397" s="16" t="n">
        <v>1</v>
      </c>
      <c r="I1397" s="33" t="n">
        <v>23505</v>
      </c>
      <c r="J1397" s="33" t="n">
        <v>23505</v>
      </c>
    </row>
    <row r="1398" customFormat="false" ht="15" hidden="false" customHeight="false" outlineLevel="0" collapsed="false">
      <c r="A1398" s="3" t="s">
        <v>1788</v>
      </c>
      <c r="B1398" s="3" t="s">
        <v>282</v>
      </c>
      <c r="C1398" s="3" t="s">
        <v>403</v>
      </c>
      <c r="D1398" s="3" t="s">
        <v>381</v>
      </c>
      <c r="E1398" s="3" t="s">
        <v>382</v>
      </c>
      <c r="F1398" s="16" t="n">
        <v>24</v>
      </c>
      <c r="G1398" s="15" t="n">
        <v>0</v>
      </c>
      <c r="H1398" s="16" t="n">
        <v>3</v>
      </c>
      <c r="I1398" s="33" t="n">
        <v>23469</v>
      </c>
      <c r="J1398" s="33" t="n">
        <v>23469</v>
      </c>
    </row>
    <row r="1399" customFormat="false" ht="15" hidden="false" customHeight="false" outlineLevel="0" collapsed="false">
      <c r="A1399" s="3" t="s">
        <v>1789</v>
      </c>
      <c r="B1399" s="3" t="s">
        <v>282</v>
      </c>
      <c r="C1399" s="3" t="s">
        <v>387</v>
      </c>
      <c r="D1399" s="3" t="s">
        <v>392</v>
      </c>
      <c r="E1399" s="3" t="s">
        <v>385</v>
      </c>
      <c r="F1399" s="16" t="n">
        <v>12</v>
      </c>
      <c r="G1399" s="15" t="n">
        <v>0</v>
      </c>
      <c r="H1399" s="16" t="n">
        <v>2</v>
      </c>
      <c r="I1399" s="33" t="n">
        <v>23446.2</v>
      </c>
      <c r="J1399" s="33" t="n">
        <v>23446.2</v>
      </c>
    </row>
    <row r="1400" customFormat="false" ht="15" hidden="false" customHeight="false" outlineLevel="0" collapsed="false">
      <c r="A1400" s="3" t="s">
        <v>1790</v>
      </c>
      <c r="B1400" s="3" t="s">
        <v>282</v>
      </c>
      <c r="C1400" s="3" t="s">
        <v>387</v>
      </c>
      <c r="D1400" s="3" t="s">
        <v>381</v>
      </c>
      <c r="E1400" s="3" t="s">
        <v>398</v>
      </c>
      <c r="F1400" s="16" t="n">
        <v>24</v>
      </c>
      <c r="G1400" s="15" t="n">
        <v>0.05</v>
      </c>
      <c r="H1400" s="16" t="n">
        <v>4</v>
      </c>
      <c r="I1400" s="33" t="n">
        <v>23424</v>
      </c>
      <c r="J1400" s="33" t="n">
        <v>24656.76</v>
      </c>
    </row>
    <row r="1401" customFormat="false" ht="15" hidden="false" customHeight="false" outlineLevel="0" collapsed="false">
      <c r="A1401" s="3" t="s">
        <v>1791</v>
      </c>
      <c r="B1401" s="3" t="s">
        <v>282</v>
      </c>
      <c r="C1401" s="3" t="s">
        <v>401</v>
      </c>
      <c r="D1401" s="3" t="s">
        <v>388</v>
      </c>
      <c r="E1401" s="3" t="s">
        <v>398</v>
      </c>
      <c r="F1401" s="16" t="n">
        <v>12</v>
      </c>
      <c r="G1401" s="15" t="n">
        <v>0.25</v>
      </c>
      <c r="H1401" s="16" t="n">
        <v>4</v>
      </c>
      <c r="I1401" s="33" t="n">
        <v>23382.36</v>
      </c>
      <c r="J1401" s="33" t="n">
        <v>31176.48</v>
      </c>
    </row>
    <row r="1402" customFormat="false" ht="15" hidden="false" customHeight="false" outlineLevel="0" collapsed="false">
      <c r="A1402" s="3" t="s">
        <v>1792</v>
      </c>
      <c r="B1402" s="3" t="s">
        <v>282</v>
      </c>
      <c r="C1402" s="3" t="s">
        <v>387</v>
      </c>
      <c r="D1402" s="3" t="s">
        <v>381</v>
      </c>
      <c r="E1402" s="3" t="s">
        <v>398</v>
      </c>
      <c r="F1402" s="16" t="n">
        <v>24</v>
      </c>
      <c r="G1402" s="15" t="n">
        <v>0</v>
      </c>
      <c r="H1402" s="16" t="n">
        <v>15</v>
      </c>
      <c r="I1402" s="33" t="n">
        <v>23378.52</v>
      </c>
      <c r="J1402" s="33" t="n">
        <v>23378.52</v>
      </c>
    </row>
    <row r="1403" customFormat="false" ht="15" hidden="false" customHeight="false" outlineLevel="0" collapsed="false">
      <c r="A1403" s="3" t="s">
        <v>1793</v>
      </c>
      <c r="B1403" s="3" t="s">
        <v>282</v>
      </c>
      <c r="C1403" s="3" t="s">
        <v>405</v>
      </c>
      <c r="D1403" s="3" t="s">
        <v>392</v>
      </c>
      <c r="E1403" s="3" t="s">
        <v>385</v>
      </c>
      <c r="F1403" s="16" t="n">
        <v>24</v>
      </c>
      <c r="G1403" s="15" t="n">
        <v>0.25</v>
      </c>
      <c r="H1403" s="16" t="n">
        <v>17</v>
      </c>
      <c r="I1403" s="33" t="n">
        <v>23319.96</v>
      </c>
      <c r="J1403" s="33" t="n">
        <v>31093.2</v>
      </c>
    </row>
    <row r="1404" customFormat="false" ht="15" hidden="false" customHeight="false" outlineLevel="0" collapsed="false">
      <c r="A1404" s="3" t="s">
        <v>1794</v>
      </c>
      <c r="B1404" s="3" t="s">
        <v>282</v>
      </c>
      <c r="C1404" s="3" t="s">
        <v>387</v>
      </c>
      <c r="D1404" s="3" t="s">
        <v>388</v>
      </c>
      <c r="E1404" s="3" t="s">
        <v>385</v>
      </c>
      <c r="F1404" s="16" t="n">
        <v>12</v>
      </c>
      <c r="G1404" s="15" t="n">
        <v>0</v>
      </c>
      <c r="H1404" s="16" t="n">
        <v>11</v>
      </c>
      <c r="I1404" s="33" t="n">
        <v>23317.8</v>
      </c>
      <c r="J1404" s="33" t="n">
        <v>23317.8</v>
      </c>
    </row>
    <row r="1405" customFormat="false" ht="15" hidden="false" customHeight="false" outlineLevel="0" collapsed="false">
      <c r="A1405" s="3" t="s">
        <v>1795</v>
      </c>
      <c r="B1405" s="3" t="s">
        <v>282</v>
      </c>
      <c r="C1405" s="3" t="s">
        <v>405</v>
      </c>
      <c r="D1405" s="3" t="s">
        <v>392</v>
      </c>
      <c r="E1405" s="3" t="s">
        <v>398</v>
      </c>
      <c r="F1405" s="16" t="n">
        <v>12</v>
      </c>
      <c r="G1405" s="15" t="n">
        <v>0.2</v>
      </c>
      <c r="H1405" s="16" t="n">
        <v>4</v>
      </c>
      <c r="I1405" s="33" t="n">
        <v>23314.08</v>
      </c>
      <c r="J1405" s="33" t="n">
        <v>29142.6</v>
      </c>
    </row>
    <row r="1406" customFormat="false" ht="15" hidden="false" customHeight="false" outlineLevel="0" collapsed="false">
      <c r="A1406" s="3" t="s">
        <v>1796</v>
      </c>
      <c r="B1406" s="3" t="s">
        <v>282</v>
      </c>
      <c r="C1406" s="3" t="s">
        <v>405</v>
      </c>
      <c r="D1406" s="3" t="s">
        <v>392</v>
      </c>
      <c r="E1406" s="3" t="s">
        <v>398</v>
      </c>
      <c r="F1406" s="16" t="n">
        <v>12</v>
      </c>
      <c r="G1406" s="15" t="n">
        <v>0.1</v>
      </c>
      <c r="H1406" s="16" t="n">
        <v>3</v>
      </c>
      <c r="I1406" s="33" t="n">
        <v>23296.2</v>
      </c>
      <c r="J1406" s="33" t="n">
        <v>25884.6</v>
      </c>
    </row>
    <row r="1407" customFormat="false" ht="15" hidden="false" customHeight="false" outlineLevel="0" collapsed="false">
      <c r="A1407" s="3" t="s">
        <v>1797</v>
      </c>
      <c r="B1407" s="3" t="s">
        <v>283</v>
      </c>
      <c r="C1407" s="3" t="s">
        <v>380</v>
      </c>
      <c r="D1407" s="3" t="s">
        <v>392</v>
      </c>
      <c r="E1407" s="3" t="s">
        <v>382</v>
      </c>
      <c r="F1407" s="16" t="n">
        <v>12</v>
      </c>
      <c r="G1407" s="15" t="n">
        <v>0.1</v>
      </c>
      <c r="H1407" s="16" t="n">
        <v>7</v>
      </c>
      <c r="I1407" s="33" t="n">
        <v>23225.52</v>
      </c>
      <c r="J1407" s="33" t="n">
        <v>25806.12</v>
      </c>
    </row>
    <row r="1408" customFormat="false" ht="15" hidden="false" customHeight="false" outlineLevel="0" collapsed="false">
      <c r="A1408" s="3" t="s">
        <v>1798</v>
      </c>
      <c r="B1408" s="3" t="s">
        <v>282</v>
      </c>
      <c r="C1408" s="3" t="s">
        <v>396</v>
      </c>
      <c r="D1408" s="3" t="s">
        <v>388</v>
      </c>
      <c r="E1408" s="3" t="s">
        <v>398</v>
      </c>
      <c r="F1408" s="16" t="n">
        <v>12</v>
      </c>
      <c r="G1408" s="15" t="n">
        <v>0</v>
      </c>
      <c r="H1408" s="16" t="n">
        <v>5</v>
      </c>
      <c r="I1408" s="33" t="n">
        <v>23170.8</v>
      </c>
      <c r="J1408" s="33" t="n">
        <v>23170.8</v>
      </c>
    </row>
    <row r="1409" customFormat="false" ht="15" hidden="false" customHeight="false" outlineLevel="0" collapsed="false">
      <c r="A1409" s="3" t="s">
        <v>1799</v>
      </c>
      <c r="B1409" s="3" t="s">
        <v>282</v>
      </c>
      <c r="C1409" s="3" t="s">
        <v>403</v>
      </c>
      <c r="D1409" s="3" t="s">
        <v>388</v>
      </c>
      <c r="E1409" s="3" t="s">
        <v>398</v>
      </c>
      <c r="F1409" s="16" t="n">
        <v>12</v>
      </c>
      <c r="G1409" s="15" t="n">
        <v>0</v>
      </c>
      <c r="H1409" s="16" t="n">
        <v>7</v>
      </c>
      <c r="I1409" s="33" t="n">
        <v>23139.36</v>
      </c>
      <c r="J1409" s="33" t="n">
        <v>23139.36</v>
      </c>
    </row>
    <row r="1410" customFormat="false" ht="15" hidden="false" customHeight="false" outlineLevel="0" collapsed="false">
      <c r="A1410" s="3" t="s">
        <v>1800</v>
      </c>
      <c r="B1410" s="3" t="s">
        <v>283</v>
      </c>
      <c r="C1410" s="3" t="s">
        <v>387</v>
      </c>
      <c r="D1410" s="3" t="s">
        <v>692</v>
      </c>
      <c r="E1410" s="3" t="s">
        <v>382</v>
      </c>
      <c r="F1410" s="16" t="n">
        <v>1</v>
      </c>
      <c r="G1410" s="15" t="n">
        <v>0</v>
      </c>
      <c r="H1410" s="16" t="n">
        <v>1</v>
      </c>
      <c r="I1410" s="33" t="n">
        <v>23129.64</v>
      </c>
      <c r="J1410" s="33" t="n">
        <v>23129.64</v>
      </c>
    </row>
    <row r="1411" customFormat="false" ht="15" hidden="false" customHeight="false" outlineLevel="0" collapsed="false">
      <c r="A1411" s="3" t="s">
        <v>1801</v>
      </c>
      <c r="B1411" s="3" t="s">
        <v>283</v>
      </c>
      <c r="C1411" s="3" t="s">
        <v>403</v>
      </c>
      <c r="D1411" s="3" t="s">
        <v>388</v>
      </c>
      <c r="E1411" s="3" t="s">
        <v>382</v>
      </c>
      <c r="F1411" s="16" t="n">
        <v>1</v>
      </c>
      <c r="G1411" s="15" t="n">
        <v>0</v>
      </c>
      <c r="H1411" s="16" t="n">
        <v>1</v>
      </c>
      <c r="I1411" s="33" t="n">
        <v>23092.08</v>
      </c>
      <c r="J1411" s="33" t="n">
        <v>23092.08</v>
      </c>
    </row>
    <row r="1412" customFormat="false" ht="15" hidden="false" customHeight="false" outlineLevel="0" collapsed="false">
      <c r="A1412" s="3" t="s">
        <v>1802</v>
      </c>
      <c r="B1412" s="3" t="s">
        <v>282</v>
      </c>
      <c r="C1412" s="3" t="s">
        <v>401</v>
      </c>
      <c r="D1412" s="3" t="s">
        <v>381</v>
      </c>
      <c r="E1412" s="3" t="s">
        <v>398</v>
      </c>
      <c r="F1412" s="16" t="n">
        <v>24</v>
      </c>
      <c r="G1412" s="15" t="n">
        <v>0</v>
      </c>
      <c r="H1412" s="16" t="n">
        <v>22</v>
      </c>
      <c r="I1412" s="33" t="n">
        <v>23078.4</v>
      </c>
      <c r="J1412" s="33" t="n">
        <v>23078.4</v>
      </c>
    </row>
    <row r="1413" customFormat="false" ht="15" hidden="false" customHeight="false" outlineLevel="0" collapsed="false">
      <c r="A1413" s="3" t="s">
        <v>1803</v>
      </c>
      <c r="B1413" s="3" t="s">
        <v>283</v>
      </c>
      <c r="C1413" s="3" t="s">
        <v>403</v>
      </c>
      <c r="D1413" s="3" t="s">
        <v>381</v>
      </c>
      <c r="E1413" s="3" t="s">
        <v>398</v>
      </c>
      <c r="F1413" s="16" t="n">
        <v>1</v>
      </c>
      <c r="G1413" s="15" t="n">
        <v>0.25</v>
      </c>
      <c r="H1413" s="16" t="n">
        <v>1</v>
      </c>
      <c r="I1413" s="33" t="n">
        <v>23068.08</v>
      </c>
      <c r="J1413" s="33" t="n">
        <v>30757.44</v>
      </c>
    </row>
    <row r="1414" customFormat="false" ht="15" hidden="false" customHeight="false" outlineLevel="0" collapsed="false">
      <c r="A1414" s="3" t="s">
        <v>1804</v>
      </c>
      <c r="B1414" s="3" t="s">
        <v>282</v>
      </c>
      <c r="C1414" s="3" t="s">
        <v>396</v>
      </c>
      <c r="D1414" s="3" t="s">
        <v>388</v>
      </c>
      <c r="E1414" s="3" t="s">
        <v>385</v>
      </c>
      <c r="F1414" s="16" t="n">
        <v>12</v>
      </c>
      <c r="G1414" s="15" t="n">
        <v>0.35</v>
      </c>
      <c r="H1414" s="16" t="n">
        <v>6</v>
      </c>
      <c r="I1414" s="33" t="n">
        <v>23049</v>
      </c>
      <c r="J1414" s="33" t="n">
        <v>35459.88</v>
      </c>
    </row>
    <row r="1415" customFormat="false" ht="15" hidden="false" customHeight="false" outlineLevel="0" collapsed="false">
      <c r="A1415" s="3" t="s">
        <v>1805</v>
      </c>
      <c r="B1415" s="3" t="s">
        <v>282</v>
      </c>
      <c r="C1415" s="3" t="s">
        <v>403</v>
      </c>
      <c r="D1415" s="3" t="s">
        <v>381</v>
      </c>
      <c r="E1415" s="3" t="s">
        <v>398</v>
      </c>
      <c r="F1415" s="16" t="n">
        <v>24</v>
      </c>
      <c r="G1415" s="15" t="n">
        <v>0</v>
      </c>
      <c r="H1415" s="16" t="n">
        <v>6</v>
      </c>
      <c r="I1415" s="33" t="n">
        <v>23025.6</v>
      </c>
      <c r="J1415" s="33" t="n">
        <v>23025.6</v>
      </c>
    </row>
    <row r="1416" customFormat="false" ht="15" hidden="false" customHeight="false" outlineLevel="0" collapsed="false">
      <c r="A1416" s="3" t="s">
        <v>1806</v>
      </c>
      <c r="B1416" s="3" t="s">
        <v>282</v>
      </c>
      <c r="C1416" s="3" t="s">
        <v>387</v>
      </c>
      <c r="D1416" s="3" t="s">
        <v>392</v>
      </c>
      <c r="E1416" s="3" t="s">
        <v>398</v>
      </c>
      <c r="F1416" s="16" t="n">
        <v>24</v>
      </c>
      <c r="G1416" s="15" t="n">
        <v>0.25</v>
      </c>
      <c r="H1416" s="16" t="n">
        <v>18</v>
      </c>
      <c r="I1416" s="33" t="n">
        <v>22954.68</v>
      </c>
      <c r="J1416" s="33" t="n">
        <v>30606.24</v>
      </c>
    </row>
    <row r="1417" customFormat="false" ht="15" hidden="false" customHeight="false" outlineLevel="0" collapsed="false">
      <c r="A1417" s="3" t="s">
        <v>1807</v>
      </c>
      <c r="B1417" s="3" t="s">
        <v>282</v>
      </c>
      <c r="C1417" s="3" t="s">
        <v>403</v>
      </c>
      <c r="D1417" s="3" t="s">
        <v>418</v>
      </c>
      <c r="E1417" s="3" t="s">
        <v>398</v>
      </c>
      <c r="F1417" s="16" t="n">
        <v>12</v>
      </c>
      <c r="G1417" s="15" t="n">
        <v>0</v>
      </c>
      <c r="H1417" s="16" t="n">
        <v>4</v>
      </c>
      <c r="I1417" s="33" t="n">
        <v>22937.64</v>
      </c>
      <c r="J1417" s="33" t="n">
        <v>22937.64</v>
      </c>
    </row>
    <row r="1418" customFormat="false" ht="15" hidden="false" customHeight="false" outlineLevel="0" collapsed="false">
      <c r="A1418" s="3" t="s">
        <v>1808</v>
      </c>
      <c r="B1418" s="3" t="s">
        <v>283</v>
      </c>
      <c r="C1418" s="3" t="s">
        <v>396</v>
      </c>
      <c r="D1418" s="3" t="s">
        <v>692</v>
      </c>
      <c r="E1418" s="3" t="s">
        <v>385</v>
      </c>
      <c r="F1418" s="16" t="n">
        <v>1</v>
      </c>
      <c r="G1418" s="15" t="n">
        <v>0</v>
      </c>
      <c r="H1418" s="16" t="n">
        <v>1</v>
      </c>
      <c r="I1418" s="33" t="n">
        <v>22894.56</v>
      </c>
      <c r="J1418" s="33" t="n">
        <v>22894.56</v>
      </c>
    </row>
    <row r="1419" customFormat="false" ht="15" hidden="false" customHeight="false" outlineLevel="0" collapsed="false">
      <c r="A1419" s="3" t="s">
        <v>1809</v>
      </c>
      <c r="B1419" s="3" t="s">
        <v>283</v>
      </c>
      <c r="C1419" s="3" t="s">
        <v>387</v>
      </c>
      <c r="D1419" s="3" t="s">
        <v>418</v>
      </c>
      <c r="E1419" s="3" t="s">
        <v>398</v>
      </c>
      <c r="F1419" s="16" t="n">
        <v>1</v>
      </c>
      <c r="G1419" s="15" t="n">
        <v>0.1</v>
      </c>
      <c r="H1419" s="16" t="n">
        <v>1</v>
      </c>
      <c r="I1419" s="33" t="n">
        <v>22888.92</v>
      </c>
      <c r="J1419" s="33" t="n">
        <v>25432.2</v>
      </c>
    </row>
    <row r="1420" customFormat="false" ht="15" hidden="false" customHeight="false" outlineLevel="0" collapsed="false">
      <c r="A1420" s="3" t="s">
        <v>1810</v>
      </c>
      <c r="B1420" s="3" t="s">
        <v>283</v>
      </c>
      <c r="C1420" s="3" t="s">
        <v>405</v>
      </c>
      <c r="D1420" s="3" t="s">
        <v>381</v>
      </c>
      <c r="E1420" s="3" t="s">
        <v>385</v>
      </c>
      <c r="F1420" s="16" t="n">
        <v>1</v>
      </c>
      <c r="G1420" s="15" t="n">
        <v>0</v>
      </c>
      <c r="H1420" s="16" t="n">
        <v>1</v>
      </c>
      <c r="I1420" s="33" t="n">
        <v>22846.2</v>
      </c>
      <c r="J1420" s="33" t="n">
        <v>22846.2</v>
      </c>
    </row>
    <row r="1421" customFormat="false" ht="15" hidden="false" customHeight="false" outlineLevel="0" collapsed="false">
      <c r="A1421" s="3" t="s">
        <v>1811</v>
      </c>
      <c r="B1421" s="3" t="s">
        <v>282</v>
      </c>
      <c r="C1421" s="3" t="s">
        <v>396</v>
      </c>
      <c r="D1421" s="3" t="s">
        <v>392</v>
      </c>
      <c r="E1421" s="3" t="s">
        <v>385</v>
      </c>
      <c r="F1421" s="16" t="n">
        <v>12</v>
      </c>
      <c r="G1421" s="15" t="n">
        <v>0.05</v>
      </c>
      <c r="H1421" s="16" t="n">
        <v>12</v>
      </c>
      <c r="I1421" s="33" t="n">
        <v>22815.84</v>
      </c>
      <c r="J1421" s="33" t="n">
        <v>24016.68</v>
      </c>
    </row>
    <row r="1422" customFormat="false" ht="15" hidden="false" customHeight="false" outlineLevel="0" collapsed="false">
      <c r="A1422" s="3" t="s">
        <v>1812</v>
      </c>
      <c r="B1422" s="3" t="s">
        <v>282</v>
      </c>
      <c r="C1422" s="3" t="s">
        <v>405</v>
      </c>
      <c r="D1422" s="3" t="s">
        <v>381</v>
      </c>
      <c r="E1422" s="3" t="s">
        <v>398</v>
      </c>
      <c r="F1422" s="16" t="n">
        <v>12</v>
      </c>
      <c r="G1422" s="15" t="n">
        <v>0.2</v>
      </c>
      <c r="H1422" s="16" t="n">
        <v>8</v>
      </c>
      <c r="I1422" s="33" t="n">
        <v>22815.24</v>
      </c>
      <c r="J1422" s="33" t="n">
        <v>28518.96</v>
      </c>
    </row>
    <row r="1423" customFormat="false" ht="15" hidden="false" customHeight="false" outlineLevel="0" collapsed="false">
      <c r="A1423" s="3" t="s">
        <v>1813</v>
      </c>
      <c r="B1423" s="3" t="s">
        <v>282</v>
      </c>
      <c r="C1423" s="3" t="s">
        <v>387</v>
      </c>
      <c r="D1423" s="3" t="s">
        <v>392</v>
      </c>
      <c r="E1423" s="3" t="s">
        <v>385</v>
      </c>
      <c r="F1423" s="16" t="n">
        <v>12</v>
      </c>
      <c r="G1423" s="15" t="n">
        <v>0</v>
      </c>
      <c r="H1423" s="16" t="n">
        <v>11</v>
      </c>
      <c r="I1423" s="33" t="n">
        <v>22797.96</v>
      </c>
      <c r="J1423" s="33" t="n">
        <v>22797.96</v>
      </c>
    </row>
    <row r="1424" customFormat="false" ht="15" hidden="false" customHeight="false" outlineLevel="0" collapsed="false">
      <c r="A1424" s="3" t="s">
        <v>1814</v>
      </c>
      <c r="B1424" s="3" t="s">
        <v>283</v>
      </c>
      <c r="C1424" s="3" t="s">
        <v>387</v>
      </c>
      <c r="D1424" s="3" t="s">
        <v>418</v>
      </c>
      <c r="E1424" s="3" t="s">
        <v>398</v>
      </c>
      <c r="F1424" s="16" t="n">
        <v>1</v>
      </c>
      <c r="G1424" s="15" t="n">
        <v>0.075</v>
      </c>
      <c r="H1424" s="16" t="n">
        <v>1</v>
      </c>
      <c r="I1424" s="33" t="n">
        <v>22786.32</v>
      </c>
      <c r="J1424" s="33" t="n">
        <v>24633.96</v>
      </c>
    </row>
    <row r="1425" customFormat="false" ht="15" hidden="false" customHeight="false" outlineLevel="0" collapsed="false">
      <c r="A1425" s="3" t="s">
        <v>1815</v>
      </c>
      <c r="B1425" s="3" t="s">
        <v>283</v>
      </c>
      <c r="C1425" s="3" t="s">
        <v>396</v>
      </c>
      <c r="D1425" s="3" t="s">
        <v>392</v>
      </c>
      <c r="E1425" s="3" t="s">
        <v>398</v>
      </c>
      <c r="F1425" s="16" t="n">
        <v>1</v>
      </c>
      <c r="G1425" s="15" t="n">
        <v>0</v>
      </c>
      <c r="H1425" s="16" t="n">
        <v>1</v>
      </c>
      <c r="I1425" s="33" t="n">
        <v>22737.36</v>
      </c>
      <c r="J1425" s="33" t="n">
        <v>22737.36</v>
      </c>
    </row>
    <row r="1426" customFormat="false" ht="15" hidden="false" customHeight="false" outlineLevel="0" collapsed="false">
      <c r="A1426" s="3" t="s">
        <v>1816</v>
      </c>
      <c r="B1426" s="3" t="s">
        <v>282</v>
      </c>
      <c r="C1426" s="3" t="s">
        <v>405</v>
      </c>
      <c r="D1426" s="3" t="s">
        <v>381</v>
      </c>
      <c r="E1426" s="3" t="s">
        <v>385</v>
      </c>
      <c r="F1426" s="16" t="n">
        <v>12</v>
      </c>
      <c r="G1426" s="15" t="n">
        <v>0</v>
      </c>
      <c r="H1426" s="16" t="n">
        <v>1</v>
      </c>
      <c r="I1426" s="33" t="n">
        <v>22697.52</v>
      </c>
      <c r="J1426" s="33" t="n">
        <v>22697.52</v>
      </c>
    </row>
    <row r="1427" customFormat="false" ht="15" hidden="false" customHeight="false" outlineLevel="0" collapsed="false">
      <c r="A1427" s="3" t="s">
        <v>1817</v>
      </c>
      <c r="B1427" s="3" t="s">
        <v>282</v>
      </c>
      <c r="C1427" s="3" t="s">
        <v>405</v>
      </c>
      <c r="D1427" s="3" t="s">
        <v>392</v>
      </c>
      <c r="E1427" s="3" t="s">
        <v>382</v>
      </c>
      <c r="F1427" s="16" t="n">
        <v>24</v>
      </c>
      <c r="G1427" s="15" t="n">
        <v>0.1</v>
      </c>
      <c r="H1427" s="16" t="n">
        <v>15</v>
      </c>
      <c r="I1427" s="33" t="n">
        <v>22697.04</v>
      </c>
      <c r="J1427" s="33" t="n">
        <v>25218.96</v>
      </c>
    </row>
    <row r="1428" customFormat="false" ht="15" hidden="false" customHeight="false" outlineLevel="0" collapsed="false">
      <c r="A1428" s="3" t="s">
        <v>1818</v>
      </c>
      <c r="B1428" s="3" t="s">
        <v>282</v>
      </c>
      <c r="C1428" s="3" t="s">
        <v>380</v>
      </c>
      <c r="D1428" s="3" t="s">
        <v>418</v>
      </c>
      <c r="E1428" s="3" t="s">
        <v>385</v>
      </c>
      <c r="F1428" s="16" t="n">
        <v>24</v>
      </c>
      <c r="G1428" s="15" t="n">
        <v>0.2</v>
      </c>
      <c r="H1428" s="16" t="n">
        <v>8</v>
      </c>
      <c r="I1428" s="33" t="n">
        <v>22689.72</v>
      </c>
      <c r="J1428" s="33" t="n">
        <v>28362.24</v>
      </c>
    </row>
    <row r="1429" customFormat="false" ht="15" hidden="false" customHeight="false" outlineLevel="0" collapsed="false">
      <c r="A1429" s="3" t="s">
        <v>1819</v>
      </c>
      <c r="B1429" s="3" t="s">
        <v>282</v>
      </c>
      <c r="C1429" s="3" t="s">
        <v>405</v>
      </c>
      <c r="D1429" s="3" t="s">
        <v>381</v>
      </c>
      <c r="E1429" s="3" t="s">
        <v>398</v>
      </c>
      <c r="F1429" s="16" t="n">
        <v>12</v>
      </c>
      <c r="G1429" s="15" t="n">
        <v>0</v>
      </c>
      <c r="H1429" s="16" t="n">
        <v>1</v>
      </c>
      <c r="I1429" s="33" t="n">
        <v>22659.6</v>
      </c>
      <c r="J1429" s="33" t="n">
        <v>22659.6</v>
      </c>
    </row>
    <row r="1430" customFormat="false" ht="15" hidden="false" customHeight="false" outlineLevel="0" collapsed="false">
      <c r="A1430" s="3" t="s">
        <v>1820</v>
      </c>
      <c r="B1430" s="3" t="s">
        <v>283</v>
      </c>
      <c r="C1430" s="3" t="s">
        <v>405</v>
      </c>
      <c r="D1430" s="3" t="s">
        <v>388</v>
      </c>
      <c r="E1430" s="3" t="s">
        <v>385</v>
      </c>
      <c r="F1430" s="16" t="n">
        <v>12</v>
      </c>
      <c r="G1430" s="15" t="n">
        <v>0</v>
      </c>
      <c r="H1430" s="16" t="n">
        <v>8</v>
      </c>
      <c r="I1430" s="33" t="n">
        <v>22619.52</v>
      </c>
      <c r="J1430" s="33" t="n">
        <v>22619.52</v>
      </c>
    </row>
    <row r="1431" customFormat="false" ht="15" hidden="false" customHeight="false" outlineLevel="0" collapsed="false">
      <c r="A1431" s="3" t="s">
        <v>1821</v>
      </c>
      <c r="B1431" s="3" t="s">
        <v>282</v>
      </c>
      <c r="C1431" s="3" t="s">
        <v>403</v>
      </c>
      <c r="D1431" s="3" t="s">
        <v>381</v>
      </c>
      <c r="E1431" s="3" t="s">
        <v>398</v>
      </c>
      <c r="F1431" s="16" t="n">
        <v>24</v>
      </c>
      <c r="G1431" s="15" t="n">
        <v>0.125</v>
      </c>
      <c r="H1431" s="16" t="n">
        <v>7</v>
      </c>
      <c r="I1431" s="33" t="n">
        <v>22618.44</v>
      </c>
      <c r="J1431" s="33" t="n">
        <v>25849.56</v>
      </c>
    </row>
    <row r="1432" customFormat="false" ht="15" hidden="false" customHeight="false" outlineLevel="0" collapsed="false">
      <c r="A1432" s="3" t="s">
        <v>1822</v>
      </c>
      <c r="B1432" s="3" t="s">
        <v>282</v>
      </c>
      <c r="C1432" s="3" t="s">
        <v>396</v>
      </c>
      <c r="D1432" s="3" t="s">
        <v>392</v>
      </c>
      <c r="E1432" s="3" t="s">
        <v>398</v>
      </c>
      <c r="F1432" s="16" t="n">
        <v>24</v>
      </c>
      <c r="G1432" s="15" t="n">
        <v>0</v>
      </c>
      <c r="H1432" s="16" t="n">
        <v>10</v>
      </c>
      <c r="I1432" s="33" t="n">
        <v>22612.2</v>
      </c>
      <c r="J1432" s="33" t="n">
        <v>22612.2</v>
      </c>
    </row>
    <row r="1433" customFormat="false" ht="15" hidden="false" customHeight="false" outlineLevel="0" collapsed="false">
      <c r="A1433" s="3" t="s">
        <v>1823</v>
      </c>
      <c r="B1433" s="3" t="s">
        <v>282</v>
      </c>
      <c r="C1433" s="3" t="s">
        <v>401</v>
      </c>
      <c r="D1433" s="3" t="s">
        <v>381</v>
      </c>
      <c r="E1433" s="3" t="s">
        <v>385</v>
      </c>
      <c r="F1433" s="16" t="n">
        <v>12</v>
      </c>
      <c r="G1433" s="15" t="n">
        <v>0</v>
      </c>
      <c r="H1433" s="16" t="n">
        <v>8</v>
      </c>
      <c r="I1433" s="33" t="n">
        <v>22581</v>
      </c>
      <c r="J1433" s="33" t="n">
        <v>22581</v>
      </c>
    </row>
    <row r="1434" customFormat="false" ht="15" hidden="false" customHeight="false" outlineLevel="0" collapsed="false">
      <c r="A1434" s="3" t="s">
        <v>1824</v>
      </c>
      <c r="B1434" s="3" t="s">
        <v>283</v>
      </c>
      <c r="C1434" s="3" t="s">
        <v>396</v>
      </c>
      <c r="D1434" s="3" t="s">
        <v>418</v>
      </c>
      <c r="E1434" s="3" t="s">
        <v>398</v>
      </c>
      <c r="F1434" s="16" t="n">
        <v>12</v>
      </c>
      <c r="G1434" s="15" t="n">
        <v>0.1</v>
      </c>
      <c r="H1434" s="16" t="n">
        <v>5</v>
      </c>
      <c r="I1434" s="33" t="n">
        <v>22499.16</v>
      </c>
      <c r="J1434" s="33" t="n">
        <v>24999.12</v>
      </c>
    </row>
    <row r="1435" customFormat="false" ht="15" hidden="false" customHeight="false" outlineLevel="0" collapsed="false">
      <c r="A1435" s="3" t="s">
        <v>1825</v>
      </c>
      <c r="B1435" s="3" t="s">
        <v>282</v>
      </c>
      <c r="C1435" s="3" t="s">
        <v>396</v>
      </c>
      <c r="D1435" s="3" t="s">
        <v>381</v>
      </c>
      <c r="E1435" s="3" t="s">
        <v>382</v>
      </c>
      <c r="F1435" s="16" t="n">
        <v>24</v>
      </c>
      <c r="G1435" s="15" t="n">
        <v>0.15</v>
      </c>
      <c r="H1435" s="16" t="n">
        <v>8</v>
      </c>
      <c r="I1435" s="33" t="n">
        <v>22466.52</v>
      </c>
      <c r="J1435" s="33" t="n">
        <v>26431.2</v>
      </c>
    </row>
    <row r="1436" customFormat="false" ht="15" hidden="false" customHeight="false" outlineLevel="0" collapsed="false">
      <c r="A1436" s="3" t="s">
        <v>1826</v>
      </c>
      <c r="B1436" s="3" t="s">
        <v>282</v>
      </c>
      <c r="C1436" s="3" t="s">
        <v>401</v>
      </c>
      <c r="D1436" s="3" t="s">
        <v>418</v>
      </c>
      <c r="E1436" s="3" t="s">
        <v>385</v>
      </c>
      <c r="F1436" s="16" t="n">
        <v>12</v>
      </c>
      <c r="G1436" s="15" t="n">
        <v>0</v>
      </c>
      <c r="H1436" s="16" t="n">
        <v>12</v>
      </c>
      <c r="I1436" s="33" t="n">
        <v>22466.28</v>
      </c>
      <c r="J1436" s="33" t="n">
        <v>22466.28</v>
      </c>
    </row>
    <row r="1437" customFormat="false" ht="15" hidden="false" customHeight="false" outlineLevel="0" collapsed="false">
      <c r="A1437" s="3" t="s">
        <v>1827</v>
      </c>
      <c r="B1437" s="3" t="s">
        <v>282</v>
      </c>
      <c r="C1437" s="3" t="s">
        <v>403</v>
      </c>
      <c r="D1437" s="3" t="s">
        <v>381</v>
      </c>
      <c r="E1437" s="3" t="s">
        <v>398</v>
      </c>
      <c r="F1437" s="16" t="n">
        <v>12</v>
      </c>
      <c r="G1437" s="15" t="n">
        <v>0.25</v>
      </c>
      <c r="H1437" s="16" t="n">
        <v>7</v>
      </c>
      <c r="I1437" s="33" t="n">
        <v>22443.6</v>
      </c>
      <c r="J1437" s="33" t="n">
        <v>29924.76</v>
      </c>
    </row>
    <row r="1438" customFormat="false" ht="15" hidden="false" customHeight="false" outlineLevel="0" collapsed="false">
      <c r="A1438" s="3" t="s">
        <v>1828</v>
      </c>
      <c r="B1438" s="3" t="s">
        <v>283</v>
      </c>
      <c r="C1438" s="3" t="s">
        <v>401</v>
      </c>
      <c r="D1438" s="3" t="s">
        <v>692</v>
      </c>
      <c r="E1438" s="3" t="s">
        <v>385</v>
      </c>
      <c r="F1438" s="16" t="n">
        <v>1</v>
      </c>
      <c r="G1438" s="15" t="n">
        <v>0</v>
      </c>
      <c r="H1438" s="16" t="n">
        <v>1</v>
      </c>
      <c r="I1438" s="33" t="n">
        <v>22405.2</v>
      </c>
      <c r="J1438" s="33" t="n">
        <v>22405.2</v>
      </c>
    </row>
    <row r="1439" customFormat="false" ht="15" hidden="false" customHeight="false" outlineLevel="0" collapsed="false">
      <c r="A1439" s="3" t="s">
        <v>1829</v>
      </c>
      <c r="B1439" s="3" t="s">
        <v>282</v>
      </c>
      <c r="C1439" s="3" t="s">
        <v>380</v>
      </c>
      <c r="D1439" s="3" t="s">
        <v>392</v>
      </c>
      <c r="E1439" s="3" t="s">
        <v>398</v>
      </c>
      <c r="F1439" s="16" t="n">
        <v>24</v>
      </c>
      <c r="G1439" s="15" t="n">
        <v>0</v>
      </c>
      <c r="H1439" s="16" t="n">
        <v>6</v>
      </c>
      <c r="I1439" s="33" t="n">
        <v>22393.44</v>
      </c>
      <c r="J1439" s="33" t="n">
        <v>22393.44</v>
      </c>
    </row>
    <row r="1440" customFormat="false" ht="15" hidden="false" customHeight="false" outlineLevel="0" collapsed="false">
      <c r="A1440" s="3" t="s">
        <v>1830</v>
      </c>
      <c r="B1440" s="3" t="s">
        <v>283</v>
      </c>
      <c r="C1440" s="3" t="s">
        <v>396</v>
      </c>
      <c r="D1440" s="3" t="s">
        <v>418</v>
      </c>
      <c r="E1440" s="3" t="s">
        <v>398</v>
      </c>
      <c r="F1440" s="16" t="n">
        <v>12</v>
      </c>
      <c r="G1440" s="15" t="n">
        <v>0</v>
      </c>
      <c r="H1440" s="16" t="n">
        <v>6</v>
      </c>
      <c r="I1440" s="33" t="n">
        <v>22375.92</v>
      </c>
      <c r="J1440" s="33" t="n">
        <v>22375.92</v>
      </c>
    </row>
    <row r="1441" customFormat="false" ht="15" hidden="false" customHeight="false" outlineLevel="0" collapsed="false">
      <c r="A1441" s="3" t="s">
        <v>1831</v>
      </c>
      <c r="B1441" s="3" t="s">
        <v>282</v>
      </c>
      <c r="C1441" s="3" t="s">
        <v>403</v>
      </c>
      <c r="D1441" s="3" t="s">
        <v>381</v>
      </c>
      <c r="E1441" s="3" t="s">
        <v>385</v>
      </c>
      <c r="F1441" s="16" t="n">
        <v>12</v>
      </c>
      <c r="G1441" s="15" t="n">
        <v>0.075</v>
      </c>
      <c r="H1441" s="16" t="n">
        <v>8</v>
      </c>
      <c r="I1441" s="33" t="n">
        <v>22356.48</v>
      </c>
      <c r="J1441" s="33" t="n">
        <v>24169.2</v>
      </c>
    </row>
    <row r="1442" customFormat="false" ht="15" hidden="false" customHeight="false" outlineLevel="0" collapsed="false">
      <c r="A1442" s="3" t="s">
        <v>1832</v>
      </c>
      <c r="B1442" s="3" t="s">
        <v>282</v>
      </c>
      <c r="C1442" s="3" t="s">
        <v>384</v>
      </c>
      <c r="D1442" s="3" t="s">
        <v>392</v>
      </c>
      <c r="E1442" s="3" t="s">
        <v>385</v>
      </c>
      <c r="F1442" s="16" t="n">
        <v>24</v>
      </c>
      <c r="G1442" s="15" t="n">
        <v>0</v>
      </c>
      <c r="H1442" s="16" t="n">
        <v>18</v>
      </c>
      <c r="I1442" s="33" t="n">
        <v>22353.36</v>
      </c>
      <c r="J1442" s="33" t="n">
        <v>22353.36</v>
      </c>
    </row>
    <row r="1443" customFormat="false" ht="15" hidden="false" customHeight="false" outlineLevel="0" collapsed="false">
      <c r="A1443" s="3" t="s">
        <v>1833</v>
      </c>
      <c r="B1443" s="3" t="s">
        <v>282</v>
      </c>
      <c r="C1443" s="3" t="s">
        <v>401</v>
      </c>
      <c r="D1443" s="3" t="s">
        <v>392</v>
      </c>
      <c r="E1443" s="3" t="s">
        <v>385</v>
      </c>
      <c r="F1443" s="16" t="n">
        <v>24</v>
      </c>
      <c r="G1443" s="15" t="n">
        <v>0</v>
      </c>
      <c r="H1443" s="16" t="n">
        <v>18</v>
      </c>
      <c r="I1443" s="33" t="n">
        <v>22343.28</v>
      </c>
      <c r="J1443" s="33" t="n">
        <v>22343.28</v>
      </c>
    </row>
    <row r="1444" customFormat="false" ht="15" hidden="false" customHeight="false" outlineLevel="0" collapsed="false">
      <c r="A1444" s="3" t="s">
        <v>1834</v>
      </c>
      <c r="B1444" s="3" t="s">
        <v>282</v>
      </c>
      <c r="C1444" s="3" t="s">
        <v>380</v>
      </c>
      <c r="D1444" s="3" t="s">
        <v>418</v>
      </c>
      <c r="E1444" s="3" t="s">
        <v>385</v>
      </c>
      <c r="F1444" s="16" t="n">
        <v>24</v>
      </c>
      <c r="G1444" s="15" t="n">
        <v>0.3</v>
      </c>
      <c r="H1444" s="16" t="n">
        <v>21</v>
      </c>
      <c r="I1444" s="33" t="n">
        <v>22323.84</v>
      </c>
      <c r="J1444" s="33" t="n">
        <v>31891.08</v>
      </c>
    </row>
    <row r="1445" customFormat="false" ht="15" hidden="false" customHeight="false" outlineLevel="0" collapsed="false">
      <c r="A1445" s="3" t="s">
        <v>1835</v>
      </c>
      <c r="B1445" s="3" t="s">
        <v>282</v>
      </c>
      <c r="C1445" s="3" t="s">
        <v>387</v>
      </c>
      <c r="D1445" s="3" t="s">
        <v>392</v>
      </c>
      <c r="E1445" s="3" t="s">
        <v>385</v>
      </c>
      <c r="F1445" s="16" t="n">
        <v>12</v>
      </c>
      <c r="G1445" s="15" t="n">
        <v>0</v>
      </c>
      <c r="H1445" s="16" t="n">
        <v>7</v>
      </c>
      <c r="I1445" s="33" t="n">
        <v>22301.4</v>
      </c>
      <c r="J1445" s="33" t="n">
        <v>22301.4</v>
      </c>
    </row>
    <row r="1446" customFormat="false" ht="15" hidden="false" customHeight="false" outlineLevel="0" collapsed="false">
      <c r="A1446" s="3" t="s">
        <v>1836</v>
      </c>
      <c r="B1446" s="3" t="s">
        <v>283</v>
      </c>
      <c r="C1446" s="3" t="s">
        <v>387</v>
      </c>
      <c r="D1446" s="3" t="s">
        <v>388</v>
      </c>
      <c r="E1446" s="3" t="s">
        <v>385</v>
      </c>
      <c r="F1446" s="16" t="n">
        <v>1</v>
      </c>
      <c r="G1446" s="15" t="n">
        <v>0</v>
      </c>
      <c r="H1446" s="16" t="n">
        <v>1</v>
      </c>
      <c r="I1446" s="33" t="n">
        <v>22260.48</v>
      </c>
      <c r="J1446" s="33" t="n">
        <v>22260.48</v>
      </c>
    </row>
    <row r="1447" customFormat="false" ht="15" hidden="false" customHeight="false" outlineLevel="0" collapsed="false">
      <c r="A1447" s="3" t="s">
        <v>1837</v>
      </c>
      <c r="B1447" s="3" t="s">
        <v>282</v>
      </c>
      <c r="C1447" s="3" t="s">
        <v>387</v>
      </c>
      <c r="D1447" s="3" t="s">
        <v>392</v>
      </c>
      <c r="E1447" s="3" t="s">
        <v>382</v>
      </c>
      <c r="F1447" s="16" t="n">
        <v>24</v>
      </c>
      <c r="G1447" s="15" t="n">
        <v>0.15</v>
      </c>
      <c r="H1447" s="16" t="n">
        <v>14</v>
      </c>
      <c r="I1447" s="33" t="n">
        <v>22245.36</v>
      </c>
      <c r="J1447" s="33" t="n">
        <v>26171.04</v>
      </c>
    </row>
    <row r="1448" customFormat="false" ht="15" hidden="false" customHeight="false" outlineLevel="0" collapsed="false">
      <c r="A1448" s="3" t="s">
        <v>1838</v>
      </c>
      <c r="B1448" s="3" t="s">
        <v>283</v>
      </c>
      <c r="C1448" s="3" t="s">
        <v>405</v>
      </c>
      <c r="D1448" s="3" t="s">
        <v>381</v>
      </c>
      <c r="E1448" s="3" t="s">
        <v>398</v>
      </c>
      <c r="F1448" s="16" t="n">
        <v>1</v>
      </c>
      <c r="G1448" s="15" t="n">
        <v>0</v>
      </c>
      <c r="H1448" s="16" t="n">
        <v>1</v>
      </c>
      <c r="I1448" s="33" t="n">
        <v>22242.48</v>
      </c>
      <c r="J1448" s="33" t="n">
        <v>22242.48</v>
      </c>
    </row>
    <row r="1449" customFormat="false" ht="15" hidden="false" customHeight="false" outlineLevel="0" collapsed="false">
      <c r="A1449" s="3" t="s">
        <v>1839</v>
      </c>
      <c r="B1449" s="3" t="s">
        <v>283</v>
      </c>
      <c r="C1449" s="3" t="s">
        <v>401</v>
      </c>
      <c r="D1449" s="3" t="s">
        <v>392</v>
      </c>
      <c r="E1449" s="3" t="s">
        <v>382</v>
      </c>
      <c r="F1449" s="16" t="n">
        <v>12</v>
      </c>
      <c r="G1449" s="15" t="n">
        <v>0.35</v>
      </c>
      <c r="H1449" s="16" t="n">
        <v>9</v>
      </c>
      <c r="I1449" s="33" t="n">
        <v>22137.96</v>
      </c>
      <c r="J1449" s="33" t="n">
        <v>34058.28</v>
      </c>
    </row>
    <row r="1450" customFormat="false" ht="15" hidden="false" customHeight="false" outlineLevel="0" collapsed="false">
      <c r="A1450" s="3" t="s">
        <v>1840</v>
      </c>
      <c r="B1450" s="3" t="s">
        <v>282</v>
      </c>
      <c r="C1450" s="3" t="s">
        <v>403</v>
      </c>
      <c r="D1450" s="3" t="s">
        <v>392</v>
      </c>
      <c r="E1450" s="3" t="s">
        <v>398</v>
      </c>
      <c r="F1450" s="16" t="n">
        <v>12</v>
      </c>
      <c r="G1450" s="15" t="n">
        <v>0</v>
      </c>
      <c r="H1450" s="16" t="n">
        <v>1</v>
      </c>
      <c r="I1450" s="33" t="n">
        <v>22116.6</v>
      </c>
      <c r="J1450" s="33" t="n">
        <v>22116.6</v>
      </c>
    </row>
    <row r="1451" customFormat="false" ht="15" hidden="false" customHeight="false" outlineLevel="0" collapsed="false">
      <c r="A1451" s="3" t="s">
        <v>1841</v>
      </c>
      <c r="B1451" s="3" t="s">
        <v>282</v>
      </c>
      <c r="C1451" s="3" t="s">
        <v>380</v>
      </c>
      <c r="D1451" s="3" t="s">
        <v>418</v>
      </c>
      <c r="E1451" s="3" t="s">
        <v>385</v>
      </c>
      <c r="F1451" s="16" t="n">
        <v>12</v>
      </c>
      <c r="G1451" s="15" t="n">
        <v>0</v>
      </c>
      <c r="H1451" s="16" t="n">
        <v>7</v>
      </c>
      <c r="I1451" s="33" t="n">
        <v>22060.32</v>
      </c>
      <c r="J1451" s="33" t="n">
        <v>22060.32</v>
      </c>
    </row>
    <row r="1452" customFormat="false" ht="15" hidden="false" customHeight="false" outlineLevel="0" collapsed="false">
      <c r="A1452" s="3" t="s">
        <v>1842</v>
      </c>
      <c r="B1452" s="3" t="s">
        <v>283</v>
      </c>
      <c r="C1452" s="3" t="s">
        <v>396</v>
      </c>
      <c r="D1452" s="3" t="s">
        <v>692</v>
      </c>
      <c r="E1452" s="3" t="s">
        <v>398</v>
      </c>
      <c r="F1452" s="16" t="n">
        <v>1</v>
      </c>
      <c r="G1452" s="15" t="n">
        <v>0</v>
      </c>
      <c r="H1452" s="16" t="n">
        <v>1</v>
      </c>
      <c r="I1452" s="33" t="n">
        <v>22045.68</v>
      </c>
      <c r="J1452" s="33" t="n">
        <v>22045.68</v>
      </c>
    </row>
    <row r="1453" customFormat="false" ht="15" hidden="false" customHeight="false" outlineLevel="0" collapsed="false">
      <c r="A1453" s="3" t="s">
        <v>1843</v>
      </c>
      <c r="B1453" s="3" t="s">
        <v>282</v>
      </c>
      <c r="C1453" s="3" t="s">
        <v>405</v>
      </c>
      <c r="D1453" s="3" t="s">
        <v>392</v>
      </c>
      <c r="E1453" s="3" t="s">
        <v>385</v>
      </c>
      <c r="F1453" s="16" t="n">
        <v>12</v>
      </c>
      <c r="G1453" s="15" t="n">
        <v>0</v>
      </c>
      <c r="H1453" s="16" t="n">
        <v>12</v>
      </c>
      <c r="I1453" s="33" t="n">
        <v>22028.04</v>
      </c>
      <c r="J1453" s="33" t="n">
        <v>22028.04</v>
      </c>
    </row>
    <row r="1454" customFormat="false" ht="15" hidden="false" customHeight="false" outlineLevel="0" collapsed="false">
      <c r="A1454" s="3" t="s">
        <v>1844</v>
      </c>
      <c r="B1454" s="3" t="s">
        <v>282</v>
      </c>
      <c r="C1454" s="3" t="s">
        <v>380</v>
      </c>
      <c r="D1454" s="3" t="s">
        <v>392</v>
      </c>
      <c r="E1454" s="3" t="s">
        <v>398</v>
      </c>
      <c r="F1454" s="16" t="n">
        <v>12</v>
      </c>
      <c r="G1454" s="15" t="n">
        <v>0</v>
      </c>
      <c r="H1454" s="16" t="n">
        <v>8</v>
      </c>
      <c r="I1454" s="33" t="n">
        <v>22005.96</v>
      </c>
      <c r="J1454" s="33" t="n">
        <v>22005.96</v>
      </c>
    </row>
    <row r="1455" customFormat="false" ht="15" hidden="false" customHeight="false" outlineLevel="0" collapsed="false">
      <c r="A1455" s="3" t="s">
        <v>1845</v>
      </c>
      <c r="B1455" s="3" t="s">
        <v>282</v>
      </c>
      <c r="C1455" s="3" t="s">
        <v>396</v>
      </c>
      <c r="D1455" s="3" t="s">
        <v>381</v>
      </c>
      <c r="E1455" s="3" t="s">
        <v>398</v>
      </c>
      <c r="F1455" s="16" t="n">
        <v>12</v>
      </c>
      <c r="G1455" s="15" t="n">
        <v>0.15</v>
      </c>
      <c r="H1455" s="16" t="n">
        <v>2</v>
      </c>
      <c r="I1455" s="33" t="n">
        <v>21994.56</v>
      </c>
      <c r="J1455" s="33" t="n">
        <v>25875.96</v>
      </c>
    </row>
    <row r="1456" customFormat="false" ht="15" hidden="false" customHeight="false" outlineLevel="0" collapsed="false">
      <c r="A1456" s="3" t="s">
        <v>1846</v>
      </c>
      <c r="B1456" s="3" t="s">
        <v>282</v>
      </c>
      <c r="C1456" s="3" t="s">
        <v>380</v>
      </c>
      <c r="D1456" s="3" t="s">
        <v>392</v>
      </c>
      <c r="E1456" s="3" t="s">
        <v>398</v>
      </c>
      <c r="F1456" s="16" t="n">
        <v>12</v>
      </c>
      <c r="G1456" s="15" t="n">
        <v>0</v>
      </c>
      <c r="H1456" s="16" t="n">
        <v>4</v>
      </c>
      <c r="I1456" s="33" t="n">
        <v>21955.32</v>
      </c>
      <c r="J1456" s="33" t="n">
        <v>21955.32</v>
      </c>
    </row>
    <row r="1457" customFormat="false" ht="15" hidden="false" customHeight="false" outlineLevel="0" collapsed="false">
      <c r="A1457" s="3" t="s">
        <v>1847</v>
      </c>
      <c r="B1457" s="3" t="s">
        <v>282</v>
      </c>
      <c r="C1457" s="3" t="s">
        <v>405</v>
      </c>
      <c r="D1457" s="3" t="s">
        <v>381</v>
      </c>
      <c r="E1457" s="3" t="s">
        <v>398</v>
      </c>
      <c r="F1457" s="16" t="n">
        <v>24</v>
      </c>
      <c r="G1457" s="15" t="n">
        <v>0.1</v>
      </c>
      <c r="H1457" s="16" t="n">
        <v>16</v>
      </c>
      <c r="I1457" s="33" t="n">
        <v>21940.68</v>
      </c>
      <c r="J1457" s="33" t="n">
        <v>24378.48</v>
      </c>
    </row>
    <row r="1458" customFormat="false" ht="15" hidden="false" customHeight="false" outlineLevel="0" collapsed="false">
      <c r="A1458" s="3" t="s">
        <v>1848</v>
      </c>
      <c r="B1458" s="3" t="s">
        <v>282</v>
      </c>
      <c r="C1458" s="3" t="s">
        <v>380</v>
      </c>
      <c r="D1458" s="3" t="s">
        <v>392</v>
      </c>
      <c r="E1458" s="3" t="s">
        <v>398</v>
      </c>
      <c r="F1458" s="16" t="n">
        <v>12</v>
      </c>
      <c r="G1458" s="15" t="n">
        <v>0.2</v>
      </c>
      <c r="H1458" s="16" t="n">
        <v>1</v>
      </c>
      <c r="I1458" s="33" t="n">
        <v>21934.8</v>
      </c>
      <c r="J1458" s="33" t="n">
        <v>27418.44</v>
      </c>
    </row>
    <row r="1459" customFormat="false" ht="15" hidden="false" customHeight="false" outlineLevel="0" collapsed="false">
      <c r="A1459" s="3" t="s">
        <v>1849</v>
      </c>
      <c r="B1459" s="3" t="s">
        <v>282</v>
      </c>
      <c r="C1459" s="3" t="s">
        <v>384</v>
      </c>
      <c r="D1459" s="3" t="s">
        <v>392</v>
      </c>
      <c r="E1459" s="3" t="s">
        <v>398</v>
      </c>
      <c r="F1459" s="16" t="n">
        <v>12</v>
      </c>
      <c r="G1459" s="15" t="n">
        <v>0</v>
      </c>
      <c r="H1459" s="16" t="n">
        <v>5</v>
      </c>
      <c r="I1459" s="33" t="n">
        <v>21933.84</v>
      </c>
      <c r="J1459" s="33" t="n">
        <v>21933.84</v>
      </c>
    </row>
    <row r="1460" customFormat="false" ht="15" hidden="false" customHeight="false" outlineLevel="0" collapsed="false">
      <c r="A1460" s="3" t="s">
        <v>1850</v>
      </c>
      <c r="B1460" s="3" t="s">
        <v>283</v>
      </c>
      <c r="C1460" s="3" t="s">
        <v>396</v>
      </c>
      <c r="D1460" s="3" t="s">
        <v>381</v>
      </c>
      <c r="E1460" s="3" t="s">
        <v>398</v>
      </c>
      <c r="F1460" s="16" t="n">
        <v>1</v>
      </c>
      <c r="G1460" s="15" t="n">
        <v>0</v>
      </c>
      <c r="H1460" s="16" t="n">
        <v>1</v>
      </c>
      <c r="I1460" s="33" t="n">
        <v>21932.76</v>
      </c>
      <c r="J1460" s="33" t="n">
        <v>21932.76</v>
      </c>
    </row>
    <row r="1461" customFormat="false" ht="15" hidden="false" customHeight="false" outlineLevel="0" collapsed="false">
      <c r="A1461" s="3" t="s">
        <v>1851</v>
      </c>
      <c r="B1461" s="3" t="s">
        <v>283</v>
      </c>
      <c r="C1461" s="3" t="s">
        <v>384</v>
      </c>
      <c r="D1461" s="3" t="s">
        <v>418</v>
      </c>
      <c r="E1461" s="3" t="s">
        <v>385</v>
      </c>
      <c r="F1461" s="16" t="n">
        <v>1</v>
      </c>
      <c r="G1461" s="15" t="n">
        <v>0</v>
      </c>
      <c r="H1461" s="16" t="n">
        <v>1</v>
      </c>
      <c r="I1461" s="33" t="n">
        <v>21918.6</v>
      </c>
      <c r="J1461" s="33" t="n">
        <v>21918.6</v>
      </c>
    </row>
    <row r="1462" customFormat="false" ht="15" hidden="false" customHeight="false" outlineLevel="0" collapsed="false">
      <c r="A1462" s="3" t="s">
        <v>1852</v>
      </c>
      <c r="B1462" s="3" t="s">
        <v>282</v>
      </c>
      <c r="C1462" s="3" t="s">
        <v>396</v>
      </c>
      <c r="D1462" s="3" t="s">
        <v>418</v>
      </c>
      <c r="E1462" s="3" t="s">
        <v>398</v>
      </c>
      <c r="F1462" s="16" t="n">
        <v>12</v>
      </c>
      <c r="G1462" s="15" t="n">
        <v>0</v>
      </c>
      <c r="H1462" s="16" t="n">
        <v>3</v>
      </c>
      <c r="I1462" s="33" t="n">
        <v>21918.36</v>
      </c>
      <c r="J1462" s="33" t="n">
        <v>21918.36</v>
      </c>
    </row>
    <row r="1463" customFormat="false" ht="15" hidden="false" customHeight="false" outlineLevel="0" collapsed="false">
      <c r="A1463" s="3" t="s">
        <v>1853</v>
      </c>
      <c r="B1463" s="3" t="s">
        <v>283</v>
      </c>
      <c r="C1463" s="3" t="s">
        <v>380</v>
      </c>
      <c r="D1463" s="3" t="s">
        <v>392</v>
      </c>
      <c r="E1463" s="3" t="s">
        <v>398</v>
      </c>
      <c r="F1463" s="16" t="n">
        <v>1</v>
      </c>
      <c r="G1463" s="15" t="n">
        <v>0</v>
      </c>
      <c r="H1463" s="16" t="n">
        <v>1</v>
      </c>
      <c r="I1463" s="33" t="n">
        <v>21905.16</v>
      </c>
      <c r="J1463" s="33" t="n">
        <v>21905.16</v>
      </c>
    </row>
    <row r="1464" customFormat="false" ht="15" hidden="false" customHeight="false" outlineLevel="0" collapsed="false">
      <c r="A1464" s="3" t="s">
        <v>1854</v>
      </c>
      <c r="B1464" s="3" t="s">
        <v>283</v>
      </c>
      <c r="C1464" s="3" t="s">
        <v>384</v>
      </c>
      <c r="D1464" s="3" t="s">
        <v>392</v>
      </c>
      <c r="E1464" s="3" t="s">
        <v>398</v>
      </c>
      <c r="F1464" s="16" t="n">
        <v>1</v>
      </c>
      <c r="G1464" s="15" t="n">
        <v>0</v>
      </c>
      <c r="H1464" s="16" t="n">
        <v>1</v>
      </c>
      <c r="I1464" s="33" t="n">
        <v>21870.12</v>
      </c>
      <c r="J1464" s="33" t="n">
        <v>21870.12</v>
      </c>
    </row>
    <row r="1465" customFormat="false" ht="15" hidden="false" customHeight="false" outlineLevel="0" collapsed="false">
      <c r="A1465" s="3" t="s">
        <v>1855</v>
      </c>
      <c r="B1465" s="3" t="s">
        <v>283</v>
      </c>
      <c r="C1465" s="3" t="s">
        <v>387</v>
      </c>
      <c r="D1465" s="3" t="s">
        <v>692</v>
      </c>
      <c r="E1465" s="3" t="s">
        <v>382</v>
      </c>
      <c r="F1465" s="16" t="n">
        <v>1</v>
      </c>
      <c r="G1465" s="15" t="n">
        <v>0</v>
      </c>
      <c r="H1465" s="16" t="n">
        <v>1</v>
      </c>
      <c r="I1465" s="33" t="n">
        <v>21861.84</v>
      </c>
      <c r="J1465" s="33" t="n">
        <v>21861.84</v>
      </c>
    </row>
    <row r="1466" customFormat="false" ht="15" hidden="false" customHeight="false" outlineLevel="0" collapsed="false">
      <c r="A1466" s="3" t="s">
        <v>1856</v>
      </c>
      <c r="B1466" s="3" t="s">
        <v>283</v>
      </c>
      <c r="C1466" s="3" t="s">
        <v>401</v>
      </c>
      <c r="D1466" s="3" t="s">
        <v>392</v>
      </c>
      <c r="E1466" s="3" t="s">
        <v>398</v>
      </c>
      <c r="F1466" s="16" t="n">
        <v>12</v>
      </c>
      <c r="G1466" s="15" t="n">
        <v>0</v>
      </c>
      <c r="H1466" s="16" t="n">
        <v>3</v>
      </c>
      <c r="I1466" s="33" t="n">
        <v>21834.72</v>
      </c>
      <c r="J1466" s="33" t="n">
        <v>21834.72</v>
      </c>
    </row>
    <row r="1467" customFormat="false" ht="15" hidden="false" customHeight="false" outlineLevel="0" collapsed="false">
      <c r="A1467" s="3" t="s">
        <v>1857</v>
      </c>
      <c r="B1467" s="3" t="s">
        <v>282</v>
      </c>
      <c r="C1467" s="3" t="s">
        <v>403</v>
      </c>
      <c r="D1467" s="3" t="s">
        <v>392</v>
      </c>
      <c r="E1467" s="3" t="s">
        <v>385</v>
      </c>
      <c r="F1467" s="16" t="n">
        <v>12</v>
      </c>
      <c r="G1467" s="15" t="n">
        <v>0</v>
      </c>
      <c r="H1467" s="16" t="n">
        <v>11</v>
      </c>
      <c r="I1467" s="33" t="n">
        <v>21791.76</v>
      </c>
      <c r="J1467" s="33" t="n">
        <v>21791.76</v>
      </c>
    </row>
    <row r="1468" customFormat="false" ht="15" hidden="false" customHeight="false" outlineLevel="0" collapsed="false">
      <c r="A1468" s="3" t="s">
        <v>1858</v>
      </c>
      <c r="B1468" s="3" t="s">
        <v>282</v>
      </c>
      <c r="C1468" s="3" t="s">
        <v>396</v>
      </c>
      <c r="D1468" s="3" t="s">
        <v>388</v>
      </c>
      <c r="E1468" s="3" t="s">
        <v>385</v>
      </c>
      <c r="F1468" s="16" t="n">
        <v>12</v>
      </c>
      <c r="G1468" s="15" t="n">
        <v>0</v>
      </c>
      <c r="H1468" s="16" t="n">
        <v>12</v>
      </c>
      <c r="I1468" s="33" t="n">
        <v>21756</v>
      </c>
      <c r="J1468" s="33" t="n">
        <v>21756</v>
      </c>
    </row>
    <row r="1469" customFormat="false" ht="15" hidden="false" customHeight="false" outlineLevel="0" collapsed="false">
      <c r="A1469" s="3" t="s">
        <v>1859</v>
      </c>
      <c r="B1469" s="3" t="s">
        <v>283</v>
      </c>
      <c r="C1469" s="3" t="s">
        <v>403</v>
      </c>
      <c r="D1469" s="3" t="s">
        <v>388</v>
      </c>
      <c r="E1469" s="3" t="s">
        <v>398</v>
      </c>
      <c r="F1469" s="16" t="n">
        <v>12</v>
      </c>
      <c r="G1469" s="15" t="n">
        <v>0</v>
      </c>
      <c r="H1469" s="16" t="n">
        <v>8</v>
      </c>
      <c r="I1469" s="33" t="n">
        <v>21743.76</v>
      </c>
      <c r="J1469" s="33" t="n">
        <v>21743.76</v>
      </c>
    </row>
    <row r="1470" customFormat="false" ht="15" hidden="false" customHeight="false" outlineLevel="0" collapsed="false">
      <c r="A1470" s="3" t="s">
        <v>1860</v>
      </c>
      <c r="B1470" s="3" t="s">
        <v>283</v>
      </c>
      <c r="C1470" s="3" t="s">
        <v>403</v>
      </c>
      <c r="D1470" s="3" t="s">
        <v>692</v>
      </c>
      <c r="E1470" s="3" t="s">
        <v>382</v>
      </c>
      <c r="F1470" s="16" t="n">
        <v>1</v>
      </c>
      <c r="G1470" s="15" t="n">
        <v>0</v>
      </c>
      <c r="H1470" s="16" t="n">
        <v>1</v>
      </c>
      <c r="I1470" s="33" t="n">
        <v>21730.2</v>
      </c>
      <c r="J1470" s="33" t="n">
        <v>21730.2</v>
      </c>
    </row>
    <row r="1471" customFormat="false" ht="15" hidden="false" customHeight="false" outlineLevel="0" collapsed="false">
      <c r="A1471" s="3" t="s">
        <v>1861</v>
      </c>
      <c r="B1471" s="3" t="s">
        <v>282</v>
      </c>
      <c r="C1471" s="3" t="s">
        <v>401</v>
      </c>
      <c r="D1471" s="3" t="s">
        <v>388</v>
      </c>
      <c r="E1471" s="3" t="s">
        <v>382</v>
      </c>
      <c r="F1471" s="16" t="n">
        <v>24</v>
      </c>
      <c r="G1471" s="15" t="n">
        <v>0</v>
      </c>
      <c r="H1471" s="16" t="n">
        <v>16</v>
      </c>
      <c r="I1471" s="33" t="n">
        <v>21701.16</v>
      </c>
      <c r="J1471" s="33" t="n">
        <v>21701.16</v>
      </c>
    </row>
    <row r="1472" customFormat="false" ht="15" hidden="false" customHeight="false" outlineLevel="0" collapsed="false">
      <c r="A1472" s="3" t="s">
        <v>1862</v>
      </c>
      <c r="B1472" s="3" t="s">
        <v>282</v>
      </c>
      <c r="C1472" s="3" t="s">
        <v>401</v>
      </c>
      <c r="D1472" s="3" t="s">
        <v>381</v>
      </c>
      <c r="E1472" s="3" t="s">
        <v>398</v>
      </c>
      <c r="F1472" s="16" t="n">
        <v>24</v>
      </c>
      <c r="G1472" s="15" t="n">
        <v>0</v>
      </c>
      <c r="H1472" s="16" t="n">
        <v>1</v>
      </c>
      <c r="I1472" s="33" t="n">
        <v>21696.96</v>
      </c>
      <c r="J1472" s="33" t="n">
        <v>21696.96</v>
      </c>
    </row>
    <row r="1473" customFormat="false" ht="15" hidden="false" customHeight="false" outlineLevel="0" collapsed="false">
      <c r="A1473" s="3" t="s">
        <v>1863</v>
      </c>
      <c r="B1473" s="3" t="s">
        <v>282</v>
      </c>
      <c r="C1473" s="3" t="s">
        <v>396</v>
      </c>
      <c r="D1473" s="3" t="s">
        <v>381</v>
      </c>
      <c r="E1473" s="3" t="s">
        <v>398</v>
      </c>
      <c r="F1473" s="16" t="n">
        <v>12</v>
      </c>
      <c r="G1473" s="15" t="n">
        <v>0.05</v>
      </c>
      <c r="H1473" s="16" t="n">
        <v>9</v>
      </c>
      <c r="I1473" s="33" t="n">
        <v>21693.72</v>
      </c>
      <c r="J1473" s="33" t="n">
        <v>22835.52</v>
      </c>
    </row>
    <row r="1474" customFormat="false" ht="15" hidden="false" customHeight="false" outlineLevel="0" collapsed="false">
      <c r="A1474" s="3" t="s">
        <v>1864</v>
      </c>
      <c r="B1474" s="3" t="s">
        <v>282</v>
      </c>
      <c r="C1474" s="3" t="s">
        <v>396</v>
      </c>
      <c r="D1474" s="3" t="s">
        <v>381</v>
      </c>
      <c r="E1474" s="3" t="s">
        <v>385</v>
      </c>
      <c r="F1474" s="16" t="n">
        <v>12</v>
      </c>
      <c r="G1474" s="15" t="n">
        <v>0</v>
      </c>
      <c r="H1474" s="16" t="n">
        <v>8</v>
      </c>
      <c r="I1474" s="33" t="n">
        <v>21649.32</v>
      </c>
      <c r="J1474" s="33" t="n">
        <v>21649.32</v>
      </c>
    </row>
    <row r="1475" customFormat="false" ht="15" hidden="false" customHeight="false" outlineLevel="0" collapsed="false">
      <c r="A1475" s="3" t="s">
        <v>1865</v>
      </c>
      <c r="B1475" s="3" t="s">
        <v>282</v>
      </c>
      <c r="C1475" s="3" t="s">
        <v>396</v>
      </c>
      <c r="D1475" s="3" t="s">
        <v>418</v>
      </c>
      <c r="E1475" s="3" t="s">
        <v>382</v>
      </c>
      <c r="F1475" s="16" t="n">
        <v>12</v>
      </c>
      <c r="G1475" s="15" t="n">
        <v>0</v>
      </c>
      <c r="H1475" s="16" t="n">
        <v>12</v>
      </c>
      <c r="I1475" s="33" t="n">
        <v>21633.24</v>
      </c>
      <c r="J1475" s="33" t="n">
        <v>21633.24</v>
      </c>
    </row>
    <row r="1476" customFormat="false" ht="15" hidden="false" customHeight="false" outlineLevel="0" collapsed="false">
      <c r="A1476" s="3" t="s">
        <v>1866</v>
      </c>
      <c r="B1476" s="3" t="s">
        <v>283</v>
      </c>
      <c r="C1476" s="3" t="s">
        <v>387</v>
      </c>
      <c r="D1476" s="3" t="s">
        <v>418</v>
      </c>
      <c r="E1476" s="3" t="s">
        <v>398</v>
      </c>
      <c r="F1476" s="16" t="n">
        <v>12</v>
      </c>
      <c r="G1476" s="15" t="n">
        <v>0</v>
      </c>
      <c r="H1476" s="16" t="n">
        <v>2</v>
      </c>
      <c r="I1476" s="33" t="n">
        <v>21628.44</v>
      </c>
      <c r="J1476" s="33" t="n">
        <v>21628.44</v>
      </c>
    </row>
    <row r="1477" customFormat="false" ht="15" hidden="false" customHeight="false" outlineLevel="0" collapsed="false">
      <c r="A1477" s="3" t="s">
        <v>1867</v>
      </c>
      <c r="B1477" s="3" t="s">
        <v>283</v>
      </c>
      <c r="C1477" s="3" t="s">
        <v>403</v>
      </c>
      <c r="D1477" s="3" t="s">
        <v>381</v>
      </c>
      <c r="E1477" s="3" t="s">
        <v>398</v>
      </c>
      <c r="F1477" s="16" t="n">
        <v>1</v>
      </c>
      <c r="G1477" s="15" t="n">
        <v>0</v>
      </c>
      <c r="H1477" s="16" t="n">
        <v>1</v>
      </c>
      <c r="I1477" s="33" t="n">
        <v>21601.68</v>
      </c>
      <c r="J1477" s="33" t="n">
        <v>21601.68</v>
      </c>
    </row>
    <row r="1478" customFormat="false" ht="15" hidden="false" customHeight="false" outlineLevel="0" collapsed="false">
      <c r="A1478" s="3" t="s">
        <v>1868</v>
      </c>
      <c r="B1478" s="3" t="s">
        <v>282</v>
      </c>
      <c r="C1478" s="3" t="s">
        <v>401</v>
      </c>
      <c r="D1478" s="3" t="s">
        <v>392</v>
      </c>
      <c r="E1478" s="3" t="s">
        <v>398</v>
      </c>
      <c r="F1478" s="16" t="n">
        <v>24</v>
      </c>
      <c r="G1478" s="15" t="n">
        <v>0.1</v>
      </c>
      <c r="H1478" s="16" t="n">
        <v>8</v>
      </c>
      <c r="I1478" s="33" t="n">
        <v>21576.72</v>
      </c>
      <c r="J1478" s="33" t="n">
        <v>23974.2</v>
      </c>
    </row>
    <row r="1479" customFormat="false" ht="15" hidden="false" customHeight="false" outlineLevel="0" collapsed="false">
      <c r="A1479" s="3" t="s">
        <v>1869</v>
      </c>
      <c r="B1479" s="3" t="s">
        <v>283</v>
      </c>
      <c r="C1479" s="3" t="s">
        <v>405</v>
      </c>
      <c r="D1479" s="3" t="s">
        <v>418</v>
      </c>
      <c r="E1479" s="3" t="s">
        <v>398</v>
      </c>
      <c r="F1479" s="16" t="n">
        <v>1</v>
      </c>
      <c r="G1479" s="15" t="n">
        <v>0</v>
      </c>
      <c r="H1479" s="16" t="n">
        <v>1</v>
      </c>
      <c r="I1479" s="33" t="n">
        <v>21575.28</v>
      </c>
      <c r="J1479" s="33" t="n">
        <v>21575.28</v>
      </c>
    </row>
    <row r="1480" customFormat="false" ht="15" hidden="false" customHeight="false" outlineLevel="0" collapsed="false">
      <c r="A1480" s="3" t="s">
        <v>1870</v>
      </c>
      <c r="B1480" s="3" t="s">
        <v>282</v>
      </c>
      <c r="C1480" s="3" t="s">
        <v>396</v>
      </c>
      <c r="D1480" s="3" t="s">
        <v>692</v>
      </c>
      <c r="E1480" s="3" t="s">
        <v>398</v>
      </c>
      <c r="F1480" s="16" t="n">
        <v>24</v>
      </c>
      <c r="G1480" s="15" t="n">
        <v>0</v>
      </c>
      <c r="H1480" s="16" t="n">
        <v>15</v>
      </c>
      <c r="I1480" s="33" t="n">
        <v>21531.96</v>
      </c>
      <c r="J1480" s="33" t="n">
        <v>21531.96</v>
      </c>
    </row>
    <row r="1481" customFormat="false" ht="15" hidden="false" customHeight="false" outlineLevel="0" collapsed="false">
      <c r="A1481" s="3" t="s">
        <v>1871</v>
      </c>
      <c r="B1481" s="3" t="s">
        <v>282</v>
      </c>
      <c r="C1481" s="3" t="s">
        <v>405</v>
      </c>
      <c r="D1481" s="3" t="s">
        <v>418</v>
      </c>
      <c r="E1481" s="3" t="s">
        <v>398</v>
      </c>
      <c r="F1481" s="16" t="n">
        <v>24</v>
      </c>
      <c r="G1481" s="15" t="n">
        <v>0</v>
      </c>
      <c r="H1481" s="16" t="n">
        <v>19</v>
      </c>
      <c r="I1481" s="33" t="n">
        <v>21520.8</v>
      </c>
      <c r="J1481" s="33" t="n">
        <v>21520.8</v>
      </c>
    </row>
    <row r="1482" customFormat="false" ht="15" hidden="false" customHeight="false" outlineLevel="0" collapsed="false">
      <c r="A1482" s="3" t="s">
        <v>1872</v>
      </c>
      <c r="B1482" s="3" t="s">
        <v>282</v>
      </c>
      <c r="C1482" s="3" t="s">
        <v>401</v>
      </c>
      <c r="D1482" s="3" t="s">
        <v>692</v>
      </c>
      <c r="E1482" s="3" t="s">
        <v>398</v>
      </c>
      <c r="F1482" s="16" t="n">
        <v>12</v>
      </c>
      <c r="G1482" s="15" t="n">
        <v>0</v>
      </c>
      <c r="H1482" s="16" t="n">
        <v>2</v>
      </c>
      <c r="I1482" s="33" t="n">
        <v>21510.6</v>
      </c>
      <c r="J1482" s="33" t="n">
        <v>21510.6</v>
      </c>
    </row>
    <row r="1483" customFormat="false" ht="15" hidden="false" customHeight="false" outlineLevel="0" collapsed="false">
      <c r="A1483" s="3" t="s">
        <v>1873</v>
      </c>
      <c r="B1483" s="3" t="s">
        <v>282</v>
      </c>
      <c r="C1483" s="3" t="s">
        <v>396</v>
      </c>
      <c r="D1483" s="3" t="s">
        <v>418</v>
      </c>
      <c r="E1483" s="3" t="s">
        <v>398</v>
      </c>
      <c r="F1483" s="16" t="n">
        <v>12</v>
      </c>
      <c r="G1483" s="15" t="n">
        <v>0.3</v>
      </c>
      <c r="H1483" s="16" t="n">
        <v>3</v>
      </c>
      <c r="I1483" s="33" t="n">
        <v>21470.4</v>
      </c>
      <c r="J1483" s="33" t="n">
        <v>30672</v>
      </c>
    </row>
    <row r="1484" customFormat="false" ht="15" hidden="false" customHeight="false" outlineLevel="0" collapsed="false">
      <c r="A1484" s="3" t="s">
        <v>1874</v>
      </c>
      <c r="B1484" s="3" t="s">
        <v>283</v>
      </c>
      <c r="C1484" s="3" t="s">
        <v>384</v>
      </c>
      <c r="D1484" s="3" t="s">
        <v>692</v>
      </c>
      <c r="E1484" s="3" t="s">
        <v>398</v>
      </c>
      <c r="F1484" s="16" t="n">
        <v>1</v>
      </c>
      <c r="G1484" s="15" t="n">
        <v>0</v>
      </c>
      <c r="H1484" s="16" t="n">
        <v>1</v>
      </c>
      <c r="I1484" s="33" t="n">
        <v>21395.04</v>
      </c>
      <c r="J1484" s="33" t="n">
        <v>21395.04</v>
      </c>
    </row>
    <row r="1485" customFormat="false" ht="15" hidden="false" customHeight="false" outlineLevel="0" collapsed="false">
      <c r="A1485" s="3" t="s">
        <v>1875</v>
      </c>
      <c r="B1485" s="3" t="s">
        <v>283</v>
      </c>
      <c r="C1485" s="3" t="s">
        <v>387</v>
      </c>
      <c r="D1485" s="3" t="s">
        <v>692</v>
      </c>
      <c r="E1485" s="3" t="s">
        <v>398</v>
      </c>
      <c r="F1485" s="16" t="n">
        <v>1</v>
      </c>
      <c r="G1485" s="15" t="n">
        <v>0</v>
      </c>
      <c r="H1485" s="16" t="n">
        <v>1</v>
      </c>
      <c r="I1485" s="33" t="n">
        <v>21369.48</v>
      </c>
      <c r="J1485" s="33" t="n">
        <v>21369.48</v>
      </c>
    </row>
    <row r="1486" customFormat="false" ht="15" hidden="false" customHeight="false" outlineLevel="0" collapsed="false">
      <c r="A1486" s="3" t="s">
        <v>1876</v>
      </c>
      <c r="B1486" s="3" t="s">
        <v>282</v>
      </c>
      <c r="C1486" s="3" t="s">
        <v>384</v>
      </c>
      <c r="D1486" s="3" t="s">
        <v>381</v>
      </c>
      <c r="E1486" s="3" t="s">
        <v>382</v>
      </c>
      <c r="F1486" s="16" t="n">
        <v>24</v>
      </c>
      <c r="G1486" s="15" t="n">
        <v>0.2</v>
      </c>
      <c r="H1486" s="16" t="n">
        <v>16</v>
      </c>
      <c r="I1486" s="33" t="n">
        <v>21368.76</v>
      </c>
      <c r="J1486" s="33" t="n">
        <v>26710.92</v>
      </c>
    </row>
    <row r="1487" customFormat="false" ht="15" hidden="false" customHeight="false" outlineLevel="0" collapsed="false">
      <c r="A1487" s="3" t="s">
        <v>1877</v>
      </c>
      <c r="B1487" s="3" t="s">
        <v>282</v>
      </c>
      <c r="C1487" s="3" t="s">
        <v>387</v>
      </c>
      <c r="D1487" s="3" t="s">
        <v>381</v>
      </c>
      <c r="E1487" s="3" t="s">
        <v>398</v>
      </c>
      <c r="F1487" s="16" t="n">
        <v>12</v>
      </c>
      <c r="G1487" s="15" t="n">
        <v>0</v>
      </c>
      <c r="H1487" s="16" t="n">
        <v>11</v>
      </c>
      <c r="I1487" s="33" t="n">
        <v>21284.4</v>
      </c>
      <c r="J1487" s="33" t="n">
        <v>21284.4</v>
      </c>
    </row>
    <row r="1488" customFormat="false" ht="15" hidden="false" customHeight="false" outlineLevel="0" collapsed="false">
      <c r="A1488" s="3" t="s">
        <v>1878</v>
      </c>
      <c r="B1488" s="3" t="s">
        <v>282</v>
      </c>
      <c r="C1488" s="3" t="s">
        <v>396</v>
      </c>
      <c r="D1488" s="3" t="s">
        <v>418</v>
      </c>
      <c r="E1488" s="3" t="s">
        <v>398</v>
      </c>
      <c r="F1488" s="16" t="n">
        <v>12</v>
      </c>
      <c r="G1488" s="15" t="n">
        <v>0</v>
      </c>
      <c r="H1488" s="16" t="n">
        <v>7</v>
      </c>
      <c r="I1488" s="33" t="n">
        <v>21261.36</v>
      </c>
      <c r="J1488" s="33" t="n">
        <v>21261.36</v>
      </c>
    </row>
    <row r="1489" customFormat="false" ht="15" hidden="false" customHeight="false" outlineLevel="0" collapsed="false">
      <c r="A1489" s="3" t="s">
        <v>1879</v>
      </c>
      <c r="B1489" s="3" t="s">
        <v>283</v>
      </c>
      <c r="C1489" s="3" t="s">
        <v>387</v>
      </c>
      <c r="D1489" s="3" t="s">
        <v>418</v>
      </c>
      <c r="E1489" s="3" t="s">
        <v>398</v>
      </c>
      <c r="F1489" s="16" t="n">
        <v>1</v>
      </c>
      <c r="G1489" s="15" t="n">
        <v>0</v>
      </c>
      <c r="H1489" s="16" t="n">
        <v>1</v>
      </c>
      <c r="I1489" s="33" t="n">
        <v>21259.68</v>
      </c>
      <c r="J1489" s="33" t="n">
        <v>21259.68</v>
      </c>
    </row>
    <row r="1490" customFormat="false" ht="15" hidden="false" customHeight="false" outlineLevel="0" collapsed="false">
      <c r="A1490" s="3" t="s">
        <v>1880</v>
      </c>
      <c r="B1490" s="3" t="s">
        <v>283</v>
      </c>
      <c r="C1490" s="3" t="s">
        <v>387</v>
      </c>
      <c r="D1490" s="3" t="s">
        <v>392</v>
      </c>
      <c r="E1490" s="3" t="s">
        <v>382</v>
      </c>
      <c r="F1490" s="16" t="n">
        <v>1</v>
      </c>
      <c r="G1490" s="15" t="n">
        <v>0.1</v>
      </c>
      <c r="H1490" s="16" t="n">
        <v>1</v>
      </c>
      <c r="I1490" s="33" t="n">
        <v>21202.44</v>
      </c>
      <c r="J1490" s="33" t="n">
        <v>23558.28</v>
      </c>
    </row>
    <row r="1491" customFormat="false" ht="15" hidden="false" customHeight="false" outlineLevel="0" collapsed="false">
      <c r="A1491" s="3" t="s">
        <v>1881</v>
      </c>
      <c r="B1491" s="3" t="s">
        <v>283</v>
      </c>
      <c r="C1491" s="3" t="s">
        <v>401</v>
      </c>
      <c r="D1491" s="3" t="s">
        <v>388</v>
      </c>
      <c r="E1491" s="3" t="s">
        <v>398</v>
      </c>
      <c r="F1491" s="16" t="n">
        <v>1</v>
      </c>
      <c r="G1491" s="15" t="n">
        <v>0</v>
      </c>
      <c r="H1491" s="16" t="n">
        <v>1</v>
      </c>
      <c r="I1491" s="33" t="n">
        <v>21185.16</v>
      </c>
      <c r="J1491" s="33" t="n">
        <v>21185.16</v>
      </c>
    </row>
    <row r="1492" customFormat="false" ht="15" hidden="false" customHeight="false" outlineLevel="0" collapsed="false">
      <c r="A1492" s="3" t="s">
        <v>1882</v>
      </c>
      <c r="B1492" s="3" t="s">
        <v>282</v>
      </c>
      <c r="C1492" s="3" t="s">
        <v>403</v>
      </c>
      <c r="D1492" s="3" t="s">
        <v>392</v>
      </c>
      <c r="E1492" s="3" t="s">
        <v>398</v>
      </c>
      <c r="F1492" s="16" t="n">
        <v>12</v>
      </c>
      <c r="G1492" s="15" t="n">
        <v>0</v>
      </c>
      <c r="H1492" s="16" t="n">
        <v>11</v>
      </c>
      <c r="I1492" s="33" t="n">
        <v>21179.52</v>
      </c>
      <c r="J1492" s="33" t="n">
        <v>21179.52</v>
      </c>
    </row>
    <row r="1493" customFormat="false" ht="15" hidden="false" customHeight="false" outlineLevel="0" collapsed="false">
      <c r="A1493" s="3" t="s">
        <v>1883</v>
      </c>
      <c r="B1493" s="3" t="s">
        <v>282</v>
      </c>
      <c r="C1493" s="3" t="s">
        <v>405</v>
      </c>
      <c r="D1493" s="3" t="s">
        <v>418</v>
      </c>
      <c r="E1493" s="3" t="s">
        <v>398</v>
      </c>
      <c r="F1493" s="16" t="n">
        <v>12</v>
      </c>
      <c r="G1493" s="15" t="n">
        <v>0.25</v>
      </c>
      <c r="H1493" s="16" t="n">
        <v>7</v>
      </c>
      <c r="I1493" s="33" t="n">
        <v>21151.68</v>
      </c>
      <c r="J1493" s="33" t="n">
        <v>28202.28</v>
      </c>
    </row>
    <row r="1494" customFormat="false" ht="15" hidden="false" customHeight="false" outlineLevel="0" collapsed="false">
      <c r="A1494" s="3" t="s">
        <v>1884</v>
      </c>
      <c r="B1494" s="3" t="s">
        <v>282</v>
      </c>
      <c r="C1494" s="3" t="s">
        <v>403</v>
      </c>
      <c r="D1494" s="3" t="s">
        <v>388</v>
      </c>
      <c r="E1494" s="3" t="s">
        <v>398</v>
      </c>
      <c r="F1494" s="16" t="n">
        <v>24</v>
      </c>
      <c r="G1494" s="15" t="n">
        <v>0</v>
      </c>
      <c r="H1494" s="16" t="n">
        <v>19</v>
      </c>
      <c r="I1494" s="33" t="n">
        <v>21139.56</v>
      </c>
      <c r="J1494" s="33" t="n">
        <v>21139.56</v>
      </c>
    </row>
    <row r="1495" customFormat="false" ht="15" hidden="false" customHeight="false" outlineLevel="0" collapsed="false">
      <c r="A1495" s="3" t="s">
        <v>1885</v>
      </c>
      <c r="B1495" s="3" t="s">
        <v>282</v>
      </c>
      <c r="C1495" s="3" t="s">
        <v>401</v>
      </c>
      <c r="D1495" s="3" t="s">
        <v>388</v>
      </c>
      <c r="E1495" s="3" t="s">
        <v>382</v>
      </c>
      <c r="F1495" s="16" t="n">
        <v>12</v>
      </c>
      <c r="G1495" s="15" t="n">
        <v>0</v>
      </c>
      <c r="H1495" s="16" t="n">
        <v>4</v>
      </c>
      <c r="I1495" s="33" t="n">
        <v>21122.28</v>
      </c>
      <c r="J1495" s="33" t="n">
        <v>21122.28</v>
      </c>
    </row>
    <row r="1496" customFormat="false" ht="15" hidden="false" customHeight="false" outlineLevel="0" collapsed="false">
      <c r="A1496" s="3" t="s">
        <v>1886</v>
      </c>
      <c r="B1496" s="3" t="s">
        <v>283</v>
      </c>
      <c r="C1496" s="3" t="s">
        <v>396</v>
      </c>
      <c r="D1496" s="3" t="s">
        <v>418</v>
      </c>
      <c r="E1496" s="3" t="s">
        <v>398</v>
      </c>
      <c r="F1496" s="16" t="n">
        <v>1</v>
      </c>
      <c r="G1496" s="15" t="n">
        <v>0</v>
      </c>
      <c r="H1496" s="16" t="n">
        <v>1</v>
      </c>
      <c r="I1496" s="33" t="n">
        <v>21119.16</v>
      </c>
      <c r="J1496" s="33" t="n">
        <v>21119.16</v>
      </c>
    </row>
    <row r="1497" customFormat="false" ht="15" hidden="false" customHeight="false" outlineLevel="0" collapsed="false">
      <c r="A1497" s="3" t="s">
        <v>1887</v>
      </c>
      <c r="B1497" s="3" t="s">
        <v>283</v>
      </c>
      <c r="C1497" s="3" t="s">
        <v>387</v>
      </c>
      <c r="D1497" s="3" t="s">
        <v>381</v>
      </c>
      <c r="E1497" s="3" t="s">
        <v>382</v>
      </c>
      <c r="F1497" s="16" t="n">
        <v>1</v>
      </c>
      <c r="G1497" s="15" t="n">
        <v>0</v>
      </c>
      <c r="H1497" s="16" t="n">
        <v>1</v>
      </c>
      <c r="I1497" s="33" t="n">
        <v>21116.16</v>
      </c>
      <c r="J1497" s="33" t="n">
        <v>21116.16</v>
      </c>
    </row>
    <row r="1498" customFormat="false" ht="15" hidden="false" customHeight="false" outlineLevel="0" collapsed="false">
      <c r="A1498" s="3" t="s">
        <v>1888</v>
      </c>
      <c r="B1498" s="3" t="s">
        <v>282</v>
      </c>
      <c r="C1498" s="3" t="s">
        <v>405</v>
      </c>
      <c r="D1498" s="3" t="s">
        <v>392</v>
      </c>
      <c r="E1498" s="3" t="s">
        <v>382</v>
      </c>
      <c r="F1498" s="16" t="n">
        <v>24</v>
      </c>
      <c r="G1498" s="15" t="n">
        <v>0.125</v>
      </c>
      <c r="H1498" s="16" t="n">
        <v>7</v>
      </c>
      <c r="I1498" s="33" t="n">
        <v>21092.88</v>
      </c>
      <c r="J1498" s="33" t="n">
        <v>24106.2</v>
      </c>
    </row>
    <row r="1499" customFormat="false" ht="15" hidden="false" customHeight="false" outlineLevel="0" collapsed="false">
      <c r="A1499" s="3" t="s">
        <v>1889</v>
      </c>
      <c r="B1499" s="3" t="s">
        <v>283</v>
      </c>
      <c r="C1499" s="3" t="s">
        <v>384</v>
      </c>
      <c r="D1499" s="3" t="s">
        <v>692</v>
      </c>
      <c r="E1499" s="3" t="s">
        <v>385</v>
      </c>
      <c r="F1499" s="16" t="n">
        <v>1</v>
      </c>
      <c r="G1499" s="15" t="n">
        <v>0</v>
      </c>
      <c r="H1499" s="16" t="n">
        <v>1</v>
      </c>
      <c r="I1499" s="33" t="n">
        <v>21081.24</v>
      </c>
      <c r="J1499" s="33" t="n">
        <v>21081.24</v>
      </c>
    </row>
    <row r="1500" customFormat="false" ht="15" hidden="false" customHeight="false" outlineLevel="0" collapsed="false">
      <c r="A1500" s="3" t="s">
        <v>1890</v>
      </c>
      <c r="B1500" s="3" t="s">
        <v>282</v>
      </c>
      <c r="C1500" s="3" t="s">
        <v>380</v>
      </c>
      <c r="D1500" s="3" t="s">
        <v>392</v>
      </c>
      <c r="E1500" s="3" t="s">
        <v>398</v>
      </c>
      <c r="F1500" s="16" t="n">
        <v>12</v>
      </c>
      <c r="G1500" s="15" t="n">
        <v>0</v>
      </c>
      <c r="H1500" s="16" t="n">
        <v>1</v>
      </c>
      <c r="I1500" s="33" t="n">
        <v>21073.44</v>
      </c>
      <c r="J1500" s="33" t="n">
        <v>21073.44</v>
      </c>
    </row>
    <row r="1501" customFormat="false" ht="15" hidden="false" customHeight="false" outlineLevel="0" collapsed="false">
      <c r="A1501" s="3" t="s">
        <v>1891</v>
      </c>
      <c r="B1501" s="3" t="s">
        <v>282</v>
      </c>
      <c r="C1501" s="3" t="s">
        <v>401</v>
      </c>
      <c r="D1501" s="3" t="s">
        <v>381</v>
      </c>
      <c r="E1501" s="3" t="s">
        <v>398</v>
      </c>
      <c r="F1501" s="16" t="n">
        <v>12</v>
      </c>
      <c r="G1501" s="15" t="n">
        <v>0.05</v>
      </c>
      <c r="H1501" s="16" t="n">
        <v>4</v>
      </c>
      <c r="I1501" s="33" t="n">
        <v>21018.84</v>
      </c>
      <c r="J1501" s="33" t="n">
        <v>22125</v>
      </c>
    </row>
    <row r="1502" customFormat="false" ht="15" hidden="false" customHeight="false" outlineLevel="0" collapsed="false">
      <c r="A1502" s="3" t="s">
        <v>1892</v>
      </c>
      <c r="B1502" s="3" t="s">
        <v>282</v>
      </c>
      <c r="C1502" s="3" t="s">
        <v>403</v>
      </c>
      <c r="D1502" s="3" t="s">
        <v>392</v>
      </c>
      <c r="E1502" s="3" t="s">
        <v>398</v>
      </c>
      <c r="F1502" s="16" t="n">
        <v>12</v>
      </c>
      <c r="G1502" s="15" t="n">
        <v>0.05</v>
      </c>
      <c r="H1502" s="16" t="n">
        <v>8</v>
      </c>
      <c r="I1502" s="33" t="n">
        <v>20997.48</v>
      </c>
      <c r="J1502" s="33" t="n">
        <v>22102.68</v>
      </c>
    </row>
    <row r="1503" customFormat="false" ht="15" hidden="false" customHeight="false" outlineLevel="0" collapsed="false">
      <c r="A1503" s="3" t="s">
        <v>1893</v>
      </c>
      <c r="B1503" s="3" t="s">
        <v>282</v>
      </c>
      <c r="C1503" s="3" t="s">
        <v>387</v>
      </c>
      <c r="D1503" s="3" t="s">
        <v>392</v>
      </c>
      <c r="E1503" s="3" t="s">
        <v>385</v>
      </c>
      <c r="F1503" s="16" t="n">
        <v>24</v>
      </c>
      <c r="G1503" s="15" t="n">
        <v>0</v>
      </c>
      <c r="H1503" s="16" t="n">
        <v>23</v>
      </c>
      <c r="I1503" s="33" t="n">
        <v>20969.76</v>
      </c>
      <c r="J1503" s="33" t="n">
        <v>20969.76</v>
      </c>
    </row>
    <row r="1504" customFormat="false" ht="15" hidden="false" customHeight="false" outlineLevel="0" collapsed="false">
      <c r="A1504" s="3" t="s">
        <v>1894</v>
      </c>
      <c r="B1504" s="3" t="s">
        <v>282</v>
      </c>
      <c r="C1504" s="3" t="s">
        <v>405</v>
      </c>
      <c r="D1504" s="3" t="s">
        <v>418</v>
      </c>
      <c r="E1504" s="3" t="s">
        <v>385</v>
      </c>
      <c r="F1504" s="16" t="n">
        <v>24</v>
      </c>
      <c r="G1504" s="15" t="n">
        <v>0</v>
      </c>
      <c r="H1504" s="16" t="n">
        <v>13</v>
      </c>
      <c r="I1504" s="33" t="n">
        <v>20943.12</v>
      </c>
      <c r="J1504" s="33" t="n">
        <v>20943.12</v>
      </c>
    </row>
    <row r="1505" customFormat="false" ht="15" hidden="false" customHeight="false" outlineLevel="0" collapsed="false">
      <c r="A1505" s="3" t="s">
        <v>1895</v>
      </c>
      <c r="B1505" s="3" t="s">
        <v>283</v>
      </c>
      <c r="C1505" s="3" t="s">
        <v>405</v>
      </c>
      <c r="D1505" s="3" t="s">
        <v>392</v>
      </c>
      <c r="E1505" s="3" t="s">
        <v>382</v>
      </c>
      <c r="F1505" s="16" t="n">
        <v>1</v>
      </c>
      <c r="G1505" s="15" t="n">
        <v>0</v>
      </c>
      <c r="H1505" s="16" t="n">
        <v>1</v>
      </c>
      <c r="I1505" s="33" t="n">
        <v>20938.32</v>
      </c>
      <c r="J1505" s="33" t="n">
        <v>20938.32</v>
      </c>
    </row>
    <row r="1506" customFormat="false" ht="15" hidden="false" customHeight="false" outlineLevel="0" collapsed="false">
      <c r="A1506" s="3" t="s">
        <v>1896</v>
      </c>
      <c r="B1506" s="3" t="s">
        <v>283</v>
      </c>
      <c r="C1506" s="3" t="s">
        <v>396</v>
      </c>
      <c r="D1506" s="3" t="s">
        <v>418</v>
      </c>
      <c r="E1506" s="3" t="s">
        <v>385</v>
      </c>
      <c r="F1506" s="16" t="n">
        <v>12</v>
      </c>
      <c r="G1506" s="15" t="n">
        <v>0.15</v>
      </c>
      <c r="H1506" s="16" t="n">
        <v>7</v>
      </c>
      <c r="I1506" s="33" t="n">
        <v>20913.96</v>
      </c>
      <c r="J1506" s="33" t="n">
        <v>24604.68</v>
      </c>
    </row>
    <row r="1507" customFormat="false" ht="15" hidden="false" customHeight="false" outlineLevel="0" collapsed="false">
      <c r="A1507" s="3" t="s">
        <v>1897</v>
      </c>
      <c r="B1507" s="3" t="s">
        <v>283</v>
      </c>
      <c r="C1507" s="3" t="s">
        <v>384</v>
      </c>
      <c r="D1507" s="3" t="s">
        <v>418</v>
      </c>
      <c r="E1507" s="3" t="s">
        <v>385</v>
      </c>
      <c r="F1507" s="16" t="n">
        <v>12</v>
      </c>
      <c r="G1507" s="15" t="n">
        <v>0</v>
      </c>
      <c r="H1507" s="16" t="n">
        <v>6</v>
      </c>
      <c r="I1507" s="33" t="n">
        <v>20902.08</v>
      </c>
      <c r="J1507" s="33" t="n">
        <v>20902.08</v>
      </c>
    </row>
    <row r="1508" customFormat="false" ht="15" hidden="false" customHeight="false" outlineLevel="0" collapsed="false">
      <c r="A1508" s="3" t="s">
        <v>1898</v>
      </c>
      <c r="B1508" s="3" t="s">
        <v>282</v>
      </c>
      <c r="C1508" s="3" t="s">
        <v>380</v>
      </c>
      <c r="D1508" s="3" t="s">
        <v>418</v>
      </c>
      <c r="E1508" s="3" t="s">
        <v>382</v>
      </c>
      <c r="F1508" s="16" t="n">
        <v>12</v>
      </c>
      <c r="G1508" s="15" t="n">
        <v>0</v>
      </c>
      <c r="H1508" s="16" t="n">
        <v>6</v>
      </c>
      <c r="I1508" s="33" t="n">
        <v>20884.44</v>
      </c>
      <c r="J1508" s="33" t="n">
        <v>20884.44</v>
      </c>
    </row>
    <row r="1509" customFormat="false" ht="15" hidden="false" customHeight="false" outlineLevel="0" collapsed="false">
      <c r="A1509" s="3" t="s">
        <v>1899</v>
      </c>
      <c r="B1509" s="3" t="s">
        <v>283</v>
      </c>
      <c r="C1509" s="3" t="s">
        <v>403</v>
      </c>
      <c r="D1509" s="3" t="s">
        <v>692</v>
      </c>
      <c r="E1509" s="3" t="s">
        <v>382</v>
      </c>
      <c r="F1509" s="16" t="n">
        <v>1</v>
      </c>
      <c r="G1509" s="15" t="n">
        <v>0</v>
      </c>
      <c r="H1509" s="16" t="n">
        <v>1</v>
      </c>
      <c r="I1509" s="33" t="n">
        <v>20859.72</v>
      </c>
      <c r="J1509" s="33" t="n">
        <v>20859.72</v>
      </c>
    </row>
    <row r="1510" customFormat="false" ht="15" hidden="false" customHeight="false" outlineLevel="0" collapsed="false">
      <c r="A1510" s="3" t="s">
        <v>1900</v>
      </c>
      <c r="B1510" s="3" t="s">
        <v>282</v>
      </c>
      <c r="C1510" s="3" t="s">
        <v>405</v>
      </c>
      <c r="D1510" s="3" t="s">
        <v>418</v>
      </c>
      <c r="E1510" s="3" t="s">
        <v>385</v>
      </c>
      <c r="F1510" s="16" t="n">
        <v>24</v>
      </c>
      <c r="G1510" s="15" t="n">
        <v>0</v>
      </c>
      <c r="H1510" s="16" t="n">
        <v>14</v>
      </c>
      <c r="I1510" s="33" t="n">
        <v>20826.72</v>
      </c>
      <c r="J1510" s="33" t="n">
        <v>20826.72</v>
      </c>
    </row>
    <row r="1511" customFormat="false" ht="15" hidden="false" customHeight="false" outlineLevel="0" collapsed="false">
      <c r="A1511" s="3" t="s">
        <v>1901</v>
      </c>
      <c r="B1511" s="3" t="s">
        <v>283</v>
      </c>
      <c r="C1511" s="3" t="s">
        <v>380</v>
      </c>
      <c r="D1511" s="3" t="s">
        <v>692</v>
      </c>
      <c r="E1511" s="3" t="s">
        <v>398</v>
      </c>
      <c r="F1511" s="16" t="n">
        <v>1</v>
      </c>
      <c r="G1511" s="15" t="n">
        <v>0</v>
      </c>
      <c r="H1511" s="16" t="n">
        <v>1</v>
      </c>
      <c r="I1511" s="33" t="n">
        <v>20814.24</v>
      </c>
      <c r="J1511" s="33" t="n">
        <v>20814.24</v>
      </c>
    </row>
    <row r="1512" customFormat="false" ht="15" hidden="false" customHeight="false" outlineLevel="0" collapsed="false">
      <c r="A1512" s="3" t="s">
        <v>1902</v>
      </c>
      <c r="B1512" s="3" t="s">
        <v>283</v>
      </c>
      <c r="C1512" s="3" t="s">
        <v>401</v>
      </c>
      <c r="D1512" s="3" t="s">
        <v>392</v>
      </c>
      <c r="E1512" s="3" t="s">
        <v>398</v>
      </c>
      <c r="F1512" s="16" t="n">
        <v>1</v>
      </c>
      <c r="G1512" s="15" t="n">
        <v>0.05</v>
      </c>
      <c r="H1512" s="16" t="n">
        <v>1</v>
      </c>
      <c r="I1512" s="33" t="n">
        <v>20784.12</v>
      </c>
      <c r="J1512" s="33" t="n">
        <v>21877.92</v>
      </c>
    </row>
    <row r="1513" customFormat="false" ht="15" hidden="false" customHeight="false" outlineLevel="0" collapsed="false">
      <c r="A1513" s="3" t="s">
        <v>1903</v>
      </c>
      <c r="B1513" s="3" t="s">
        <v>283</v>
      </c>
      <c r="C1513" s="3" t="s">
        <v>401</v>
      </c>
      <c r="D1513" s="3" t="s">
        <v>392</v>
      </c>
      <c r="E1513" s="3" t="s">
        <v>382</v>
      </c>
      <c r="F1513" s="16" t="n">
        <v>1</v>
      </c>
      <c r="G1513" s="15" t="n">
        <v>0</v>
      </c>
      <c r="H1513" s="16" t="n">
        <v>1</v>
      </c>
      <c r="I1513" s="33" t="n">
        <v>20772.96</v>
      </c>
      <c r="J1513" s="33" t="n">
        <v>20772.96</v>
      </c>
    </row>
    <row r="1514" customFormat="false" ht="15" hidden="false" customHeight="false" outlineLevel="0" collapsed="false">
      <c r="A1514" s="3" t="s">
        <v>1904</v>
      </c>
      <c r="B1514" s="3" t="s">
        <v>282</v>
      </c>
      <c r="C1514" s="3" t="s">
        <v>384</v>
      </c>
      <c r="D1514" s="3" t="s">
        <v>388</v>
      </c>
      <c r="E1514" s="3" t="s">
        <v>385</v>
      </c>
      <c r="F1514" s="16" t="n">
        <v>24</v>
      </c>
      <c r="G1514" s="15" t="n">
        <v>0.1</v>
      </c>
      <c r="H1514" s="16" t="n">
        <v>24</v>
      </c>
      <c r="I1514" s="33" t="n">
        <v>20741.52</v>
      </c>
      <c r="J1514" s="33" t="n">
        <v>23046.12</v>
      </c>
    </row>
    <row r="1515" customFormat="false" ht="15" hidden="false" customHeight="false" outlineLevel="0" collapsed="false">
      <c r="A1515" s="3" t="s">
        <v>1905</v>
      </c>
      <c r="B1515" s="3" t="s">
        <v>283</v>
      </c>
      <c r="C1515" s="3" t="s">
        <v>387</v>
      </c>
      <c r="D1515" s="3" t="s">
        <v>692</v>
      </c>
      <c r="E1515" s="3" t="s">
        <v>382</v>
      </c>
      <c r="F1515" s="16" t="n">
        <v>12</v>
      </c>
      <c r="G1515" s="15" t="n">
        <v>0.1</v>
      </c>
      <c r="H1515" s="16" t="n">
        <v>5</v>
      </c>
      <c r="I1515" s="33" t="n">
        <v>20714.16</v>
      </c>
      <c r="J1515" s="33" t="n">
        <v>23015.76</v>
      </c>
    </row>
    <row r="1516" customFormat="false" ht="15" hidden="false" customHeight="false" outlineLevel="0" collapsed="false">
      <c r="A1516" s="3" t="s">
        <v>1906</v>
      </c>
      <c r="B1516" s="3" t="s">
        <v>283</v>
      </c>
      <c r="C1516" s="3" t="s">
        <v>396</v>
      </c>
      <c r="D1516" s="3" t="s">
        <v>692</v>
      </c>
      <c r="E1516" s="3" t="s">
        <v>398</v>
      </c>
      <c r="F1516" s="16" t="n">
        <v>1</v>
      </c>
      <c r="G1516" s="15" t="n">
        <v>0</v>
      </c>
      <c r="H1516" s="16" t="n">
        <v>1</v>
      </c>
      <c r="I1516" s="33" t="n">
        <v>20688.96</v>
      </c>
      <c r="J1516" s="33" t="n">
        <v>20688.96</v>
      </c>
    </row>
    <row r="1517" customFormat="false" ht="15" hidden="false" customHeight="false" outlineLevel="0" collapsed="false">
      <c r="A1517" s="3" t="s">
        <v>1907</v>
      </c>
      <c r="B1517" s="3" t="s">
        <v>283</v>
      </c>
      <c r="C1517" s="3" t="s">
        <v>387</v>
      </c>
      <c r="D1517" s="3" t="s">
        <v>692</v>
      </c>
      <c r="E1517" s="3" t="s">
        <v>385</v>
      </c>
      <c r="F1517" s="16" t="n">
        <v>12</v>
      </c>
      <c r="G1517" s="15" t="n">
        <v>0.05</v>
      </c>
      <c r="H1517" s="16" t="n">
        <v>8</v>
      </c>
      <c r="I1517" s="33" t="n">
        <v>20600.52</v>
      </c>
      <c r="J1517" s="33" t="n">
        <v>21684.72</v>
      </c>
    </row>
    <row r="1518" customFormat="false" ht="15" hidden="false" customHeight="false" outlineLevel="0" collapsed="false">
      <c r="A1518" s="3" t="s">
        <v>1908</v>
      </c>
      <c r="B1518" s="3" t="s">
        <v>282</v>
      </c>
      <c r="C1518" s="3" t="s">
        <v>387</v>
      </c>
      <c r="D1518" s="3" t="s">
        <v>392</v>
      </c>
      <c r="E1518" s="3" t="s">
        <v>398</v>
      </c>
      <c r="F1518" s="16" t="n">
        <v>12</v>
      </c>
      <c r="G1518" s="15" t="n">
        <v>0.15</v>
      </c>
      <c r="H1518" s="16" t="n">
        <v>5</v>
      </c>
      <c r="I1518" s="33" t="n">
        <v>20599.8</v>
      </c>
      <c r="J1518" s="33" t="n">
        <v>24235.08</v>
      </c>
    </row>
    <row r="1519" customFormat="false" ht="15" hidden="false" customHeight="false" outlineLevel="0" collapsed="false">
      <c r="A1519" s="3" t="s">
        <v>1909</v>
      </c>
      <c r="B1519" s="3" t="s">
        <v>283</v>
      </c>
      <c r="C1519" s="3" t="s">
        <v>380</v>
      </c>
      <c r="D1519" s="3" t="s">
        <v>692</v>
      </c>
      <c r="E1519" s="3" t="s">
        <v>382</v>
      </c>
      <c r="F1519" s="16" t="n">
        <v>12</v>
      </c>
      <c r="G1519" s="15" t="n">
        <v>0</v>
      </c>
      <c r="H1519" s="16" t="n">
        <v>11</v>
      </c>
      <c r="I1519" s="33" t="n">
        <v>20594.4</v>
      </c>
      <c r="J1519" s="33" t="n">
        <v>20594.4</v>
      </c>
    </row>
    <row r="1520" customFormat="false" ht="15" hidden="false" customHeight="false" outlineLevel="0" collapsed="false">
      <c r="A1520" s="3" t="s">
        <v>1910</v>
      </c>
      <c r="B1520" s="3" t="s">
        <v>282</v>
      </c>
      <c r="C1520" s="3" t="s">
        <v>401</v>
      </c>
      <c r="D1520" s="3" t="s">
        <v>418</v>
      </c>
      <c r="E1520" s="3" t="s">
        <v>398</v>
      </c>
      <c r="F1520" s="16" t="n">
        <v>12</v>
      </c>
      <c r="G1520" s="15" t="n">
        <v>0.05</v>
      </c>
      <c r="H1520" s="16" t="n">
        <v>7</v>
      </c>
      <c r="I1520" s="33" t="n">
        <v>20587.8</v>
      </c>
      <c r="J1520" s="33" t="n">
        <v>21671.4</v>
      </c>
    </row>
    <row r="1521" customFormat="false" ht="15" hidden="false" customHeight="false" outlineLevel="0" collapsed="false">
      <c r="A1521" s="3" t="s">
        <v>1911</v>
      </c>
      <c r="B1521" s="3" t="s">
        <v>282</v>
      </c>
      <c r="C1521" s="3" t="s">
        <v>387</v>
      </c>
      <c r="D1521" s="3" t="s">
        <v>381</v>
      </c>
      <c r="E1521" s="3" t="s">
        <v>398</v>
      </c>
      <c r="F1521" s="16" t="n">
        <v>12</v>
      </c>
      <c r="G1521" s="15" t="n">
        <v>0.2</v>
      </c>
      <c r="H1521" s="16" t="n">
        <v>5</v>
      </c>
      <c r="I1521" s="33" t="n">
        <v>20549.16</v>
      </c>
      <c r="J1521" s="33" t="n">
        <v>25686.36</v>
      </c>
    </row>
    <row r="1522" customFormat="false" ht="15" hidden="false" customHeight="false" outlineLevel="0" collapsed="false">
      <c r="A1522" s="3" t="s">
        <v>1912</v>
      </c>
      <c r="B1522" s="3" t="s">
        <v>283</v>
      </c>
      <c r="C1522" s="3" t="s">
        <v>401</v>
      </c>
      <c r="D1522" s="3" t="s">
        <v>418</v>
      </c>
      <c r="E1522" s="3" t="s">
        <v>385</v>
      </c>
      <c r="F1522" s="16" t="n">
        <v>12</v>
      </c>
      <c r="G1522" s="15" t="n">
        <v>0</v>
      </c>
      <c r="H1522" s="16" t="n">
        <v>1</v>
      </c>
      <c r="I1522" s="33" t="n">
        <v>20535</v>
      </c>
      <c r="J1522" s="33" t="n">
        <v>20535</v>
      </c>
    </row>
    <row r="1523" customFormat="false" ht="15" hidden="false" customHeight="false" outlineLevel="0" collapsed="false">
      <c r="A1523" s="3" t="s">
        <v>1913</v>
      </c>
      <c r="B1523" s="3" t="s">
        <v>283</v>
      </c>
      <c r="C1523" s="3" t="s">
        <v>405</v>
      </c>
      <c r="D1523" s="3" t="s">
        <v>381</v>
      </c>
      <c r="E1523" s="3" t="s">
        <v>398</v>
      </c>
      <c r="F1523" s="16" t="n">
        <v>12</v>
      </c>
      <c r="G1523" s="15" t="n">
        <v>0</v>
      </c>
      <c r="H1523" s="16" t="n">
        <v>1</v>
      </c>
      <c r="I1523" s="33" t="n">
        <v>20527.08</v>
      </c>
      <c r="J1523" s="33" t="n">
        <v>20527.08</v>
      </c>
    </row>
    <row r="1524" customFormat="false" ht="15" hidden="false" customHeight="false" outlineLevel="0" collapsed="false">
      <c r="A1524" s="3" t="s">
        <v>1914</v>
      </c>
      <c r="B1524" s="3" t="s">
        <v>283</v>
      </c>
      <c r="C1524" s="3" t="s">
        <v>401</v>
      </c>
      <c r="D1524" s="3" t="s">
        <v>388</v>
      </c>
      <c r="E1524" s="3" t="s">
        <v>398</v>
      </c>
      <c r="F1524" s="16" t="n">
        <v>1</v>
      </c>
      <c r="G1524" s="15" t="n">
        <v>0</v>
      </c>
      <c r="H1524" s="16" t="n">
        <v>1</v>
      </c>
      <c r="I1524" s="33" t="n">
        <v>20523.72</v>
      </c>
      <c r="J1524" s="33" t="n">
        <v>20523.72</v>
      </c>
    </row>
    <row r="1525" customFormat="false" ht="15" hidden="false" customHeight="false" outlineLevel="0" collapsed="false">
      <c r="A1525" s="3" t="s">
        <v>1915</v>
      </c>
      <c r="B1525" s="3" t="s">
        <v>283</v>
      </c>
      <c r="C1525" s="3" t="s">
        <v>403</v>
      </c>
      <c r="D1525" s="3" t="s">
        <v>392</v>
      </c>
      <c r="E1525" s="3" t="s">
        <v>398</v>
      </c>
      <c r="F1525" s="16" t="n">
        <v>1</v>
      </c>
      <c r="G1525" s="15" t="n">
        <v>0</v>
      </c>
      <c r="H1525" s="16" t="n">
        <v>1</v>
      </c>
      <c r="I1525" s="33" t="n">
        <v>20505.24</v>
      </c>
      <c r="J1525" s="33" t="n">
        <v>20505.24</v>
      </c>
    </row>
    <row r="1526" customFormat="false" ht="15" hidden="false" customHeight="false" outlineLevel="0" collapsed="false">
      <c r="A1526" s="3" t="s">
        <v>1916</v>
      </c>
      <c r="B1526" s="3" t="s">
        <v>283</v>
      </c>
      <c r="C1526" s="3" t="s">
        <v>403</v>
      </c>
      <c r="D1526" s="3" t="s">
        <v>418</v>
      </c>
      <c r="E1526" s="3" t="s">
        <v>385</v>
      </c>
      <c r="F1526" s="16" t="n">
        <v>1</v>
      </c>
      <c r="G1526" s="15" t="n">
        <v>0.1</v>
      </c>
      <c r="H1526" s="16" t="n">
        <v>1</v>
      </c>
      <c r="I1526" s="33" t="n">
        <v>20468.28</v>
      </c>
      <c r="J1526" s="33" t="n">
        <v>22742.52</v>
      </c>
    </row>
    <row r="1527" customFormat="false" ht="15" hidden="false" customHeight="false" outlineLevel="0" collapsed="false">
      <c r="A1527" s="3" t="s">
        <v>1917</v>
      </c>
      <c r="B1527" s="3" t="s">
        <v>283</v>
      </c>
      <c r="C1527" s="3" t="s">
        <v>405</v>
      </c>
      <c r="D1527" s="3" t="s">
        <v>692</v>
      </c>
      <c r="E1527" s="3" t="s">
        <v>382</v>
      </c>
      <c r="F1527" s="16" t="n">
        <v>12</v>
      </c>
      <c r="G1527" s="15" t="n">
        <v>0.1</v>
      </c>
      <c r="H1527" s="16" t="n">
        <v>1</v>
      </c>
      <c r="I1527" s="33" t="n">
        <v>20424.36</v>
      </c>
      <c r="J1527" s="33" t="n">
        <v>22693.8</v>
      </c>
    </row>
    <row r="1528" customFormat="false" ht="15" hidden="false" customHeight="false" outlineLevel="0" collapsed="false">
      <c r="A1528" s="3" t="s">
        <v>1918</v>
      </c>
      <c r="B1528" s="3" t="s">
        <v>283</v>
      </c>
      <c r="C1528" s="3" t="s">
        <v>403</v>
      </c>
      <c r="D1528" s="3" t="s">
        <v>392</v>
      </c>
      <c r="E1528" s="3" t="s">
        <v>382</v>
      </c>
      <c r="F1528" s="16" t="n">
        <v>1</v>
      </c>
      <c r="G1528" s="15" t="n">
        <v>0</v>
      </c>
      <c r="H1528" s="16" t="n">
        <v>1</v>
      </c>
      <c r="I1528" s="33" t="n">
        <v>20415.36</v>
      </c>
      <c r="J1528" s="33" t="n">
        <v>20415.36</v>
      </c>
    </row>
    <row r="1529" customFormat="false" ht="15" hidden="false" customHeight="false" outlineLevel="0" collapsed="false">
      <c r="A1529" s="3" t="s">
        <v>1919</v>
      </c>
      <c r="B1529" s="3" t="s">
        <v>283</v>
      </c>
      <c r="C1529" s="3" t="s">
        <v>380</v>
      </c>
      <c r="D1529" s="3" t="s">
        <v>692</v>
      </c>
      <c r="E1529" s="3" t="s">
        <v>398</v>
      </c>
      <c r="F1529" s="16" t="n">
        <v>12</v>
      </c>
      <c r="G1529" s="15" t="n">
        <v>0</v>
      </c>
      <c r="H1529" s="16" t="n">
        <v>10</v>
      </c>
      <c r="I1529" s="33" t="n">
        <v>20369.64</v>
      </c>
      <c r="J1529" s="33" t="n">
        <v>20369.64</v>
      </c>
    </row>
    <row r="1530" customFormat="false" ht="15" hidden="false" customHeight="false" outlineLevel="0" collapsed="false">
      <c r="A1530" s="3" t="s">
        <v>1920</v>
      </c>
      <c r="B1530" s="3" t="s">
        <v>283</v>
      </c>
      <c r="C1530" s="3" t="s">
        <v>384</v>
      </c>
      <c r="D1530" s="3" t="s">
        <v>418</v>
      </c>
      <c r="E1530" s="3" t="s">
        <v>398</v>
      </c>
      <c r="F1530" s="16" t="n">
        <v>12</v>
      </c>
      <c r="G1530" s="15" t="n">
        <v>0</v>
      </c>
      <c r="H1530" s="16" t="n">
        <v>8</v>
      </c>
      <c r="I1530" s="33" t="n">
        <v>20366.76</v>
      </c>
      <c r="J1530" s="33" t="n">
        <v>20366.76</v>
      </c>
    </row>
    <row r="1531" customFormat="false" ht="15" hidden="false" customHeight="false" outlineLevel="0" collapsed="false">
      <c r="A1531" s="3" t="s">
        <v>1921</v>
      </c>
      <c r="B1531" s="3" t="s">
        <v>282</v>
      </c>
      <c r="C1531" s="3" t="s">
        <v>396</v>
      </c>
      <c r="D1531" s="3" t="s">
        <v>392</v>
      </c>
      <c r="E1531" s="3" t="s">
        <v>385</v>
      </c>
      <c r="F1531" s="16" t="n">
        <v>24</v>
      </c>
      <c r="G1531" s="15" t="n">
        <v>0.05</v>
      </c>
      <c r="H1531" s="16" t="n">
        <v>7</v>
      </c>
      <c r="I1531" s="33" t="n">
        <v>20342.16</v>
      </c>
      <c r="J1531" s="33" t="n">
        <v>21412.8</v>
      </c>
    </row>
    <row r="1532" customFormat="false" ht="15" hidden="false" customHeight="false" outlineLevel="0" collapsed="false">
      <c r="A1532" s="3" t="s">
        <v>1922</v>
      </c>
      <c r="B1532" s="3" t="s">
        <v>283</v>
      </c>
      <c r="C1532" s="3" t="s">
        <v>387</v>
      </c>
      <c r="D1532" s="3" t="s">
        <v>692</v>
      </c>
      <c r="E1532" s="3" t="s">
        <v>398</v>
      </c>
      <c r="F1532" s="16" t="n">
        <v>1</v>
      </c>
      <c r="G1532" s="15" t="n">
        <v>0</v>
      </c>
      <c r="H1532" s="16" t="n">
        <v>1</v>
      </c>
      <c r="I1532" s="33" t="n">
        <v>20332.32</v>
      </c>
      <c r="J1532" s="33" t="n">
        <v>20332.32</v>
      </c>
    </row>
    <row r="1533" customFormat="false" ht="15" hidden="false" customHeight="false" outlineLevel="0" collapsed="false">
      <c r="A1533" s="3" t="s">
        <v>1923</v>
      </c>
      <c r="B1533" s="3" t="s">
        <v>282</v>
      </c>
      <c r="C1533" s="3" t="s">
        <v>403</v>
      </c>
      <c r="D1533" s="3" t="s">
        <v>381</v>
      </c>
      <c r="E1533" s="3" t="s">
        <v>398</v>
      </c>
      <c r="F1533" s="16" t="n">
        <v>24</v>
      </c>
      <c r="G1533" s="15" t="n">
        <v>0.15</v>
      </c>
      <c r="H1533" s="16" t="n">
        <v>2</v>
      </c>
      <c r="I1533" s="33" t="n">
        <v>20320.44</v>
      </c>
      <c r="J1533" s="33" t="n">
        <v>23906.4</v>
      </c>
    </row>
    <row r="1534" customFormat="false" ht="15" hidden="false" customHeight="false" outlineLevel="0" collapsed="false">
      <c r="A1534" s="3" t="s">
        <v>1924</v>
      </c>
      <c r="B1534" s="3" t="s">
        <v>282</v>
      </c>
      <c r="C1534" s="3" t="s">
        <v>401</v>
      </c>
      <c r="D1534" s="3" t="s">
        <v>381</v>
      </c>
      <c r="E1534" s="3" t="s">
        <v>398</v>
      </c>
      <c r="F1534" s="16" t="n">
        <v>12</v>
      </c>
      <c r="G1534" s="15" t="n">
        <v>0.1</v>
      </c>
      <c r="H1534" s="16" t="n">
        <v>7</v>
      </c>
      <c r="I1534" s="33" t="n">
        <v>20312.76</v>
      </c>
      <c r="J1534" s="33" t="n">
        <v>22569.72</v>
      </c>
    </row>
    <row r="1535" customFormat="false" ht="15" hidden="false" customHeight="false" outlineLevel="0" collapsed="false">
      <c r="A1535" s="3" t="s">
        <v>1925</v>
      </c>
      <c r="B1535" s="3" t="s">
        <v>283</v>
      </c>
      <c r="C1535" s="3" t="s">
        <v>384</v>
      </c>
      <c r="D1535" s="3" t="s">
        <v>692</v>
      </c>
      <c r="E1535" s="3" t="s">
        <v>398</v>
      </c>
      <c r="F1535" s="16" t="n">
        <v>1</v>
      </c>
      <c r="G1535" s="15" t="n">
        <v>0</v>
      </c>
      <c r="H1535" s="16" t="n">
        <v>1</v>
      </c>
      <c r="I1535" s="33" t="n">
        <v>20309.64</v>
      </c>
      <c r="J1535" s="33" t="n">
        <v>20309.64</v>
      </c>
    </row>
    <row r="1536" customFormat="false" ht="15" hidden="false" customHeight="false" outlineLevel="0" collapsed="false">
      <c r="A1536" s="3" t="s">
        <v>1926</v>
      </c>
      <c r="B1536" s="3" t="s">
        <v>282</v>
      </c>
      <c r="C1536" s="3" t="s">
        <v>396</v>
      </c>
      <c r="D1536" s="3" t="s">
        <v>381</v>
      </c>
      <c r="E1536" s="3" t="s">
        <v>398</v>
      </c>
      <c r="F1536" s="16" t="n">
        <v>12</v>
      </c>
      <c r="G1536" s="15" t="n">
        <v>0</v>
      </c>
      <c r="H1536" s="16" t="n">
        <v>7</v>
      </c>
      <c r="I1536" s="33" t="n">
        <v>20305.8</v>
      </c>
      <c r="J1536" s="33" t="n">
        <v>20305.8</v>
      </c>
    </row>
    <row r="1537" customFormat="false" ht="15" hidden="false" customHeight="false" outlineLevel="0" collapsed="false">
      <c r="A1537" s="3" t="s">
        <v>1927</v>
      </c>
      <c r="B1537" s="3" t="s">
        <v>283</v>
      </c>
      <c r="C1537" s="3" t="s">
        <v>405</v>
      </c>
      <c r="D1537" s="3" t="s">
        <v>692</v>
      </c>
      <c r="E1537" s="3" t="s">
        <v>398</v>
      </c>
      <c r="F1537" s="16" t="n">
        <v>1</v>
      </c>
      <c r="G1537" s="15" t="n">
        <v>0</v>
      </c>
      <c r="H1537" s="16" t="n">
        <v>1</v>
      </c>
      <c r="I1537" s="33" t="n">
        <v>20298.12</v>
      </c>
      <c r="J1537" s="33" t="n">
        <v>20298.12</v>
      </c>
    </row>
    <row r="1538" customFormat="false" ht="15" hidden="false" customHeight="false" outlineLevel="0" collapsed="false">
      <c r="A1538" s="3" t="s">
        <v>1928</v>
      </c>
      <c r="B1538" s="3" t="s">
        <v>283</v>
      </c>
      <c r="C1538" s="3" t="s">
        <v>405</v>
      </c>
      <c r="D1538" s="3" t="s">
        <v>388</v>
      </c>
      <c r="E1538" s="3" t="s">
        <v>398</v>
      </c>
      <c r="F1538" s="16" t="n">
        <v>12</v>
      </c>
      <c r="G1538" s="15" t="n">
        <v>0</v>
      </c>
      <c r="H1538" s="16" t="n">
        <v>12</v>
      </c>
      <c r="I1538" s="33" t="n">
        <v>20236.92</v>
      </c>
      <c r="J1538" s="33" t="n">
        <v>20236.92</v>
      </c>
    </row>
    <row r="1539" customFormat="false" ht="15" hidden="false" customHeight="false" outlineLevel="0" collapsed="false">
      <c r="A1539" s="3" t="s">
        <v>1929</v>
      </c>
      <c r="B1539" s="3" t="s">
        <v>282</v>
      </c>
      <c r="C1539" s="3" t="s">
        <v>401</v>
      </c>
      <c r="D1539" s="3" t="s">
        <v>381</v>
      </c>
      <c r="E1539" s="3" t="s">
        <v>385</v>
      </c>
      <c r="F1539" s="16" t="n">
        <v>24</v>
      </c>
      <c r="G1539" s="15" t="n">
        <v>0.1</v>
      </c>
      <c r="H1539" s="16" t="n">
        <v>13</v>
      </c>
      <c r="I1539" s="33" t="n">
        <v>20203.08</v>
      </c>
      <c r="J1539" s="33" t="n">
        <v>22447.8</v>
      </c>
    </row>
    <row r="1540" customFormat="false" ht="15" hidden="false" customHeight="false" outlineLevel="0" collapsed="false">
      <c r="A1540" s="3" t="s">
        <v>1930</v>
      </c>
      <c r="B1540" s="3" t="s">
        <v>283</v>
      </c>
      <c r="C1540" s="3" t="s">
        <v>405</v>
      </c>
      <c r="D1540" s="3" t="s">
        <v>392</v>
      </c>
      <c r="E1540" s="3" t="s">
        <v>398</v>
      </c>
      <c r="F1540" s="16" t="n">
        <v>12</v>
      </c>
      <c r="G1540" s="15" t="n">
        <v>0</v>
      </c>
      <c r="H1540" s="16" t="n">
        <v>10</v>
      </c>
      <c r="I1540" s="33" t="n">
        <v>20198.76</v>
      </c>
      <c r="J1540" s="33" t="n">
        <v>20198.76</v>
      </c>
    </row>
    <row r="1541" customFormat="false" ht="15" hidden="false" customHeight="false" outlineLevel="0" collapsed="false">
      <c r="A1541" s="3" t="s">
        <v>1931</v>
      </c>
      <c r="B1541" s="3" t="s">
        <v>282</v>
      </c>
      <c r="C1541" s="3" t="s">
        <v>405</v>
      </c>
      <c r="D1541" s="3" t="s">
        <v>381</v>
      </c>
      <c r="E1541" s="3" t="s">
        <v>385</v>
      </c>
      <c r="F1541" s="16" t="n">
        <v>12</v>
      </c>
      <c r="G1541" s="15" t="n">
        <v>0</v>
      </c>
      <c r="H1541" s="16" t="n">
        <v>4</v>
      </c>
      <c r="I1541" s="33" t="n">
        <v>20119.2</v>
      </c>
      <c r="J1541" s="33" t="n">
        <v>20119.2</v>
      </c>
    </row>
    <row r="1542" customFormat="false" ht="15" hidden="false" customHeight="false" outlineLevel="0" collapsed="false">
      <c r="A1542" s="3" t="s">
        <v>1932</v>
      </c>
      <c r="B1542" s="3" t="s">
        <v>282</v>
      </c>
      <c r="C1542" s="3" t="s">
        <v>384</v>
      </c>
      <c r="D1542" s="3" t="s">
        <v>392</v>
      </c>
      <c r="E1542" s="3" t="s">
        <v>398</v>
      </c>
      <c r="F1542" s="16" t="n">
        <v>12</v>
      </c>
      <c r="G1542" s="15" t="n">
        <v>0.25</v>
      </c>
      <c r="H1542" s="16" t="n">
        <v>1</v>
      </c>
      <c r="I1542" s="33" t="n">
        <v>20118.36</v>
      </c>
      <c r="J1542" s="33" t="n">
        <v>26824.44</v>
      </c>
    </row>
    <row r="1543" customFormat="false" ht="15" hidden="false" customHeight="false" outlineLevel="0" collapsed="false">
      <c r="A1543" s="3" t="s">
        <v>1933</v>
      </c>
      <c r="B1543" s="3" t="s">
        <v>282</v>
      </c>
      <c r="C1543" s="3" t="s">
        <v>401</v>
      </c>
      <c r="D1543" s="3" t="s">
        <v>692</v>
      </c>
      <c r="E1543" s="3" t="s">
        <v>382</v>
      </c>
      <c r="F1543" s="16" t="n">
        <v>12</v>
      </c>
      <c r="G1543" s="15" t="n">
        <v>0.05</v>
      </c>
      <c r="H1543" s="16" t="n">
        <v>1</v>
      </c>
      <c r="I1543" s="33" t="n">
        <v>20115.36</v>
      </c>
      <c r="J1543" s="33" t="n">
        <v>21174.12</v>
      </c>
    </row>
    <row r="1544" customFormat="false" ht="15" hidden="false" customHeight="false" outlineLevel="0" collapsed="false">
      <c r="A1544" s="3" t="s">
        <v>1934</v>
      </c>
      <c r="B1544" s="3" t="s">
        <v>282</v>
      </c>
      <c r="C1544" s="3" t="s">
        <v>387</v>
      </c>
      <c r="D1544" s="3" t="s">
        <v>418</v>
      </c>
      <c r="E1544" s="3" t="s">
        <v>398</v>
      </c>
      <c r="F1544" s="16" t="n">
        <v>12</v>
      </c>
      <c r="G1544" s="15" t="n">
        <v>0.025</v>
      </c>
      <c r="H1544" s="16" t="n">
        <v>11</v>
      </c>
      <c r="I1544" s="33" t="n">
        <v>20098.08</v>
      </c>
      <c r="J1544" s="33" t="n">
        <v>20613.36</v>
      </c>
    </row>
    <row r="1545" customFormat="false" ht="15" hidden="false" customHeight="false" outlineLevel="0" collapsed="false">
      <c r="A1545" s="3" t="s">
        <v>1935</v>
      </c>
      <c r="B1545" s="3" t="s">
        <v>283</v>
      </c>
      <c r="C1545" s="3" t="s">
        <v>405</v>
      </c>
      <c r="D1545" s="3" t="s">
        <v>381</v>
      </c>
      <c r="E1545" s="3" t="s">
        <v>398</v>
      </c>
      <c r="F1545" s="16" t="n">
        <v>1</v>
      </c>
      <c r="G1545" s="15" t="n">
        <v>0</v>
      </c>
      <c r="H1545" s="16" t="n">
        <v>1</v>
      </c>
      <c r="I1545" s="33" t="n">
        <v>20087.16</v>
      </c>
      <c r="J1545" s="33" t="n">
        <v>20087.16</v>
      </c>
    </row>
    <row r="1546" customFormat="false" ht="15" hidden="false" customHeight="false" outlineLevel="0" collapsed="false">
      <c r="A1546" s="3" t="s">
        <v>1936</v>
      </c>
      <c r="B1546" s="3" t="s">
        <v>283</v>
      </c>
      <c r="C1546" s="3" t="s">
        <v>401</v>
      </c>
      <c r="D1546" s="3" t="s">
        <v>392</v>
      </c>
      <c r="E1546" s="3" t="s">
        <v>398</v>
      </c>
      <c r="F1546" s="16" t="n">
        <v>1</v>
      </c>
      <c r="G1546" s="15" t="n">
        <v>0</v>
      </c>
      <c r="H1546" s="16" t="n">
        <v>1</v>
      </c>
      <c r="I1546" s="33" t="n">
        <v>20085.24</v>
      </c>
      <c r="J1546" s="33" t="n">
        <v>20085.24</v>
      </c>
    </row>
    <row r="1547" customFormat="false" ht="15" hidden="false" customHeight="false" outlineLevel="0" collapsed="false">
      <c r="A1547" s="3" t="s">
        <v>1937</v>
      </c>
      <c r="B1547" s="3" t="s">
        <v>283</v>
      </c>
      <c r="C1547" s="3" t="s">
        <v>380</v>
      </c>
      <c r="D1547" s="3" t="s">
        <v>418</v>
      </c>
      <c r="E1547" s="3" t="s">
        <v>398</v>
      </c>
      <c r="F1547" s="16" t="n">
        <v>1</v>
      </c>
      <c r="G1547" s="15" t="n">
        <v>0</v>
      </c>
      <c r="H1547" s="16" t="n">
        <v>1</v>
      </c>
      <c r="I1547" s="33" t="n">
        <v>20084.04</v>
      </c>
      <c r="J1547" s="33" t="n">
        <v>20084.04</v>
      </c>
    </row>
    <row r="1548" customFormat="false" ht="15" hidden="false" customHeight="false" outlineLevel="0" collapsed="false">
      <c r="A1548" s="3" t="s">
        <v>1938</v>
      </c>
      <c r="B1548" s="3" t="s">
        <v>283</v>
      </c>
      <c r="C1548" s="3" t="s">
        <v>405</v>
      </c>
      <c r="D1548" s="3" t="s">
        <v>418</v>
      </c>
      <c r="E1548" s="3" t="s">
        <v>398</v>
      </c>
      <c r="F1548" s="16" t="n">
        <v>1</v>
      </c>
      <c r="G1548" s="15" t="n">
        <v>0.1</v>
      </c>
      <c r="H1548" s="16" t="n">
        <v>1</v>
      </c>
      <c r="I1548" s="33" t="n">
        <v>20047.92</v>
      </c>
      <c r="J1548" s="33" t="n">
        <v>22275.48</v>
      </c>
    </row>
    <row r="1549" customFormat="false" ht="15" hidden="false" customHeight="false" outlineLevel="0" collapsed="false">
      <c r="A1549" s="3" t="s">
        <v>1939</v>
      </c>
      <c r="B1549" s="3" t="s">
        <v>282</v>
      </c>
      <c r="C1549" s="3" t="s">
        <v>405</v>
      </c>
      <c r="D1549" s="3" t="s">
        <v>392</v>
      </c>
      <c r="E1549" s="3" t="s">
        <v>385</v>
      </c>
      <c r="F1549" s="16" t="n">
        <v>24</v>
      </c>
      <c r="G1549" s="15" t="n">
        <v>0</v>
      </c>
      <c r="H1549" s="16" t="n">
        <v>20</v>
      </c>
      <c r="I1549" s="33" t="n">
        <v>20033.88</v>
      </c>
      <c r="J1549" s="33" t="n">
        <v>20033.88</v>
      </c>
    </row>
    <row r="1550" customFormat="false" ht="15" hidden="false" customHeight="false" outlineLevel="0" collapsed="false">
      <c r="A1550" s="3" t="s">
        <v>1940</v>
      </c>
      <c r="B1550" s="3" t="s">
        <v>283</v>
      </c>
      <c r="C1550" s="3" t="s">
        <v>403</v>
      </c>
      <c r="D1550" s="3" t="s">
        <v>392</v>
      </c>
      <c r="E1550" s="3" t="s">
        <v>385</v>
      </c>
      <c r="F1550" s="16" t="n">
        <v>1</v>
      </c>
      <c r="G1550" s="15" t="n">
        <v>0</v>
      </c>
      <c r="H1550" s="16" t="n">
        <v>1</v>
      </c>
      <c r="I1550" s="33" t="n">
        <v>20027.16</v>
      </c>
      <c r="J1550" s="33" t="n">
        <v>20027.16</v>
      </c>
    </row>
    <row r="1551" customFormat="false" ht="15" hidden="false" customHeight="false" outlineLevel="0" collapsed="false">
      <c r="A1551" s="3" t="s">
        <v>1941</v>
      </c>
      <c r="B1551" s="3" t="s">
        <v>282</v>
      </c>
      <c r="C1551" s="3" t="s">
        <v>405</v>
      </c>
      <c r="D1551" s="3" t="s">
        <v>392</v>
      </c>
      <c r="E1551" s="3" t="s">
        <v>398</v>
      </c>
      <c r="F1551" s="16" t="n">
        <v>12</v>
      </c>
      <c r="G1551" s="15" t="n">
        <v>0.05</v>
      </c>
      <c r="H1551" s="16" t="n">
        <v>1</v>
      </c>
      <c r="I1551" s="33" t="n">
        <v>20019.36</v>
      </c>
      <c r="J1551" s="33" t="n">
        <v>21072.96</v>
      </c>
    </row>
    <row r="1552" customFormat="false" ht="15" hidden="false" customHeight="false" outlineLevel="0" collapsed="false">
      <c r="A1552" s="3" t="s">
        <v>1942</v>
      </c>
      <c r="B1552" s="3" t="s">
        <v>282</v>
      </c>
      <c r="C1552" s="3" t="s">
        <v>401</v>
      </c>
      <c r="D1552" s="3" t="s">
        <v>388</v>
      </c>
      <c r="E1552" s="3" t="s">
        <v>398</v>
      </c>
      <c r="F1552" s="16" t="n">
        <v>12</v>
      </c>
      <c r="G1552" s="15" t="n">
        <v>0.1</v>
      </c>
      <c r="H1552" s="16" t="n">
        <v>9</v>
      </c>
      <c r="I1552" s="33" t="n">
        <v>20009.4</v>
      </c>
      <c r="J1552" s="33" t="n">
        <v>22232.76</v>
      </c>
    </row>
    <row r="1553" customFormat="false" ht="15" hidden="false" customHeight="false" outlineLevel="0" collapsed="false">
      <c r="A1553" s="3" t="s">
        <v>1943</v>
      </c>
      <c r="B1553" s="3" t="s">
        <v>282</v>
      </c>
      <c r="C1553" s="3" t="s">
        <v>380</v>
      </c>
      <c r="D1553" s="3" t="s">
        <v>392</v>
      </c>
      <c r="E1553" s="3" t="s">
        <v>385</v>
      </c>
      <c r="F1553" s="16" t="n">
        <v>24</v>
      </c>
      <c r="G1553" s="15" t="n">
        <v>0</v>
      </c>
      <c r="H1553" s="16" t="n">
        <v>14</v>
      </c>
      <c r="I1553" s="33" t="n">
        <v>19984.08</v>
      </c>
      <c r="J1553" s="33" t="n">
        <v>19984.08</v>
      </c>
    </row>
    <row r="1554" customFormat="false" ht="15" hidden="false" customHeight="false" outlineLevel="0" collapsed="false">
      <c r="A1554" s="3" t="s">
        <v>1944</v>
      </c>
      <c r="B1554" s="3" t="s">
        <v>282</v>
      </c>
      <c r="C1554" s="3" t="s">
        <v>405</v>
      </c>
      <c r="D1554" s="3" t="s">
        <v>381</v>
      </c>
      <c r="E1554" s="3" t="s">
        <v>398</v>
      </c>
      <c r="F1554" s="16" t="n">
        <v>24</v>
      </c>
      <c r="G1554" s="15" t="n">
        <v>0.05</v>
      </c>
      <c r="H1554" s="16" t="n">
        <v>21</v>
      </c>
      <c r="I1554" s="33" t="n">
        <v>19952.4</v>
      </c>
      <c r="J1554" s="33" t="n">
        <v>21002.52</v>
      </c>
    </row>
    <row r="1555" customFormat="false" ht="15" hidden="false" customHeight="false" outlineLevel="0" collapsed="false">
      <c r="A1555" s="3" t="s">
        <v>1945</v>
      </c>
      <c r="B1555" s="3" t="s">
        <v>283</v>
      </c>
      <c r="C1555" s="3" t="s">
        <v>384</v>
      </c>
      <c r="D1555" s="3" t="s">
        <v>692</v>
      </c>
      <c r="E1555" s="3" t="s">
        <v>382</v>
      </c>
      <c r="F1555" s="16" t="n">
        <v>12</v>
      </c>
      <c r="G1555" s="15" t="n">
        <v>0</v>
      </c>
      <c r="H1555" s="16" t="n">
        <v>11</v>
      </c>
      <c r="I1555" s="33" t="n">
        <v>19849.44</v>
      </c>
      <c r="J1555" s="33" t="n">
        <v>19849.44</v>
      </c>
    </row>
    <row r="1556" customFormat="false" ht="15" hidden="false" customHeight="false" outlineLevel="0" collapsed="false">
      <c r="A1556" s="3" t="s">
        <v>1946</v>
      </c>
      <c r="B1556" s="3" t="s">
        <v>283</v>
      </c>
      <c r="C1556" s="3" t="s">
        <v>403</v>
      </c>
      <c r="D1556" s="3" t="s">
        <v>418</v>
      </c>
      <c r="E1556" s="3" t="s">
        <v>385</v>
      </c>
      <c r="F1556" s="16" t="n">
        <v>12</v>
      </c>
      <c r="G1556" s="15" t="n">
        <v>0.1</v>
      </c>
      <c r="H1556" s="16" t="n">
        <v>12</v>
      </c>
      <c r="I1556" s="33" t="n">
        <v>19845.36</v>
      </c>
      <c r="J1556" s="33" t="n">
        <v>22050.36</v>
      </c>
    </row>
    <row r="1557" customFormat="false" ht="15" hidden="false" customHeight="false" outlineLevel="0" collapsed="false">
      <c r="A1557" s="3" t="s">
        <v>1947</v>
      </c>
      <c r="B1557" s="3" t="s">
        <v>282</v>
      </c>
      <c r="C1557" s="3" t="s">
        <v>396</v>
      </c>
      <c r="D1557" s="3" t="s">
        <v>388</v>
      </c>
      <c r="E1557" s="3" t="s">
        <v>398</v>
      </c>
      <c r="F1557" s="16" t="n">
        <v>12</v>
      </c>
      <c r="G1557" s="15" t="n">
        <v>0</v>
      </c>
      <c r="H1557" s="16" t="n">
        <v>12</v>
      </c>
      <c r="I1557" s="33" t="n">
        <v>19821.12</v>
      </c>
      <c r="J1557" s="33" t="n">
        <v>19821.12</v>
      </c>
    </row>
    <row r="1558" customFormat="false" ht="15" hidden="false" customHeight="false" outlineLevel="0" collapsed="false">
      <c r="A1558" s="3" t="s">
        <v>1948</v>
      </c>
      <c r="B1558" s="3" t="s">
        <v>283</v>
      </c>
      <c r="C1558" s="3" t="s">
        <v>403</v>
      </c>
      <c r="D1558" s="3" t="s">
        <v>392</v>
      </c>
      <c r="E1558" s="3" t="s">
        <v>398</v>
      </c>
      <c r="F1558" s="16" t="n">
        <v>1</v>
      </c>
      <c r="G1558" s="15" t="n">
        <v>0</v>
      </c>
      <c r="H1558" s="16" t="n">
        <v>1</v>
      </c>
      <c r="I1558" s="33" t="n">
        <v>19813.8</v>
      </c>
      <c r="J1558" s="33" t="n">
        <v>19813.8</v>
      </c>
    </row>
    <row r="1559" customFormat="false" ht="15" hidden="false" customHeight="false" outlineLevel="0" collapsed="false">
      <c r="A1559" s="3" t="s">
        <v>1949</v>
      </c>
      <c r="B1559" s="3" t="s">
        <v>283</v>
      </c>
      <c r="C1559" s="3" t="s">
        <v>380</v>
      </c>
      <c r="D1559" s="3" t="s">
        <v>418</v>
      </c>
      <c r="E1559" s="3" t="s">
        <v>398</v>
      </c>
      <c r="F1559" s="16" t="n">
        <v>1</v>
      </c>
      <c r="G1559" s="15" t="n">
        <v>0.1</v>
      </c>
      <c r="H1559" s="16" t="n">
        <v>1</v>
      </c>
      <c r="I1559" s="33" t="n">
        <v>19772.4</v>
      </c>
      <c r="J1559" s="33" t="n">
        <v>21969.36</v>
      </c>
    </row>
    <row r="1560" customFormat="false" ht="15" hidden="false" customHeight="false" outlineLevel="0" collapsed="false">
      <c r="A1560" s="3" t="s">
        <v>1950</v>
      </c>
      <c r="B1560" s="3" t="s">
        <v>282</v>
      </c>
      <c r="C1560" s="3" t="s">
        <v>380</v>
      </c>
      <c r="D1560" s="3" t="s">
        <v>392</v>
      </c>
      <c r="E1560" s="3" t="s">
        <v>398</v>
      </c>
      <c r="F1560" s="16" t="n">
        <v>12</v>
      </c>
      <c r="G1560" s="15" t="n">
        <v>0.35</v>
      </c>
      <c r="H1560" s="16" t="n">
        <v>11</v>
      </c>
      <c r="I1560" s="33" t="n">
        <v>19737.72</v>
      </c>
      <c r="J1560" s="33" t="n">
        <v>30365.64</v>
      </c>
    </row>
    <row r="1561" customFormat="false" ht="15" hidden="false" customHeight="false" outlineLevel="0" collapsed="false">
      <c r="A1561" s="3" t="s">
        <v>1951</v>
      </c>
      <c r="B1561" s="3" t="s">
        <v>282</v>
      </c>
      <c r="C1561" s="3" t="s">
        <v>396</v>
      </c>
      <c r="D1561" s="3" t="s">
        <v>381</v>
      </c>
      <c r="E1561" s="3" t="s">
        <v>385</v>
      </c>
      <c r="F1561" s="16" t="n">
        <v>24</v>
      </c>
      <c r="G1561" s="15" t="n">
        <v>0.3</v>
      </c>
      <c r="H1561" s="16" t="n">
        <v>2</v>
      </c>
      <c r="I1561" s="33" t="n">
        <v>19724.64</v>
      </c>
      <c r="J1561" s="33" t="n">
        <v>28178.16</v>
      </c>
    </row>
    <row r="1562" customFormat="false" ht="15" hidden="false" customHeight="false" outlineLevel="0" collapsed="false">
      <c r="A1562" s="3" t="s">
        <v>1952</v>
      </c>
      <c r="B1562" s="3" t="s">
        <v>283</v>
      </c>
      <c r="C1562" s="3" t="s">
        <v>401</v>
      </c>
      <c r="D1562" s="3" t="s">
        <v>692</v>
      </c>
      <c r="E1562" s="3" t="s">
        <v>398</v>
      </c>
      <c r="F1562" s="16" t="n">
        <v>12</v>
      </c>
      <c r="G1562" s="15" t="n">
        <v>0</v>
      </c>
      <c r="H1562" s="16" t="n">
        <v>3</v>
      </c>
      <c r="I1562" s="33" t="n">
        <v>19701.48</v>
      </c>
      <c r="J1562" s="33" t="n">
        <v>19701.48</v>
      </c>
    </row>
    <row r="1563" customFormat="false" ht="15" hidden="false" customHeight="false" outlineLevel="0" collapsed="false">
      <c r="A1563" s="3" t="s">
        <v>1953</v>
      </c>
      <c r="B1563" s="3" t="s">
        <v>283</v>
      </c>
      <c r="C1563" s="3" t="s">
        <v>405</v>
      </c>
      <c r="D1563" s="3" t="s">
        <v>418</v>
      </c>
      <c r="E1563" s="3" t="s">
        <v>398</v>
      </c>
      <c r="F1563" s="16" t="n">
        <v>12</v>
      </c>
      <c r="G1563" s="15" t="n">
        <v>0</v>
      </c>
      <c r="H1563" s="16" t="n">
        <v>12</v>
      </c>
      <c r="I1563" s="33" t="n">
        <v>19671.6</v>
      </c>
      <c r="J1563" s="33" t="n">
        <v>19671.6</v>
      </c>
    </row>
    <row r="1564" customFormat="false" ht="15" hidden="false" customHeight="false" outlineLevel="0" collapsed="false">
      <c r="A1564" s="3" t="s">
        <v>1954</v>
      </c>
      <c r="B1564" s="3" t="s">
        <v>282</v>
      </c>
      <c r="C1564" s="3" t="s">
        <v>403</v>
      </c>
      <c r="D1564" s="3" t="s">
        <v>392</v>
      </c>
      <c r="E1564" s="3" t="s">
        <v>385</v>
      </c>
      <c r="F1564" s="16" t="n">
        <v>12</v>
      </c>
      <c r="G1564" s="15" t="n">
        <v>0</v>
      </c>
      <c r="H1564" s="16" t="n">
        <v>6</v>
      </c>
      <c r="I1564" s="33" t="n">
        <v>19665</v>
      </c>
      <c r="J1564" s="33" t="n">
        <v>19665</v>
      </c>
    </row>
    <row r="1565" customFormat="false" ht="15" hidden="false" customHeight="false" outlineLevel="0" collapsed="false">
      <c r="A1565" s="3" t="s">
        <v>1955</v>
      </c>
      <c r="B1565" s="3" t="s">
        <v>282</v>
      </c>
      <c r="C1565" s="3" t="s">
        <v>403</v>
      </c>
      <c r="D1565" s="3" t="s">
        <v>392</v>
      </c>
      <c r="E1565" s="3" t="s">
        <v>398</v>
      </c>
      <c r="F1565" s="16" t="n">
        <v>12</v>
      </c>
      <c r="G1565" s="15" t="n">
        <v>0</v>
      </c>
      <c r="H1565" s="16" t="n">
        <v>5</v>
      </c>
      <c r="I1565" s="33" t="n">
        <v>19657.56</v>
      </c>
      <c r="J1565" s="33" t="n">
        <v>19657.56</v>
      </c>
    </row>
    <row r="1566" customFormat="false" ht="15" hidden="false" customHeight="false" outlineLevel="0" collapsed="false">
      <c r="A1566" s="3" t="s">
        <v>1956</v>
      </c>
      <c r="B1566" s="3" t="s">
        <v>283</v>
      </c>
      <c r="C1566" s="3" t="s">
        <v>405</v>
      </c>
      <c r="D1566" s="3" t="s">
        <v>418</v>
      </c>
      <c r="E1566" s="3" t="s">
        <v>398</v>
      </c>
      <c r="F1566" s="16" t="n">
        <v>1</v>
      </c>
      <c r="G1566" s="15" t="n">
        <v>0</v>
      </c>
      <c r="H1566" s="16" t="n">
        <v>1</v>
      </c>
      <c r="I1566" s="33" t="n">
        <v>19637.28</v>
      </c>
      <c r="J1566" s="33" t="n">
        <v>19637.28</v>
      </c>
    </row>
    <row r="1567" customFormat="false" ht="15" hidden="false" customHeight="false" outlineLevel="0" collapsed="false">
      <c r="A1567" s="3" t="s">
        <v>1957</v>
      </c>
      <c r="B1567" s="3" t="s">
        <v>283</v>
      </c>
      <c r="C1567" s="3" t="s">
        <v>396</v>
      </c>
      <c r="D1567" s="3" t="s">
        <v>692</v>
      </c>
      <c r="E1567" s="3" t="s">
        <v>398</v>
      </c>
      <c r="F1567" s="16" t="n">
        <v>12</v>
      </c>
      <c r="G1567" s="15" t="n">
        <v>0</v>
      </c>
      <c r="H1567" s="16" t="n">
        <v>1</v>
      </c>
      <c r="I1567" s="33" t="n">
        <v>19637.16</v>
      </c>
      <c r="J1567" s="33" t="n">
        <v>19637.16</v>
      </c>
    </row>
    <row r="1568" customFormat="false" ht="15" hidden="false" customHeight="false" outlineLevel="0" collapsed="false">
      <c r="A1568" s="3" t="s">
        <v>1958</v>
      </c>
      <c r="B1568" s="3" t="s">
        <v>282</v>
      </c>
      <c r="C1568" s="3" t="s">
        <v>384</v>
      </c>
      <c r="D1568" s="3" t="s">
        <v>392</v>
      </c>
      <c r="E1568" s="3" t="s">
        <v>398</v>
      </c>
      <c r="F1568" s="16" t="n">
        <v>24</v>
      </c>
      <c r="G1568" s="15" t="n">
        <v>0.25</v>
      </c>
      <c r="H1568" s="16" t="n">
        <v>3</v>
      </c>
      <c r="I1568" s="33" t="n">
        <v>19630.32</v>
      </c>
      <c r="J1568" s="33" t="n">
        <v>26173.68</v>
      </c>
    </row>
    <row r="1569" customFormat="false" ht="15" hidden="false" customHeight="false" outlineLevel="0" collapsed="false">
      <c r="A1569" s="3" t="s">
        <v>1959</v>
      </c>
      <c r="B1569" s="3" t="s">
        <v>282</v>
      </c>
      <c r="C1569" s="3" t="s">
        <v>396</v>
      </c>
      <c r="D1569" s="3" t="s">
        <v>388</v>
      </c>
      <c r="E1569" s="3" t="s">
        <v>398</v>
      </c>
      <c r="F1569" s="16" t="n">
        <v>12</v>
      </c>
      <c r="G1569" s="15" t="n">
        <v>0.15</v>
      </c>
      <c r="H1569" s="16" t="n">
        <v>4</v>
      </c>
      <c r="I1569" s="33" t="n">
        <v>19561.08</v>
      </c>
      <c r="J1569" s="33" t="n">
        <v>23013</v>
      </c>
    </row>
    <row r="1570" customFormat="false" ht="15" hidden="false" customHeight="false" outlineLevel="0" collapsed="false">
      <c r="A1570" s="3" t="s">
        <v>1960</v>
      </c>
      <c r="B1570" s="3" t="s">
        <v>282</v>
      </c>
      <c r="C1570" s="3" t="s">
        <v>396</v>
      </c>
      <c r="D1570" s="3" t="s">
        <v>381</v>
      </c>
      <c r="E1570" s="3" t="s">
        <v>382</v>
      </c>
      <c r="F1570" s="16" t="n">
        <v>24</v>
      </c>
      <c r="G1570" s="15" t="n">
        <v>0</v>
      </c>
      <c r="H1570" s="16" t="n">
        <v>1</v>
      </c>
      <c r="I1570" s="33" t="n">
        <v>19513.92</v>
      </c>
      <c r="J1570" s="33" t="n">
        <v>19513.92</v>
      </c>
    </row>
    <row r="1571" customFormat="false" ht="15" hidden="false" customHeight="false" outlineLevel="0" collapsed="false">
      <c r="A1571" s="3" t="s">
        <v>1961</v>
      </c>
      <c r="B1571" s="3" t="s">
        <v>283</v>
      </c>
      <c r="C1571" s="3" t="s">
        <v>380</v>
      </c>
      <c r="D1571" s="3" t="s">
        <v>692</v>
      </c>
      <c r="E1571" s="3" t="s">
        <v>398</v>
      </c>
      <c r="F1571" s="16" t="n">
        <v>1</v>
      </c>
      <c r="G1571" s="15" t="n">
        <v>0</v>
      </c>
      <c r="H1571" s="16" t="n">
        <v>1</v>
      </c>
      <c r="I1571" s="33" t="n">
        <v>19479</v>
      </c>
      <c r="J1571" s="33" t="n">
        <v>19479</v>
      </c>
    </row>
    <row r="1572" customFormat="false" ht="15" hidden="false" customHeight="false" outlineLevel="0" collapsed="false">
      <c r="A1572" s="3" t="s">
        <v>1962</v>
      </c>
      <c r="B1572" s="3" t="s">
        <v>283</v>
      </c>
      <c r="C1572" s="3" t="s">
        <v>403</v>
      </c>
      <c r="D1572" s="3" t="s">
        <v>692</v>
      </c>
      <c r="E1572" s="3" t="s">
        <v>398</v>
      </c>
      <c r="F1572" s="16" t="n">
        <v>12</v>
      </c>
      <c r="G1572" s="15" t="n">
        <v>0</v>
      </c>
      <c r="H1572" s="16" t="n">
        <v>5</v>
      </c>
      <c r="I1572" s="33" t="n">
        <v>19478.04</v>
      </c>
      <c r="J1572" s="33" t="n">
        <v>19478.04</v>
      </c>
    </row>
    <row r="1573" customFormat="false" ht="15" hidden="false" customHeight="false" outlineLevel="0" collapsed="false">
      <c r="A1573" s="3" t="s">
        <v>1963</v>
      </c>
      <c r="B1573" s="3" t="s">
        <v>283</v>
      </c>
      <c r="C1573" s="3" t="s">
        <v>396</v>
      </c>
      <c r="D1573" s="3" t="s">
        <v>692</v>
      </c>
      <c r="E1573" s="3" t="s">
        <v>385</v>
      </c>
      <c r="F1573" s="16" t="n">
        <v>1</v>
      </c>
      <c r="G1573" s="15" t="n">
        <v>0</v>
      </c>
      <c r="H1573" s="16" t="n">
        <v>1</v>
      </c>
      <c r="I1573" s="33" t="n">
        <v>19473</v>
      </c>
      <c r="J1573" s="33" t="n">
        <v>19473</v>
      </c>
    </row>
    <row r="1574" customFormat="false" ht="15" hidden="false" customHeight="false" outlineLevel="0" collapsed="false">
      <c r="A1574" s="3" t="s">
        <v>1964</v>
      </c>
      <c r="B1574" s="3" t="s">
        <v>282</v>
      </c>
      <c r="C1574" s="3" t="s">
        <v>405</v>
      </c>
      <c r="D1574" s="3" t="s">
        <v>381</v>
      </c>
      <c r="E1574" s="3" t="s">
        <v>398</v>
      </c>
      <c r="F1574" s="16" t="n">
        <v>24</v>
      </c>
      <c r="G1574" s="15" t="n">
        <v>0.2</v>
      </c>
      <c r="H1574" s="16" t="n">
        <v>15</v>
      </c>
      <c r="I1574" s="33" t="n">
        <v>19457.04</v>
      </c>
      <c r="J1574" s="33" t="n">
        <v>24321.36</v>
      </c>
    </row>
    <row r="1575" customFormat="false" ht="15" hidden="false" customHeight="false" outlineLevel="0" collapsed="false">
      <c r="A1575" s="3" t="s">
        <v>1965</v>
      </c>
      <c r="B1575" s="3" t="s">
        <v>282</v>
      </c>
      <c r="C1575" s="3" t="s">
        <v>380</v>
      </c>
      <c r="D1575" s="3" t="s">
        <v>388</v>
      </c>
      <c r="E1575" s="3" t="s">
        <v>398</v>
      </c>
      <c r="F1575" s="16" t="n">
        <v>12</v>
      </c>
      <c r="G1575" s="15" t="n">
        <v>0.2</v>
      </c>
      <c r="H1575" s="16" t="n">
        <v>11</v>
      </c>
      <c r="I1575" s="33" t="n">
        <v>19445.4</v>
      </c>
      <c r="J1575" s="33" t="n">
        <v>24306.84</v>
      </c>
    </row>
    <row r="1576" customFormat="false" ht="15" hidden="false" customHeight="false" outlineLevel="0" collapsed="false">
      <c r="A1576" s="3" t="s">
        <v>1966</v>
      </c>
      <c r="B1576" s="3" t="s">
        <v>282</v>
      </c>
      <c r="C1576" s="3" t="s">
        <v>396</v>
      </c>
      <c r="D1576" s="3" t="s">
        <v>388</v>
      </c>
      <c r="E1576" s="3" t="s">
        <v>398</v>
      </c>
      <c r="F1576" s="16" t="n">
        <v>12</v>
      </c>
      <c r="G1576" s="15" t="n">
        <v>0</v>
      </c>
      <c r="H1576" s="16" t="n">
        <v>2</v>
      </c>
      <c r="I1576" s="33" t="n">
        <v>19426.56</v>
      </c>
      <c r="J1576" s="33" t="n">
        <v>19426.56</v>
      </c>
    </row>
    <row r="1577" customFormat="false" ht="15" hidden="false" customHeight="false" outlineLevel="0" collapsed="false">
      <c r="A1577" s="3" t="s">
        <v>1967</v>
      </c>
      <c r="B1577" s="3" t="s">
        <v>283</v>
      </c>
      <c r="C1577" s="3" t="s">
        <v>384</v>
      </c>
      <c r="D1577" s="3" t="s">
        <v>692</v>
      </c>
      <c r="E1577" s="3" t="s">
        <v>385</v>
      </c>
      <c r="F1577" s="16" t="n">
        <v>12</v>
      </c>
      <c r="G1577" s="15" t="n">
        <v>0</v>
      </c>
      <c r="H1577" s="16" t="n">
        <v>6</v>
      </c>
      <c r="I1577" s="33" t="n">
        <v>19417.32</v>
      </c>
      <c r="J1577" s="33" t="n">
        <v>19417.32</v>
      </c>
    </row>
    <row r="1578" customFormat="false" ht="15" hidden="false" customHeight="false" outlineLevel="0" collapsed="false">
      <c r="A1578" s="3" t="s">
        <v>1968</v>
      </c>
      <c r="B1578" s="3" t="s">
        <v>283</v>
      </c>
      <c r="C1578" s="3" t="s">
        <v>401</v>
      </c>
      <c r="D1578" s="3" t="s">
        <v>392</v>
      </c>
      <c r="E1578" s="3" t="s">
        <v>382</v>
      </c>
      <c r="F1578" s="16" t="n">
        <v>12</v>
      </c>
      <c r="G1578" s="15" t="n">
        <v>0</v>
      </c>
      <c r="H1578" s="16" t="n">
        <v>4</v>
      </c>
      <c r="I1578" s="33" t="n">
        <v>19390.56</v>
      </c>
      <c r="J1578" s="33" t="n">
        <v>19390.56</v>
      </c>
    </row>
    <row r="1579" customFormat="false" ht="15" hidden="false" customHeight="false" outlineLevel="0" collapsed="false">
      <c r="A1579" s="3" t="s">
        <v>1969</v>
      </c>
      <c r="B1579" s="3" t="s">
        <v>283</v>
      </c>
      <c r="C1579" s="3" t="s">
        <v>384</v>
      </c>
      <c r="D1579" s="3" t="s">
        <v>418</v>
      </c>
      <c r="E1579" s="3" t="s">
        <v>398</v>
      </c>
      <c r="F1579" s="16" t="n">
        <v>1</v>
      </c>
      <c r="G1579" s="15" t="n">
        <v>0.25</v>
      </c>
      <c r="H1579" s="16" t="n">
        <v>1</v>
      </c>
      <c r="I1579" s="33" t="n">
        <v>19388.64</v>
      </c>
      <c r="J1579" s="33" t="n">
        <v>25851.48</v>
      </c>
    </row>
    <row r="1580" customFormat="false" ht="15" hidden="false" customHeight="false" outlineLevel="0" collapsed="false">
      <c r="A1580" s="3" t="s">
        <v>1970</v>
      </c>
      <c r="B1580" s="3" t="s">
        <v>283</v>
      </c>
      <c r="C1580" s="3" t="s">
        <v>387</v>
      </c>
      <c r="D1580" s="3" t="s">
        <v>692</v>
      </c>
      <c r="E1580" s="3" t="s">
        <v>398</v>
      </c>
      <c r="F1580" s="16" t="n">
        <v>1</v>
      </c>
      <c r="G1580" s="15" t="n">
        <v>0</v>
      </c>
      <c r="H1580" s="16" t="n">
        <v>1</v>
      </c>
      <c r="I1580" s="33" t="n">
        <v>19384.08</v>
      </c>
      <c r="J1580" s="33" t="n">
        <v>19384.08</v>
      </c>
    </row>
    <row r="1581" customFormat="false" ht="15" hidden="false" customHeight="false" outlineLevel="0" collapsed="false">
      <c r="A1581" s="3" t="s">
        <v>1971</v>
      </c>
      <c r="B1581" s="3" t="s">
        <v>283</v>
      </c>
      <c r="C1581" s="3" t="s">
        <v>387</v>
      </c>
      <c r="D1581" s="3" t="s">
        <v>418</v>
      </c>
      <c r="E1581" s="3" t="s">
        <v>382</v>
      </c>
      <c r="F1581" s="16" t="n">
        <v>12</v>
      </c>
      <c r="G1581" s="15" t="n">
        <v>0</v>
      </c>
      <c r="H1581" s="16" t="n">
        <v>2</v>
      </c>
      <c r="I1581" s="33" t="n">
        <v>19369.68</v>
      </c>
      <c r="J1581" s="33" t="n">
        <v>19369.68</v>
      </c>
    </row>
    <row r="1582" customFormat="false" ht="15" hidden="false" customHeight="false" outlineLevel="0" collapsed="false">
      <c r="A1582" s="3" t="s">
        <v>1972</v>
      </c>
      <c r="B1582" s="3" t="s">
        <v>283</v>
      </c>
      <c r="C1582" s="3" t="s">
        <v>401</v>
      </c>
      <c r="D1582" s="3" t="s">
        <v>692</v>
      </c>
      <c r="E1582" s="3" t="s">
        <v>398</v>
      </c>
      <c r="F1582" s="16" t="n">
        <v>12</v>
      </c>
      <c r="G1582" s="15" t="n">
        <v>0</v>
      </c>
      <c r="H1582" s="16" t="n">
        <v>10</v>
      </c>
      <c r="I1582" s="33" t="n">
        <v>19345.44</v>
      </c>
      <c r="J1582" s="33" t="n">
        <v>19345.44</v>
      </c>
    </row>
    <row r="1583" customFormat="false" ht="15" hidden="false" customHeight="false" outlineLevel="0" collapsed="false">
      <c r="A1583" s="3" t="s">
        <v>1973</v>
      </c>
      <c r="B1583" s="3" t="s">
        <v>282</v>
      </c>
      <c r="C1583" s="3" t="s">
        <v>403</v>
      </c>
      <c r="D1583" s="3" t="s">
        <v>418</v>
      </c>
      <c r="E1583" s="3" t="s">
        <v>398</v>
      </c>
      <c r="F1583" s="16" t="n">
        <v>12</v>
      </c>
      <c r="G1583" s="15" t="n">
        <v>0</v>
      </c>
      <c r="H1583" s="16" t="n">
        <v>4</v>
      </c>
      <c r="I1583" s="33" t="n">
        <v>19341.36</v>
      </c>
      <c r="J1583" s="33" t="n">
        <v>19341.36</v>
      </c>
    </row>
    <row r="1584" customFormat="false" ht="15" hidden="false" customHeight="false" outlineLevel="0" collapsed="false">
      <c r="A1584" s="3" t="s">
        <v>1974</v>
      </c>
      <c r="B1584" s="3" t="s">
        <v>282</v>
      </c>
      <c r="C1584" s="3" t="s">
        <v>396</v>
      </c>
      <c r="D1584" s="3" t="s">
        <v>418</v>
      </c>
      <c r="E1584" s="3" t="s">
        <v>398</v>
      </c>
      <c r="F1584" s="16" t="n">
        <v>12</v>
      </c>
      <c r="G1584" s="15" t="n">
        <v>0</v>
      </c>
      <c r="H1584" s="16" t="n">
        <v>5</v>
      </c>
      <c r="I1584" s="33" t="n">
        <v>19334.16</v>
      </c>
      <c r="J1584" s="33" t="n">
        <v>19334.16</v>
      </c>
    </row>
    <row r="1585" customFormat="false" ht="15" hidden="false" customHeight="false" outlineLevel="0" collapsed="false">
      <c r="A1585" s="3" t="s">
        <v>1975</v>
      </c>
      <c r="B1585" s="3" t="s">
        <v>283</v>
      </c>
      <c r="C1585" s="3" t="s">
        <v>405</v>
      </c>
      <c r="D1585" s="3" t="s">
        <v>392</v>
      </c>
      <c r="E1585" s="3" t="s">
        <v>385</v>
      </c>
      <c r="F1585" s="16" t="n">
        <v>1</v>
      </c>
      <c r="G1585" s="15" t="n">
        <v>0.1</v>
      </c>
      <c r="H1585" s="16" t="n">
        <v>1</v>
      </c>
      <c r="I1585" s="33" t="n">
        <v>19321.2</v>
      </c>
      <c r="J1585" s="33" t="n">
        <v>21468.12</v>
      </c>
    </row>
    <row r="1586" customFormat="false" ht="15" hidden="false" customHeight="false" outlineLevel="0" collapsed="false">
      <c r="A1586" s="3" t="s">
        <v>1976</v>
      </c>
      <c r="B1586" s="3" t="s">
        <v>282</v>
      </c>
      <c r="C1586" s="3" t="s">
        <v>387</v>
      </c>
      <c r="D1586" s="3" t="s">
        <v>381</v>
      </c>
      <c r="E1586" s="3" t="s">
        <v>398</v>
      </c>
      <c r="F1586" s="16" t="n">
        <v>12</v>
      </c>
      <c r="G1586" s="15" t="n">
        <v>0</v>
      </c>
      <c r="H1586" s="16" t="n">
        <v>8</v>
      </c>
      <c r="I1586" s="33" t="n">
        <v>19318.92</v>
      </c>
      <c r="J1586" s="33" t="n">
        <v>19318.92</v>
      </c>
    </row>
    <row r="1587" customFormat="false" ht="15" hidden="false" customHeight="false" outlineLevel="0" collapsed="false">
      <c r="A1587" s="3" t="s">
        <v>1977</v>
      </c>
      <c r="B1587" s="3" t="s">
        <v>283</v>
      </c>
      <c r="C1587" s="3" t="s">
        <v>401</v>
      </c>
      <c r="D1587" s="3" t="s">
        <v>418</v>
      </c>
      <c r="E1587" s="3" t="s">
        <v>398</v>
      </c>
      <c r="F1587" s="16" t="n">
        <v>12</v>
      </c>
      <c r="G1587" s="15" t="n">
        <v>0.25</v>
      </c>
      <c r="H1587" s="16" t="n">
        <v>12</v>
      </c>
      <c r="I1587" s="33" t="n">
        <v>19299</v>
      </c>
      <c r="J1587" s="33" t="n">
        <v>25732.08</v>
      </c>
    </row>
    <row r="1588" customFormat="false" ht="15" hidden="false" customHeight="false" outlineLevel="0" collapsed="false">
      <c r="A1588" s="3" t="s">
        <v>1978</v>
      </c>
      <c r="B1588" s="3" t="s">
        <v>282</v>
      </c>
      <c r="C1588" s="3" t="s">
        <v>403</v>
      </c>
      <c r="D1588" s="3" t="s">
        <v>418</v>
      </c>
      <c r="E1588" s="3" t="s">
        <v>382</v>
      </c>
      <c r="F1588" s="16" t="n">
        <v>12</v>
      </c>
      <c r="G1588" s="15" t="n">
        <v>0.05</v>
      </c>
      <c r="H1588" s="16" t="n">
        <v>8</v>
      </c>
      <c r="I1588" s="33" t="n">
        <v>19290.96</v>
      </c>
      <c r="J1588" s="33" t="n">
        <v>20306.28</v>
      </c>
    </row>
    <row r="1589" customFormat="false" ht="15" hidden="false" customHeight="false" outlineLevel="0" collapsed="false">
      <c r="A1589" s="3" t="s">
        <v>1979</v>
      </c>
      <c r="B1589" s="3" t="s">
        <v>283</v>
      </c>
      <c r="C1589" s="3" t="s">
        <v>384</v>
      </c>
      <c r="D1589" s="3" t="s">
        <v>692</v>
      </c>
      <c r="E1589" s="3" t="s">
        <v>398</v>
      </c>
      <c r="F1589" s="16" t="n">
        <v>1</v>
      </c>
      <c r="G1589" s="15" t="n">
        <v>0</v>
      </c>
      <c r="H1589" s="16" t="n">
        <v>1</v>
      </c>
      <c r="I1589" s="33" t="n">
        <v>19282.08</v>
      </c>
      <c r="J1589" s="33" t="n">
        <v>19282.08</v>
      </c>
    </row>
    <row r="1590" customFormat="false" ht="15" hidden="false" customHeight="false" outlineLevel="0" collapsed="false">
      <c r="A1590" s="3" t="s">
        <v>1980</v>
      </c>
      <c r="B1590" s="3" t="s">
        <v>283</v>
      </c>
      <c r="C1590" s="3" t="s">
        <v>384</v>
      </c>
      <c r="D1590" s="3" t="s">
        <v>418</v>
      </c>
      <c r="E1590" s="3" t="s">
        <v>382</v>
      </c>
      <c r="F1590" s="16" t="n">
        <v>1</v>
      </c>
      <c r="G1590" s="15" t="n">
        <v>0</v>
      </c>
      <c r="H1590" s="16" t="n">
        <v>1</v>
      </c>
      <c r="I1590" s="33" t="n">
        <v>19239</v>
      </c>
      <c r="J1590" s="33" t="n">
        <v>19239</v>
      </c>
    </row>
    <row r="1591" customFormat="false" ht="15" hidden="false" customHeight="false" outlineLevel="0" collapsed="false">
      <c r="A1591" s="3" t="s">
        <v>1981</v>
      </c>
      <c r="B1591" s="3" t="s">
        <v>283</v>
      </c>
      <c r="C1591" s="3" t="s">
        <v>380</v>
      </c>
      <c r="D1591" s="3" t="s">
        <v>388</v>
      </c>
      <c r="E1591" s="3" t="s">
        <v>398</v>
      </c>
      <c r="F1591" s="16" t="n">
        <v>1</v>
      </c>
      <c r="G1591" s="15" t="n">
        <v>0</v>
      </c>
      <c r="H1591" s="16" t="n">
        <v>1</v>
      </c>
      <c r="I1591" s="33" t="n">
        <v>19226.4</v>
      </c>
      <c r="J1591" s="33" t="n">
        <v>19226.4</v>
      </c>
    </row>
    <row r="1592" customFormat="false" ht="15" hidden="false" customHeight="false" outlineLevel="0" collapsed="false">
      <c r="A1592" s="3" t="s">
        <v>1982</v>
      </c>
      <c r="B1592" s="3" t="s">
        <v>283</v>
      </c>
      <c r="C1592" s="3" t="s">
        <v>380</v>
      </c>
      <c r="D1592" s="3" t="s">
        <v>418</v>
      </c>
      <c r="E1592" s="3" t="s">
        <v>398</v>
      </c>
      <c r="F1592" s="16" t="n">
        <v>1</v>
      </c>
      <c r="G1592" s="15" t="n">
        <v>0.3</v>
      </c>
      <c r="H1592" s="16" t="n">
        <v>1</v>
      </c>
      <c r="I1592" s="33" t="n">
        <v>19224.36</v>
      </c>
      <c r="J1592" s="33" t="n">
        <v>27463.32</v>
      </c>
    </row>
    <row r="1593" customFormat="false" ht="15" hidden="false" customHeight="false" outlineLevel="0" collapsed="false">
      <c r="A1593" s="3" t="s">
        <v>1983</v>
      </c>
      <c r="B1593" s="3" t="s">
        <v>283</v>
      </c>
      <c r="C1593" s="3" t="s">
        <v>387</v>
      </c>
      <c r="D1593" s="3" t="s">
        <v>692</v>
      </c>
      <c r="E1593" s="3" t="s">
        <v>398</v>
      </c>
      <c r="F1593" s="16" t="n">
        <v>12</v>
      </c>
      <c r="G1593" s="15" t="n">
        <v>0</v>
      </c>
      <c r="H1593" s="16" t="n">
        <v>7</v>
      </c>
      <c r="I1593" s="33" t="n">
        <v>19214.76</v>
      </c>
      <c r="J1593" s="33" t="n">
        <v>19214.76</v>
      </c>
    </row>
    <row r="1594" customFormat="false" ht="15" hidden="false" customHeight="false" outlineLevel="0" collapsed="false">
      <c r="A1594" s="3" t="s">
        <v>1984</v>
      </c>
      <c r="B1594" s="3" t="s">
        <v>283</v>
      </c>
      <c r="C1594" s="3" t="s">
        <v>401</v>
      </c>
      <c r="D1594" s="3" t="s">
        <v>692</v>
      </c>
      <c r="E1594" s="3" t="s">
        <v>398</v>
      </c>
      <c r="F1594" s="16" t="n">
        <v>12</v>
      </c>
      <c r="G1594" s="15" t="n">
        <v>0</v>
      </c>
      <c r="H1594" s="16" t="n">
        <v>5</v>
      </c>
      <c r="I1594" s="33" t="n">
        <v>19191.24</v>
      </c>
      <c r="J1594" s="33" t="n">
        <v>19191.24</v>
      </c>
    </row>
    <row r="1595" customFormat="false" ht="15" hidden="false" customHeight="false" outlineLevel="0" collapsed="false">
      <c r="A1595" s="3" t="s">
        <v>1985</v>
      </c>
      <c r="B1595" s="3" t="s">
        <v>283</v>
      </c>
      <c r="C1595" s="3" t="s">
        <v>387</v>
      </c>
      <c r="D1595" s="3" t="s">
        <v>692</v>
      </c>
      <c r="E1595" s="3" t="s">
        <v>398</v>
      </c>
      <c r="F1595" s="16" t="n">
        <v>12</v>
      </c>
      <c r="G1595" s="15" t="n">
        <v>0</v>
      </c>
      <c r="H1595" s="16" t="n">
        <v>6</v>
      </c>
      <c r="I1595" s="33" t="n">
        <v>19174.56</v>
      </c>
      <c r="J1595" s="33" t="n">
        <v>19174.56</v>
      </c>
    </row>
    <row r="1596" customFormat="false" ht="15" hidden="false" customHeight="false" outlineLevel="0" collapsed="false">
      <c r="A1596" s="3" t="s">
        <v>1986</v>
      </c>
      <c r="B1596" s="3" t="s">
        <v>283</v>
      </c>
      <c r="C1596" s="3" t="s">
        <v>405</v>
      </c>
      <c r="D1596" s="3" t="s">
        <v>692</v>
      </c>
      <c r="E1596" s="3" t="s">
        <v>398</v>
      </c>
      <c r="F1596" s="16" t="n">
        <v>1</v>
      </c>
      <c r="G1596" s="15" t="n">
        <v>0.1</v>
      </c>
      <c r="H1596" s="16" t="n">
        <v>1</v>
      </c>
      <c r="I1596" s="33" t="n">
        <v>19167.96</v>
      </c>
      <c r="J1596" s="33" t="n">
        <v>21297.72</v>
      </c>
    </row>
    <row r="1597" customFormat="false" ht="15" hidden="false" customHeight="false" outlineLevel="0" collapsed="false">
      <c r="A1597" s="3" t="s">
        <v>1987</v>
      </c>
      <c r="B1597" s="3" t="s">
        <v>283</v>
      </c>
      <c r="C1597" s="3" t="s">
        <v>401</v>
      </c>
      <c r="D1597" s="3" t="s">
        <v>692</v>
      </c>
      <c r="E1597" s="3" t="s">
        <v>385</v>
      </c>
      <c r="F1597" s="16" t="n">
        <v>1</v>
      </c>
      <c r="G1597" s="15" t="n">
        <v>0.25</v>
      </c>
      <c r="H1597" s="16" t="n">
        <v>1</v>
      </c>
      <c r="I1597" s="33" t="n">
        <v>19164</v>
      </c>
      <c r="J1597" s="33" t="n">
        <v>25551.96</v>
      </c>
    </row>
    <row r="1598" customFormat="false" ht="15" hidden="false" customHeight="false" outlineLevel="0" collapsed="false">
      <c r="A1598" s="3" t="s">
        <v>1988</v>
      </c>
      <c r="B1598" s="3" t="s">
        <v>282</v>
      </c>
      <c r="C1598" s="3" t="s">
        <v>403</v>
      </c>
      <c r="D1598" s="3" t="s">
        <v>392</v>
      </c>
      <c r="E1598" s="3" t="s">
        <v>398</v>
      </c>
      <c r="F1598" s="16" t="n">
        <v>12</v>
      </c>
      <c r="G1598" s="15" t="n">
        <v>0.3</v>
      </c>
      <c r="H1598" s="16" t="n">
        <v>4</v>
      </c>
      <c r="I1598" s="33" t="n">
        <v>19154.16</v>
      </c>
      <c r="J1598" s="33" t="n">
        <v>27363</v>
      </c>
    </row>
    <row r="1599" customFormat="false" ht="15" hidden="false" customHeight="false" outlineLevel="0" collapsed="false">
      <c r="A1599" s="3" t="s">
        <v>1989</v>
      </c>
      <c r="B1599" s="3" t="s">
        <v>283</v>
      </c>
      <c r="C1599" s="3" t="s">
        <v>396</v>
      </c>
      <c r="D1599" s="3" t="s">
        <v>388</v>
      </c>
      <c r="E1599" s="3" t="s">
        <v>398</v>
      </c>
      <c r="F1599" s="16" t="n">
        <v>12</v>
      </c>
      <c r="G1599" s="15" t="n">
        <v>0</v>
      </c>
      <c r="H1599" s="16" t="n">
        <v>7</v>
      </c>
      <c r="I1599" s="33" t="n">
        <v>19150.68</v>
      </c>
      <c r="J1599" s="33" t="n">
        <v>19150.68</v>
      </c>
    </row>
    <row r="1600" customFormat="false" ht="15" hidden="false" customHeight="false" outlineLevel="0" collapsed="false">
      <c r="A1600" s="3" t="s">
        <v>1990</v>
      </c>
      <c r="B1600" s="3" t="s">
        <v>283</v>
      </c>
      <c r="C1600" s="3" t="s">
        <v>396</v>
      </c>
      <c r="D1600" s="3" t="s">
        <v>392</v>
      </c>
      <c r="E1600" s="3" t="s">
        <v>382</v>
      </c>
      <c r="F1600" s="16" t="n">
        <v>1</v>
      </c>
      <c r="G1600" s="15" t="n">
        <v>0</v>
      </c>
      <c r="H1600" s="16" t="n">
        <v>1</v>
      </c>
      <c r="I1600" s="33" t="n">
        <v>19133.16</v>
      </c>
      <c r="J1600" s="33" t="n">
        <v>19133.16</v>
      </c>
    </row>
    <row r="1601" customFormat="false" ht="15" hidden="false" customHeight="false" outlineLevel="0" collapsed="false">
      <c r="A1601" s="3" t="s">
        <v>1991</v>
      </c>
      <c r="B1601" s="3" t="s">
        <v>283</v>
      </c>
      <c r="C1601" s="3" t="s">
        <v>387</v>
      </c>
      <c r="D1601" s="3" t="s">
        <v>392</v>
      </c>
      <c r="E1601" s="3" t="s">
        <v>382</v>
      </c>
      <c r="F1601" s="16" t="n">
        <v>1</v>
      </c>
      <c r="G1601" s="15" t="n">
        <v>0</v>
      </c>
      <c r="H1601" s="16" t="n">
        <v>1</v>
      </c>
      <c r="I1601" s="33" t="n">
        <v>19120.08</v>
      </c>
      <c r="J1601" s="33" t="n">
        <v>19120.08</v>
      </c>
    </row>
    <row r="1602" customFormat="false" ht="15" hidden="false" customHeight="false" outlineLevel="0" collapsed="false">
      <c r="A1602" s="3" t="s">
        <v>1992</v>
      </c>
      <c r="B1602" s="3" t="s">
        <v>283</v>
      </c>
      <c r="C1602" s="3" t="s">
        <v>387</v>
      </c>
      <c r="D1602" s="3" t="s">
        <v>392</v>
      </c>
      <c r="E1602" s="3" t="s">
        <v>398</v>
      </c>
      <c r="F1602" s="16" t="n">
        <v>1</v>
      </c>
      <c r="G1602" s="15" t="n">
        <v>0.1</v>
      </c>
      <c r="H1602" s="16" t="n">
        <v>1</v>
      </c>
      <c r="I1602" s="33" t="n">
        <v>19086.24</v>
      </c>
      <c r="J1602" s="33" t="n">
        <v>21207</v>
      </c>
    </row>
    <row r="1603" customFormat="false" ht="15" hidden="false" customHeight="false" outlineLevel="0" collapsed="false">
      <c r="A1603" s="3" t="s">
        <v>1993</v>
      </c>
      <c r="B1603" s="3" t="s">
        <v>282</v>
      </c>
      <c r="C1603" s="3" t="s">
        <v>387</v>
      </c>
      <c r="D1603" s="3" t="s">
        <v>388</v>
      </c>
      <c r="E1603" s="3" t="s">
        <v>398</v>
      </c>
      <c r="F1603" s="16" t="n">
        <v>12</v>
      </c>
      <c r="G1603" s="15" t="n">
        <v>0</v>
      </c>
      <c r="H1603" s="16" t="n">
        <v>8</v>
      </c>
      <c r="I1603" s="33" t="n">
        <v>19066.68</v>
      </c>
      <c r="J1603" s="33" t="n">
        <v>19066.68</v>
      </c>
    </row>
    <row r="1604" customFormat="false" ht="15" hidden="false" customHeight="false" outlineLevel="0" collapsed="false">
      <c r="A1604" s="3" t="s">
        <v>1994</v>
      </c>
      <c r="B1604" s="3" t="s">
        <v>283</v>
      </c>
      <c r="C1604" s="3" t="s">
        <v>384</v>
      </c>
      <c r="D1604" s="3" t="s">
        <v>392</v>
      </c>
      <c r="E1604" s="3" t="s">
        <v>385</v>
      </c>
      <c r="F1604" s="16" t="n">
        <v>1</v>
      </c>
      <c r="G1604" s="15" t="n">
        <v>0</v>
      </c>
      <c r="H1604" s="16" t="n">
        <v>1</v>
      </c>
      <c r="I1604" s="33" t="n">
        <v>19065.84</v>
      </c>
      <c r="J1604" s="33" t="n">
        <v>19065.84</v>
      </c>
    </row>
    <row r="1605" customFormat="false" ht="15" hidden="false" customHeight="false" outlineLevel="0" collapsed="false">
      <c r="A1605" s="3" t="s">
        <v>1995</v>
      </c>
      <c r="B1605" s="3" t="s">
        <v>283</v>
      </c>
      <c r="C1605" s="3" t="s">
        <v>380</v>
      </c>
      <c r="D1605" s="3" t="s">
        <v>692</v>
      </c>
      <c r="E1605" s="3" t="s">
        <v>382</v>
      </c>
      <c r="F1605" s="16" t="n">
        <v>1</v>
      </c>
      <c r="G1605" s="15" t="n">
        <v>0</v>
      </c>
      <c r="H1605" s="16" t="n">
        <v>1</v>
      </c>
      <c r="I1605" s="33" t="n">
        <v>19048.44</v>
      </c>
      <c r="J1605" s="33" t="n">
        <v>19048.44</v>
      </c>
    </row>
    <row r="1606" customFormat="false" ht="15" hidden="false" customHeight="false" outlineLevel="0" collapsed="false">
      <c r="A1606" s="3" t="s">
        <v>1996</v>
      </c>
      <c r="B1606" s="3" t="s">
        <v>283</v>
      </c>
      <c r="C1606" s="3" t="s">
        <v>380</v>
      </c>
      <c r="D1606" s="3" t="s">
        <v>692</v>
      </c>
      <c r="E1606" s="3" t="s">
        <v>385</v>
      </c>
      <c r="F1606" s="16" t="n">
        <v>1</v>
      </c>
      <c r="G1606" s="15" t="n">
        <v>0.1</v>
      </c>
      <c r="H1606" s="16" t="n">
        <v>1</v>
      </c>
      <c r="I1606" s="33" t="n">
        <v>19044</v>
      </c>
      <c r="J1606" s="33" t="n">
        <v>21159.96</v>
      </c>
    </row>
    <row r="1607" customFormat="false" ht="15" hidden="false" customHeight="false" outlineLevel="0" collapsed="false">
      <c r="A1607" s="3" t="s">
        <v>1997</v>
      </c>
      <c r="B1607" s="3" t="s">
        <v>282</v>
      </c>
      <c r="C1607" s="3" t="s">
        <v>403</v>
      </c>
      <c r="D1607" s="3" t="s">
        <v>388</v>
      </c>
      <c r="E1607" s="3" t="s">
        <v>385</v>
      </c>
      <c r="F1607" s="16" t="n">
        <v>24</v>
      </c>
      <c r="G1607" s="15" t="n">
        <v>0</v>
      </c>
      <c r="H1607" s="16" t="n">
        <v>22</v>
      </c>
      <c r="I1607" s="33" t="n">
        <v>19037.76</v>
      </c>
      <c r="J1607" s="33" t="n">
        <v>19037.76</v>
      </c>
    </row>
    <row r="1608" customFormat="false" ht="15" hidden="false" customHeight="false" outlineLevel="0" collapsed="false">
      <c r="A1608" s="3" t="s">
        <v>1998</v>
      </c>
      <c r="B1608" s="3" t="s">
        <v>283</v>
      </c>
      <c r="C1608" s="3" t="s">
        <v>380</v>
      </c>
      <c r="D1608" s="3" t="s">
        <v>418</v>
      </c>
      <c r="E1608" s="3" t="s">
        <v>398</v>
      </c>
      <c r="F1608" s="16" t="n">
        <v>12</v>
      </c>
      <c r="G1608" s="15" t="n">
        <v>0.1</v>
      </c>
      <c r="H1608" s="16" t="n">
        <v>3</v>
      </c>
      <c r="I1608" s="33" t="n">
        <v>19031.4</v>
      </c>
      <c r="J1608" s="33" t="n">
        <v>21146.04</v>
      </c>
    </row>
    <row r="1609" customFormat="false" ht="15" hidden="false" customHeight="false" outlineLevel="0" collapsed="false">
      <c r="A1609" s="3" t="s">
        <v>1999</v>
      </c>
      <c r="B1609" s="3" t="s">
        <v>282</v>
      </c>
      <c r="C1609" s="3" t="s">
        <v>403</v>
      </c>
      <c r="D1609" s="3" t="s">
        <v>381</v>
      </c>
      <c r="E1609" s="3" t="s">
        <v>398</v>
      </c>
      <c r="F1609" s="16" t="n">
        <v>24</v>
      </c>
      <c r="G1609" s="15" t="n">
        <v>0</v>
      </c>
      <c r="H1609" s="16" t="n">
        <v>14</v>
      </c>
      <c r="I1609" s="33" t="n">
        <v>19023.72</v>
      </c>
      <c r="J1609" s="33" t="n">
        <v>19023.72</v>
      </c>
    </row>
    <row r="1610" customFormat="false" ht="15" hidden="false" customHeight="false" outlineLevel="0" collapsed="false">
      <c r="A1610" s="3" t="s">
        <v>2000</v>
      </c>
      <c r="B1610" s="3" t="s">
        <v>282</v>
      </c>
      <c r="C1610" s="3" t="s">
        <v>401</v>
      </c>
      <c r="D1610" s="3" t="s">
        <v>392</v>
      </c>
      <c r="E1610" s="3" t="s">
        <v>398</v>
      </c>
      <c r="F1610" s="16" t="n">
        <v>24</v>
      </c>
      <c r="G1610" s="15" t="n">
        <v>0</v>
      </c>
      <c r="H1610" s="16" t="n">
        <v>13</v>
      </c>
      <c r="I1610" s="33" t="n">
        <v>19016.52</v>
      </c>
      <c r="J1610" s="33" t="n">
        <v>19016.52</v>
      </c>
    </row>
    <row r="1611" customFormat="false" ht="15" hidden="false" customHeight="false" outlineLevel="0" collapsed="false">
      <c r="A1611" s="3" t="s">
        <v>2001</v>
      </c>
      <c r="B1611" s="3" t="s">
        <v>283</v>
      </c>
      <c r="C1611" s="3" t="s">
        <v>401</v>
      </c>
      <c r="D1611" s="3" t="s">
        <v>692</v>
      </c>
      <c r="E1611" s="3" t="s">
        <v>382</v>
      </c>
      <c r="F1611" s="16" t="n">
        <v>1</v>
      </c>
      <c r="G1611" s="15" t="n">
        <v>0.2</v>
      </c>
      <c r="H1611" s="16" t="n">
        <v>1</v>
      </c>
      <c r="I1611" s="33" t="n">
        <v>19007.28</v>
      </c>
      <c r="J1611" s="33" t="n">
        <v>23759.04</v>
      </c>
    </row>
    <row r="1612" customFormat="false" ht="15" hidden="false" customHeight="false" outlineLevel="0" collapsed="false">
      <c r="A1612" s="3" t="s">
        <v>2002</v>
      </c>
      <c r="B1612" s="3" t="s">
        <v>283</v>
      </c>
      <c r="C1612" s="3" t="s">
        <v>396</v>
      </c>
      <c r="D1612" s="3" t="s">
        <v>692</v>
      </c>
      <c r="E1612" s="3" t="s">
        <v>398</v>
      </c>
      <c r="F1612" s="16" t="n">
        <v>1</v>
      </c>
      <c r="G1612" s="15" t="n">
        <v>0</v>
      </c>
      <c r="H1612" s="16" t="n">
        <v>1</v>
      </c>
      <c r="I1612" s="33" t="n">
        <v>18997.44</v>
      </c>
      <c r="J1612" s="33" t="n">
        <v>18997.44</v>
      </c>
    </row>
    <row r="1613" customFormat="false" ht="15" hidden="false" customHeight="false" outlineLevel="0" collapsed="false">
      <c r="A1613" s="3" t="s">
        <v>2003</v>
      </c>
      <c r="B1613" s="3" t="s">
        <v>283</v>
      </c>
      <c r="C1613" s="3" t="s">
        <v>384</v>
      </c>
      <c r="D1613" s="3" t="s">
        <v>381</v>
      </c>
      <c r="E1613" s="3" t="s">
        <v>385</v>
      </c>
      <c r="F1613" s="16" t="n">
        <v>1</v>
      </c>
      <c r="G1613" s="15" t="n">
        <v>0</v>
      </c>
      <c r="H1613" s="16" t="n">
        <v>1</v>
      </c>
      <c r="I1613" s="33" t="n">
        <v>18976.2</v>
      </c>
      <c r="J1613" s="33" t="n">
        <v>18976.2</v>
      </c>
    </row>
    <row r="1614" customFormat="false" ht="15" hidden="false" customHeight="false" outlineLevel="0" collapsed="false">
      <c r="A1614" s="3" t="s">
        <v>2004</v>
      </c>
      <c r="B1614" s="3" t="s">
        <v>282</v>
      </c>
      <c r="C1614" s="3" t="s">
        <v>380</v>
      </c>
      <c r="D1614" s="3" t="s">
        <v>381</v>
      </c>
      <c r="E1614" s="3" t="s">
        <v>382</v>
      </c>
      <c r="F1614" s="16" t="n">
        <v>12</v>
      </c>
      <c r="G1614" s="15" t="n">
        <v>0</v>
      </c>
      <c r="H1614" s="16" t="n">
        <v>6</v>
      </c>
      <c r="I1614" s="33" t="n">
        <v>18968.88</v>
      </c>
      <c r="J1614" s="33" t="n">
        <v>18968.88</v>
      </c>
    </row>
    <row r="1615" customFormat="false" ht="15" hidden="false" customHeight="false" outlineLevel="0" collapsed="false">
      <c r="A1615" s="3" t="s">
        <v>2005</v>
      </c>
      <c r="B1615" s="3" t="s">
        <v>282</v>
      </c>
      <c r="C1615" s="3" t="s">
        <v>405</v>
      </c>
      <c r="D1615" s="3" t="s">
        <v>392</v>
      </c>
      <c r="E1615" s="3" t="s">
        <v>398</v>
      </c>
      <c r="F1615" s="16" t="n">
        <v>12</v>
      </c>
      <c r="G1615" s="15" t="n">
        <v>0</v>
      </c>
      <c r="H1615" s="16" t="n">
        <v>10</v>
      </c>
      <c r="I1615" s="33" t="n">
        <v>18958.08</v>
      </c>
      <c r="J1615" s="33" t="n">
        <v>18958.08</v>
      </c>
    </row>
    <row r="1616" customFormat="false" ht="15" hidden="false" customHeight="false" outlineLevel="0" collapsed="false">
      <c r="A1616" s="3" t="s">
        <v>2006</v>
      </c>
      <c r="B1616" s="3" t="s">
        <v>283</v>
      </c>
      <c r="C1616" s="3" t="s">
        <v>401</v>
      </c>
      <c r="D1616" s="3" t="s">
        <v>692</v>
      </c>
      <c r="E1616" s="3" t="s">
        <v>382</v>
      </c>
      <c r="F1616" s="16" t="n">
        <v>1</v>
      </c>
      <c r="G1616" s="15" t="n">
        <v>0</v>
      </c>
      <c r="H1616" s="16" t="n">
        <v>1</v>
      </c>
      <c r="I1616" s="33" t="n">
        <v>18952.56</v>
      </c>
      <c r="J1616" s="33" t="n">
        <v>18952.56</v>
      </c>
    </row>
    <row r="1617" customFormat="false" ht="15" hidden="false" customHeight="false" outlineLevel="0" collapsed="false">
      <c r="A1617" s="3" t="s">
        <v>2007</v>
      </c>
      <c r="B1617" s="3" t="s">
        <v>283</v>
      </c>
      <c r="C1617" s="3" t="s">
        <v>405</v>
      </c>
      <c r="D1617" s="3" t="s">
        <v>418</v>
      </c>
      <c r="E1617" s="3" t="s">
        <v>398</v>
      </c>
      <c r="F1617" s="16" t="n">
        <v>1</v>
      </c>
      <c r="G1617" s="15" t="n">
        <v>0</v>
      </c>
      <c r="H1617" s="16" t="n">
        <v>1</v>
      </c>
      <c r="I1617" s="33" t="n">
        <v>18948.36</v>
      </c>
      <c r="J1617" s="33" t="n">
        <v>18948.36</v>
      </c>
    </row>
    <row r="1618" customFormat="false" ht="15" hidden="false" customHeight="false" outlineLevel="0" collapsed="false">
      <c r="A1618" s="3" t="s">
        <v>2008</v>
      </c>
      <c r="B1618" s="3" t="s">
        <v>283</v>
      </c>
      <c r="C1618" s="3" t="s">
        <v>401</v>
      </c>
      <c r="D1618" s="3" t="s">
        <v>692</v>
      </c>
      <c r="E1618" s="3" t="s">
        <v>382</v>
      </c>
      <c r="F1618" s="16" t="n">
        <v>1</v>
      </c>
      <c r="G1618" s="15" t="n">
        <v>0</v>
      </c>
      <c r="H1618" s="16" t="n">
        <v>1</v>
      </c>
      <c r="I1618" s="33" t="n">
        <v>18923.28</v>
      </c>
      <c r="J1618" s="33" t="n">
        <v>18923.28</v>
      </c>
    </row>
    <row r="1619" customFormat="false" ht="15" hidden="false" customHeight="false" outlineLevel="0" collapsed="false">
      <c r="A1619" s="3" t="s">
        <v>2009</v>
      </c>
      <c r="B1619" s="3" t="s">
        <v>282</v>
      </c>
      <c r="C1619" s="3" t="s">
        <v>396</v>
      </c>
      <c r="D1619" s="3" t="s">
        <v>381</v>
      </c>
      <c r="E1619" s="3" t="s">
        <v>385</v>
      </c>
      <c r="F1619" s="16" t="n">
        <v>24</v>
      </c>
      <c r="G1619" s="15" t="n">
        <v>0.3</v>
      </c>
      <c r="H1619" s="16" t="n">
        <v>16</v>
      </c>
      <c r="I1619" s="33" t="n">
        <v>18921.24</v>
      </c>
      <c r="J1619" s="33" t="n">
        <v>27030.36</v>
      </c>
    </row>
    <row r="1620" customFormat="false" ht="15" hidden="false" customHeight="false" outlineLevel="0" collapsed="false">
      <c r="A1620" s="3" t="s">
        <v>2010</v>
      </c>
      <c r="B1620" s="3" t="s">
        <v>282</v>
      </c>
      <c r="C1620" s="3" t="s">
        <v>380</v>
      </c>
      <c r="D1620" s="3" t="s">
        <v>381</v>
      </c>
      <c r="E1620" s="3" t="s">
        <v>382</v>
      </c>
      <c r="F1620" s="16" t="n">
        <v>24</v>
      </c>
      <c r="G1620" s="15" t="n">
        <v>0.1</v>
      </c>
      <c r="H1620" s="16" t="n">
        <v>10</v>
      </c>
      <c r="I1620" s="33" t="n">
        <v>18910.92</v>
      </c>
      <c r="J1620" s="33" t="n">
        <v>21012.12</v>
      </c>
    </row>
    <row r="1621" customFormat="false" ht="15" hidden="false" customHeight="false" outlineLevel="0" collapsed="false">
      <c r="A1621" s="3" t="s">
        <v>2011</v>
      </c>
      <c r="B1621" s="3" t="s">
        <v>282</v>
      </c>
      <c r="C1621" s="3" t="s">
        <v>401</v>
      </c>
      <c r="D1621" s="3" t="s">
        <v>388</v>
      </c>
      <c r="E1621" s="3" t="s">
        <v>398</v>
      </c>
      <c r="F1621" s="16" t="n">
        <v>24</v>
      </c>
      <c r="G1621" s="15" t="n">
        <v>0.15</v>
      </c>
      <c r="H1621" s="16" t="n">
        <v>2</v>
      </c>
      <c r="I1621" s="33" t="n">
        <v>18895.44</v>
      </c>
      <c r="J1621" s="33" t="n">
        <v>22229.88</v>
      </c>
    </row>
    <row r="1622" customFormat="false" ht="15" hidden="false" customHeight="false" outlineLevel="0" collapsed="false">
      <c r="A1622" s="3" t="s">
        <v>2012</v>
      </c>
      <c r="B1622" s="3" t="s">
        <v>283</v>
      </c>
      <c r="C1622" s="3" t="s">
        <v>396</v>
      </c>
      <c r="D1622" s="3" t="s">
        <v>392</v>
      </c>
      <c r="E1622" s="3" t="s">
        <v>382</v>
      </c>
      <c r="F1622" s="16" t="n">
        <v>1</v>
      </c>
      <c r="G1622" s="15" t="n">
        <v>0</v>
      </c>
      <c r="H1622" s="16" t="n">
        <v>1</v>
      </c>
      <c r="I1622" s="33" t="n">
        <v>18867.12</v>
      </c>
      <c r="J1622" s="33" t="n">
        <v>18867.12</v>
      </c>
    </row>
    <row r="1623" customFormat="false" ht="15" hidden="false" customHeight="false" outlineLevel="0" collapsed="false">
      <c r="A1623" s="3" t="s">
        <v>2013</v>
      </c>
      <c r="B1623" s="3" t="s">
        <v>283</v>
      </c>
      <c r="C1623" s="3" t="s">
        <v>401</v>
      </c>
      <c r="D1623" s="3" t="s">
        <v>381</v>
      </c>
      <c r="E1623" s="3" t="s">
        <v>398</v>
      </c>
      <c r="F1623" s="16" t="n">
        <v>12</v>
      </c>
      <c r="G1623" s="15" t="n">
        <v>0</v>
      </c>
      <c r="H1623" s="16" t="n">
        <v>11</v>
      </c>
      <c r="I1623" s="33" t="n">
        <v>18842.88</v>
      </c>
      <c r="J1623" s="33" t="n">
        <v>18842.88</v>
      </c>
    </row>
    <row r="1624" customFormat="false" ht="15" hidden="false" customHeight="false" outlineLevel="0" collapsed="false">
      <c r="A1624" s="3" t="s">
        <v>2014</v>
      </c>
      <c r="B1624" s="3" t="s">
        <v>282</v>
      </c>
      <c r="C1624" s="3" t="s">
        <v>405</v>
      </c>
      <c r="D1624" s="3" t="s">
        <v>392</v>
      </c>
      <c r="E1624" s="3" t="s">
        <v>398</v>
      </c>
      <c r="F1624" s="16" t="n">
        <v>24</v>
      </c>
      <c r="G1624" s="15" t="n">
        <v>0.25</v>
      </c>
      <c r="H1624" s="16" t="n">
        <v>11</v>
      </c>
      <c r="I1624" s="33" t="n">
        <v>18791.88</v>
      </c>
      <c r="J1624" s="33" t="n">
        <v>25055.88</v>
      </c>
    </row>
    <row r="1625" customFormat="false" ht="15" hidden="false" customHeight="false" outlineLevel="0" collapsed="false">
      <c r="A1625" s="3" t="s">
        <v>2015</v>
      </c>
      <c r="B1625" s="3" t="s">
        <v>283</v>
      </c>
      <c r="C1625" s="3" t="s">
        <v>401</v>
      </c>
      <c r="D1625" s="3" t="s">
        <v>392</v>
      </c>
      <c r="E1625" s="3" t="s">
        <v>398</v>
      </c>
      <c r="F1625" s="16" t="n">
        <v>12</v>
      </c>
      <c r="G1625" s="15" t="n">
        <v>0</v>
      </c>
      <c r="H1625" s="16" t="n">
        <v>5</v>
      </c>
      <c r="I1625" s="33" t="n">
        <v>18772.32</v>
      </c>
      <c r="J1625" s="33" t="n">
        <v>18772.32</v>
      </c>
    </row>
    <row r="1626" customFormat="false" ht="15" hidden="false" customHeight="false" outlineLevel="0" collapsed="false">
      <c r="A1626" s="3" t="s">
        <v>2016</v>
      </c>
      <c r="B1626" s="3" t="s">
        <v>283</v>
      </c>
      <c r="C1626" s="3" t="s">
        <v>403</v>
      </c>
      <c r="D1626" s="3" t="s">
        <v>418</v>
      </c>
      <c r="E1626" s="3" t="s">
        <v>385</v>
      </c>
      <c r="F1626" s="16" t="n">
        <v>1</v>
      </c>
      <c r="G1626" s="15" t="n">
        <v>0</v>
      </c>
      <c r="H1626" s="16" t="n">
        <v>1</v>
      </c>
      <c r="I1626" s="33" t="n">
        <v>18767.52</v>
      </c>
      <c r="J1626" s="33" t="n">
        <v>18767.52</v>
      </c>
    </row>
    <row r="1627" customFormat="false" ht="15" hidden="false" customHeight="false" outlineLevel="0" collapsed="false">
      <c r="A1627" s="3" t="s">
        <v>2017</v>
      </c>
      <c r="B1627" s="3" t="s">
        <v>283</v>
      </c>
      <c r="C1627" s="3" t="s">
        <v>387</v>
      </c>
      <c r="D1627" s="3" t="s">
        <v>692</v>
      </c>
      <c r="E1627" s="3" t="s">
        <v>382</v>
      </c>
      <c r="F1627" s="16" t="n">
        <v>1</v>
      </c>
      <c r="G1627" s="15" t="n">
        <v>0</v>
      </c>
      <c r="H1627" s="16" t="n">
        <v>1</v>
      </c>
      <c r="I1627" s="33" t="n">
        <v>18758.16</v>
      </c>
      <c r="J1627" s="33" t="n">
        <v>18758.16</v>
      </c>
    </row>
    <row r="1628" customFormat="false" ht="15" hidden="false" customHeight="false" outlineLevel="0" collapsed="false">
      <c r="A1628" s="3" t="s">
        <v>2018</v>
      </c>
      <c r="B1628" s="3" t="s">
        <v>283</v>
      </c>
      <c r="C1628" s="3" t="s">
        <v>396</v>
      </c>
      <c r="D1628" s="3" t="s">
        <v>418</v>
      </c>
      <c r="E1628" s="3" t="s">
        <v>398</v>
      </c>
      <c r="F1628" s="16" t="n">
        <v>1</v>
      </c>
      <c r="G1628" s="15" t="n">
        <v>0</v>
      </c>
      <c r="H1628" s="16" t="n">
        <v>1</v>
      </c>
      <c r="I1628" s="33" t="n">
        <v>18706.08</v>
      </c>
      <c r="J1628" s="33" t="n">
        <v>18706.08</v>
      </c>
    </row>
    <row r="1629" customFormat="false" ht="15" hidden="false" customHeight="false" outlineLevel="0" collapsed="false">
      <c r="A1629" s="3" t="s">
        <v>2019</v>
      </c>
      <c r="B1629" s="3" t="s">
        <v>283</v>
      </c>
      <c r="C1629" s="3" t="s">
        <v>401</v>
      </c>
      <c r="D1629" s="3" t="s">
        <v>418</v>
      </c>
      <c r="E1629" s="3" t="s">
        <v>398</v>
      </c>
      <c r="F1629" s="16" t="n">
        <v>1</v>
      </c>
      <c r="G1629" s="15" t="n">
        <v>0.15</v>
      </c>
      <c r="H1629" s="16" t="n">
        <v>1</v>
      </c>
      <c r="I1629" s="33" t="n">
        <v>18687</v>
      </c>
      <c r="J1629" s="33" t="n">
        <v>21984.72</v>
      </c>
    </row>
    <row r="1630" customFormat="false" ht="15" hidden="false" customHeight="false" outlineLevel="0" collapsed="false">
      <c r="A1630" s="3" t="s">
        <v>2020</v>
      </c>
      <c r="B1630" s="3" t="s">
        <v>283</v>
      </c>
      <c r="C1630" s="3" t="s">
        <v>387</v>
      </c>
      <c r="D1630" s="3" t="s">
        <v>381</v>
      </c>
      <c r="E1630" s="3" t="s">
        <v>398</v>
      </c>
      <c r="F1630" s="16" t="n">
        <v>12</v>
      </c>
      <c r="G1630" s="15" t="n">
        <v>0</v>
      </c>
      <c r="H1630" s="16" t="n">
        <v>8</v>
      </c>
      <c r="I1630" s="33" t="n">
        <v>18686.28</v>
      </c>
      <c r="J1630" s="33" t="n">
        <v>18686.28</v>
      </c>
    </row>
    <row r="1631" customFormat="false" ht="15" hidden="false" customHeight="false" outlineLevel="0" collapsed="false">
      <c r="A1631" s="3" t="s">
        <v>2021</v>
      </c>
      <c r="B1631" s="3" t="s">
        <v>283</v>
      </c>
      <c r="C1631" s="3" t="s">
        <v>384</v>
      </c>
      <c r="D1631" s="3" t="s">
        <v>418</v>
      </c>
      <c r="E1631" s="3" t="s">
        <v>398</v>
      </c>
      <c r="F1631" s="16" t="n">
        <v>1</v>
      </c>
      <c r="G1631" s="15" t="n">
        <v>0</v>
      </c>
      <c r="H1631" s="16" t="n">
        <v>1</v>
      </c>
      <c r="I1631" s="33" t="n">
        <v>18660.48</v>
      </c>
      <c r="J1631" s="33" t="n">
        <v>18660.48</v>
      </c>
    </row>
    <row r="1632" customFormat="false" ht="15" hidden="false" customHeight="false" outlineLevel="0" collapsed="false">
      <c r="A1632" s="3" t="s">
        <v>2022</v>
      </c>
      <c r="B1632" s="3" t="s">
        <v>283</v>
      </c>
      <c r="C1632" s="3" t="s">
        <v>405</v>
      </c>
      <c r="D1632" s="3" t="s">
        <v>418</v>
      </c>
      <c r="E1632" s="3" t="s">
        <v>382</v>
      </c>
      <c r="F1632" s="16" t="n">
        <v>12</v>
      </c>
      <c r="G1632" s="15" t="n">
        <v>0.2</v>
      </c>
      <c r="H1632" s="16" t="n">
        <v>11</v>
      </c>
      <c r="I1632" s="33" t="n">
        <v>18645.24</v>
      </c>
      <c r="J1632" s="33" t="n">
        <v>23306.52</v>
      </c>
    </row>
    <row r="1633" customFormat="false" ht="15" hidden="false" customHeight="false" outlineLevel="0" collapsed="false">
      <c r="A1633" s="3" t="s">
        <v>2023</v>
      </c>
      <c r="B1633" s="3" t="s">
        <v>283</v>
      </c>
      <c r="C1633" s="3" t="s">
        <v>387</v>
      </c>
      <c r="D1633" s="3" t="s">
        <v>418</v>
      </c>
      <c r="E1633" s="3" t="s">
        <v>398</v>
      </c>
      <c r="F1633" s="16" t="n">
        <v>12</v>
      </c>
      <c r="G1633" s="15" t="n">
        <v>0.1</v>
      </c>
      <c r="H1633" s="16" t="n">
        <v>12</v>
      </c>
      <c r="I1633" s="33" t="n">
        <v>18581.28</v>
      </c>
      <c r="J1633" s="33" t="n">
        <v>20645.88</v>
      </c>
    </row>
    <row r="1634" customFormat="false" ht="15" hidden="false" customHeight="false" outlineLevel="0" collapsed="false">
      <c r="A1634" s="3" t="s">
        <v>2024</v>
      </c>
      <c r="B1634" s="3" t="s">
        <v>283</v>
      </c>
      <c r="C1634" s="3" t="s">
        <v>396</v>
      </c>
      <c r="D1634" s="3" t="s">
        <v>392</v>
      </c>
      <c r="E1634" s="3" t="s">
        <v>385</v>
      </c>
      <c r="F1634" s="16" t="n">
        <v>12</v>
      </c>
      <c r="G1634" s="15" t="n">
        <v>0</v>
      </c>
      <c r="H1634" s="16" t="n">
        <v>6</v>
      </c>
      <c r="I1634" s="33" t="n">
        <v>18574.92</v>
      </c>
      <c r="J1634" s="33" t="n">
        <v>18574.92</v>
      </c>
    </row>
    <row r="1635" customFormat="false" ht="15" hidden="false" customHeight="false" outlineLevel="0" collapsed="false">
      <c r="A1635" s="3" t="s">
        <v>2025</v>
      </c>
      <c r="B1635" s="3" t="s">
        <v>282</v>
      </c>
      <c r="C1635" s="3" t="s">
        <v>401</v>
      </c>
      <c r="D1635" s="3" t="s">
        <v>418</v>
      </c>
      <c r="E1635" s="3" t="s">
        <v>398</v>
      </c>
      <c r="F1635" s="16" t="n">
        <v>12</v>
      </c>
      <c r="G1635" s="15" t="n">
        <v>0</v>
      </c>
      <c r="H1635" s="16" t="n">
        <v>7</v>
      </c>
      <c r="I1635" s="33" t="n">
        <v>18540.12</v>
      </c>
      <c r="J1635" s="33" t="n">
        <v>18540.12</v>
      </c>
    </row>
    <row r="1636" customFormat="false" ht="15" hidden="false" customHeight="false" outlineLevel="0" collapsed="false">
      <c r="A1636" s="3" t="s">
        <v>2026</v>
      </c>
      <c r="B1636" s="3" t="s">
        <v>283</v>
      </c>
      <c r="C1636" s="3" t="s">
        <v>403</v>
      </c>
      <c r="D1636" s="3" t="s">
        <v>381</v>
      </c>
      <c r="E1636" s="3" t="s">
        <v>398</v>
      </c>
      <c r="F1636" s="16" t="n">
        <v>1</v>
      </c>
      <c r="G1636" s="15" t="n">
        <v>0</v>
      </c>
      <c r="H1636" s="16" t="n">
        <v>1</v>
      </c>
      <c r="I1636" s="33" t="n">
        <v>18530.76</v>
      </c>
      <c r="J1636" s="33" t="n">
        <v>18530.76</v>
      </c>
    </row>
    <row r="1637" customFormat="false" ht="15" hidden="false" customHeight="false" outlineLevel="0" collapsed="false">
      <c r="A1637" s="3" t="s">
        <v>2027</v>
      </c>
      <c r="B1637" s="3" t="s">
        <v>282</v>
      </c>
      <c r="C1637" s="3" t="s">
        <v>405</v>
      </c>
      <c r="D1637" s="3" t="s">
        <v>381</v>
      </c>
      <c r="E1637" s="3" t="s">
        <v>398</v>
      </c>
      <c r="F1637" s="16" t="n">
        <v>24</v>
      </c>
      <c r="G1637" s="15" t="n">
        <v>0</v>
      </c>
      <c r="H1637" s="16" t="n">
        <v>3</v>
      </c>
      <c r="I1637" s="33" t="n">
        <v>18526.56</v>
      </c>
      <c r="J1637" s="33" t="n">
        <v>18526.56</v>
      </c>
    </row>
    <row r="1638" customFormat="false" ht="15" hidden="false" customHeight="false" outlineLevel="0" collapsed="false">
      <c r="A1638" s="3" t="s">
        <v>2028</v>
      </c>
      <c r="B1638" s="3" t="s">
        <v>282</v>
      </c>
      <c r="C1638" s="3" t="s">
        <v>384</v>
      </c>
      <c r="D1638" s="3" t="s">
        <v>418</v>
      </c>
      <c r="E1638" s="3" t="s">
        <v>398</v>
      </c>
      <c r="F1638" s="16" t="n">
        <v>24</v>
      </c>
      <c r="G1638" s="15" t="n">
        <v>0</v>
      </c>
      <c r="H1638" s="16" t="n">
        <v>17</v>
      </c>
      <c r="I1638" s="33" t="n">
        <v>18513.96</v>
      </c>
      <c r="J1638" s="33" t="n">
        <v>18513.96</v>
      </c>
    </row>
    <row r="1639" customFormat="false" ht="15" hidden="false" customHeight="false" outlineLevel="0" collapsed="false">
      <c r="A1639" s="3" t="s">
        <v>2029</v>
      </c>
      <c r="B1639" s="3" t="s">
        <v>283</v>
      </c>
      <c r="C1639" s="3" t="s">
        <v>403</v>
      </c>
      <c r="D1639" s="3" t="s">
        <v>418</v>
      </c>
      <c r="E1639" s="3" t="s">
        <v>385</v>
      </c>
      <c r="F1639" s="16" t="n">
        <v>1</v>
      </c>
      <c r="G1639" s="15" t="n">
        <v>0.05</v>
      </c>
      <c r="H1639" s="16" t="n">
        <v>1</v>
      </c>
      <c r="I1639" s="33" t="n">
        <v>18509.16</v>
      </c>
      <c r="J1639" s="33" t="n">
        <v>19483.32</v>
      </c>
    </row>
    <row r="1640" customFormat="false" ht="15" hidden="false" customHeight="false" outlineLevel="0" collapsed="false">
      <c r="A1640" s="3" t="s">
        <v>2030</v>
      </c>
      <c r="B1640" s="3" t="s">
        <v>282</v>
      </c>
      <c r="C1640" s="3" t="s">
        <v>396</v>
      </c>
      <c r="D1640" s="3" t="s">
        <v>392</v>
      </c>
      <c r="E1640" s="3" t="s">
        <v>398</v>
      </c>
      <c r="F1640" s="16" t="n">
        <v>24</v>
      </c>
      <c r="G1640" s="15" t="n">
        <v>0</v>
      </c>
      <c r="H1640" s="16" t="n">
        <v>13</v>
      </c>
      <c r="I1640" s="33" t="n">
        <v>18507.72</v>
      </c>
      <c r="J1640" s="33" t="n">
        <v>18507.72</v>
      </c>
    </row>
    <row r="1641" customFormat="false" ht="15" hidden="false" customHeight="false" outlineLevel="0" collapsed="false">
      <c r="A1641" s="3" t="s">
        <v>2031</v>
      </c>
      <c r="B1641" s="3" t="s">
        <v>283</v>
      </c>
      <c r="C1641" s="3" t="s">
        <v>401</v>
      </c>
      <c r="D1641" s="3" t="s">
        <v>692</v>
      </c>
      <c r="E1641" s="3" t="s">
        <v>398</v>
      </c>
      <c r="F1641" s="16" t="n">
        <v>12</v>
      </c>
      <c r="G1641" s="15" t="n">
        <v>0.1</v>
      </c>
      <c r="H1641" s="16" t="n">
        <v>7</v>
      </c>
      <c r="I1641" s="33" t="n">
        <v>18496.8</v>
      </c>
      <c r="J1641" s="33" t="n">
        <v>20551.92</v>
      </c>
    </row>
    <row r="1642" customFormat="false" ht="15" hidden="false" customHeight="false" outlineLevel="0" collapsed="false">
      <c r="A1642" s="3" t="s">
        <v>2032</v>
      </c>
      <c r="B1642" s="3" t="s">
        <v>283</v>
      </c>
      <c r="C1642" s="3" t="s">
        <v>387</v>
      </c>
      <c r="D1642" s="3" t="s">
        <v>692</v>
      </c>
      <c r="E1642" s="3" t="s">
        <v>385</v>
      </c>
      <c r="F1642" s="16" t="n">
        <v>1</v>
      </c>
      <c r="G1642" s="15" t="n">
        <v>0</v>
      </c>
      <c r="H1642" s="16" t="n">
        <v>1</v>
      </c>
      <c r="I1642" s="33" t="n">
        <v>18483.48</v>
      </c>
      <c r="J1642" s="33" t="n">
        <v>18483.48</v>
      </c>
    </row>
    <row r="1643" customFormat="false" ht="15" hidden="false" customHeight="false" outlineLevel="0" collapsed="false">
      <c r="A1643" s="3" t="s">
        <v>2033</v>
      </c>
      <c r="B1643" s="3" t="s">
        <v>283</v>
      </c>
      <c r="C1643" s="3" t="s">
        <v>401</v>
      </c>
      <c r="D1643" s="3" t="s">
        <v>692</v>
      </c>
      <c r="E1643" s="3" t="s">
        <v>382</v>
      </c>
      <c r="F1643" s="16" t="n">
        <v>1</v>
      </c>
      <c r="G1643" s="15" t="n">
        <v>0.15</v>
      </c>
      <c r="H1643" s="16" t="n">
        <v>1</v>
      </c>
      <c r="I1643" s="33" t="n">
        <v>18482.28</v>
      </c>
      <c r="J1643" s="33" t="n">
        <v>21743.76</v>
      </c>
    </row>
    <row r="1644" customFormat="false" ht="15" hidden="false" customHeight="false" outlineLevel="0" collapsed="false">
      <c r="A1644" s="3" t="s">
        <v>2034</v>
      </c>
      <c r="B1644" s="3" t="s">
        <v>282</v>
      </c>
      <c r="C1644" s="3" t="s">
        <v>401</v>
      </c>
      <c r="D1644" s="3" t="s">
        <v>392</v>
      </c>
      <c r="E1644" s="3" t="s">
        <v>398</v>
      </c>
      <c r="F1644" s="16" t="n">
        <v>12</v>
      </c>
      <c r="G1644" s="15" t="n">
        <v>0.15</v>
      </c>
      <c r="H1644" s="16" t="n">
        <v>2</v>
      </c>
      <c r="I1644" s="33" t="n">
        <v>18476.52</v>
      </c>
      <c r="J1644" s="33" t="n">
        <v>21737.04</v>
      </c>
    </row>
    <row r="1645" customFormat="false" ht="15" hidden="false" customHeight="false" outlineLevel="0" collapsed="false">
      <c r="A1645" s="3" t="s">
        <v>2035</v>
      </c>
      <c r="B1645" s="3" t="s">
        <v>282</v>
      </c>
      <c r="C1645" s="3" t="s">
        <v>380</v>
      </c>
      <c r="D1645" s="3" t="s">
        <v>388</v>
      </c>
      <c r="E1645" s="3" t="s">
        <v>398</v>
      </c>
      <c r="F1645" s="16" t="n">
        <v>12</v>
      </c>
      <c r="G1645" s="15" t="n">
        <v>0</v>
      </c>
      <c r="H1645" s="16" t="n">
        <v>10</v>
      </c>
      <c r="I1645" s="33" t="n">
        <v>18370.56</v>
      </c>
      <c r="J1645" s="33" t="n">
        <v>18370.56</v>
      </c>
    </row>
    <row r="1646" customFormat="false" ht="15" hidden="false" customHeight="false" outlineLevel="0" collapsed="false">
      <c r="A1646" s="3" t="s">
        <v>2036</v>
      </c>
      <c r="B1646" s="3" t="s">
        <v>282</v>
      </c>
      <c r="C1646" s="3" t="s">
        <v>396</v>
      </c>
      <c r="D1646" s="3" t="s">
        <v>392</v>
      </c>
      <c r="E1646" s="3" t="s">
        <v>382</v>
      </c>
      <c r="F1646" s="16" t="n">
        <v>24</v>
      </c>
      <c r="G1646" s="15" t="n">
        <v>0</v>
      </c>
      <c r="H1646" s="16" t="n">
        <v>5</v>
      </c>
      <c r="I1646" s="33" t="n">
        <v>18356.88</v>
      </c>
      <c r="J1646" s="33" t="n">
        <v>18356.88</v>
      </c>
    </row>
    <row r="1647" customFormat="false" ht="15" hidden="false" customHeight="false" outlineLevel="0" collapsed="false">
      <c r="A1647" s="3" t="s">
        <v>2037</v>
      </c>
      <c r="B1647" s="3" t="s">
        <v>282</v>
      </c>
      <c r="C1647" s="3" t="s">
        <v>384</v>
      </c>
      <c r="D1647" s="3" t="s">
        <v>418</v>
      </c>
      <c r="E1647" s="3" t="s">
        <v>382</v>
      </c>
      <c r="F1647" s="16" t="n">
        <v>12</v>
      </c>
      <c r="G1647" s="15" t="n">
        <v>0</v>
      </c>
      <c r="H1647" s="16" t="n">
        <v>1</v>
      </c>
      <c r="I1647" s="33" t="n">
        <v>18348.24</v>
      </c>
      <c r="J1647" s="33" t="n">
        <v>18348.24</v>
      </c>
    </row>
    <row r="1648" customFormat="false" ht="15" hidden="false" customHeight="false" outlineLevel="0" collapsed="false">
      <c r="A1648" s="3" t="s">
        <v>2038</v>
      </c>
      <c r="B1648" s="3" t="s">
        <v>283</v>
      </c>
      <c r="C1648" s="3" t="s">
        <v>387</v>
      </c>
      <c r="D1648" s="3" t="s">
        <v>692</v>
      </c>
      <c r="E1648" s="3" t="s">
        <v>398</v>
      </c>
      <c r="F1648" s="16" t="n">
        <v>1</v>
      </c>
      <c r="G1648" s="15" t="n">
        <v>0.175</v>
      </c>
      <c r="H1648" s="16" t="n">
        <v>1</v>
      </c>
      <c r="I1648" s="33" t="n">
        <v>18343.2</v>
      </c>
      <c r="J1648" s="33" t="n">
        <v>22234.2</v>
      </c>
    </row>
    <row r="1649" customFormat="false" ht="15" hidden="false" customHeight="false" outlineLevel="0" collapsed="false">
      <c r="A1649" s="3" t="s">
        <v>2039</v>
      </c>
      <c r="B1649" s="3" t="s">
        <v>283</v>
      </c>
      <c r="C1649" s="3" t="s">
        <v>384</v>
      </c>
      <c r="D1649" s="3" t="s">
        <v>692</v>
      </c>
      <c r="E1649" s="3" t="s">
        <v>385</v>
      </c>
      <c r="F1649" s="16" t="n">
        <v>1</v>
      </c>
      <c r="G1649" s="15" t="n">
        <v>0</v>
      </c>
      <c r="H1649" s="16" t="n">
        <v>1</v>
      </c>
      <c r="I1649" s="33" t="n">
        <v>18339.6</v>
      </c>
      <c r="J1649" s="33" t="n">
        <v>18339.6</v>
      </c>
    </row>
    <row r="1650" customFormat="false" ht="15" hidden="false" customHeight="false" outlineLevel="0" collapsed="false">
      <c r="A1650" s="3" t="s">
        <v>2040</v>
      </c>
      <c r="B1650" s="3" t="s">
        <v>282</v>
      </c>
      <c r="C1650" s="3" t="s">
        <v>387</v>
      </c>
      <c r="D1650" s="3" t="s">
        <v>381</v>
      </c>
      <c r="E1650" s="3" t="s">
        <v>398</v>
      </c>
      <c r="F1650" s="16" t="n">
        <v>24</v>
      </c>
      <c r="G1650" s="15" t="n">
        <v>0</v>
      </c>
      <c r="H1650" s="16" t="n">
        <v>4</v>
      </c>
      <c r="I1650" s="33" t="n">
        <v>18299.16</v>
      </c>
      <c r="J1650" s="33" t="n">
        <v>18299.16</v>
      </c>
    </row>
    <row r="1651" customFormat="false" ht="15" hidden="false" customHeight="false" outlineLevel="0" collapsed="false">
      <c r="A1651" s="3" t="s">
        <v>2041</v>
      </c>
      <c r="B1651" s="3" t="s">
        <v>283</v>
      </c>
      <c r="C1651" s="3" t="s">
        <v>396</v>
      </c>
      <c r="D1651" s="3" t="s">
        <v>392</v>
      </c>
      <c r="E1651" s="3" t="s">
        <v>382</v>
      </c>
      <c r="F1651" s="16" t="n">
        <v>12</v>
      </c>
      <c r="G1651" s="15" t="n">
        <v>0</v>
      </c>
      <c r="H1651" s="16" t="n">
        <v>9</v>
      </c>
      <c r="I1651" s="33" t="n">
        <v>18298.2</v>
      </c>
      <c r="J1651" s="33" t="n">
        <v>18298.2</v>
      </c>
    </row>
    <row r="1652" customFormat="false" ht="15" hidden="false" customHeight="false" outlineLevel="0" collapsed="false">
      <c r="A1652" s="3" t="s">
        <v>2042</v>
      </c>
      <c r="B1652" s="3" t="s">
        <v>282</v>
      </c>
      <c r="C1652" s="3" t="s">
        <v>403</v>
      </c>
      <c r="D1652" s="3" t="s">
        <v>392</v>
      </c>
      <c r="E1652" s="3" t="s">
        <v>382</v>
      </c>
      <c r="F1652" s="16" t="n">
        <v>12</v>
      </c>
      <c r="G1652" s="15" t="n">
        <v>0</v>
      </c>
      <c r="H1652" s="16" t="n">
        <v>12</v>
      </c>
      <c r="I1652" s="33" t="n">
        <v>18284.4</v>
      </c>
      <c r="J1652" s="33" t="n">
        <v>18284.4</v>
      </c>
    </row>
    <row r="1653" customFormat="false" ht="15" hidden="false" customHeight="false" outlineLevel="0" collapsed="false">
      <c r="A1653" s="3" t="s">
        <v>2043</v>
      </c>
      <c r="B1653" s="3" t="s">
        <v>283</v>
      </c>
      <c r="C1653" s="3" t="s">
        <v>405</v>
      </c>
      <c r="D1653" s="3" t="s">
        <v>418</v>
      </c>
      <c r="E1653" s="3" t="s">
        <v>398</v>
      </c>
      <c r="F1653" s="16" t="n">
        <v>1</v>
      </c>
      <c r="G1653" s="15" t="n">
        <v>0.1</v>
      </c>
      <c r="H1653" s="16" t="n">
        <v>1</v>
      </c>
      <c r="I1653" s="33" t="n">
        <v>18283.68</v>
      </c>
      <c r="J1653" s="33" t="n">
        <v>20315.28</v>
      </c>
    </row>
    <row r="1654" customFormat="false" ht="15" hidden="false" customHeight="false" outlineLevel="0" collapsed="false">
      <c r="A1654" s="3" t="s">
        <v>2044</v>
      </c>
      <c r="B1654" s="3" t="s">
        <v>282</v>
      </c>
      <c r="C1654" s="3" t="s">
        <v>405</v>
      </c>
      <c r="D1654" s="3" t="s">
        <v>392</v>
      </c>
      <c r="E1654" s="3" t="s">
        <v>398</v>
      </c>
      <c r="F1654" s="16" t="n">
        <v>24</v>
      </c>
      <c r="G1654" s="15" t="n">
        <v>0.3</v>
      </c>
      <c r="H1654" s="16" t="n">
        <v>4</v>
      </c>
      <c r="I1654" s="33" t="n">
        <v>18247.08</v>
      </c>
      <c r="J1654" s="33" t="n">
        <v>26067.24</v>
      </c>
    </row>
    <row r="1655" customFormat="false" ht="15" hidden="false" customHeight="false" outlineLevel="0" collapsed="false">
      <c r="A1655" s="3" t="s">
        <v>2045</v>
      </c>
      <c r="B1655" s="3" t="s">
        <v>283</v>
      </c>
      <c r="C1655" s="3" t="s">
        <v>387</v>
      </c>
      <c r="D1655" s="3" t="s">
        <v>692</v>
      </c>
      <c r="E1655" s="3" t="s">
        <v>385</v>
      </c>
      <c r="F1655" s="16" t="n">
        <v>1</v>
      </c>
      <c r="G1655" s="15" t="n">
        <v>0</v>
      </c>
      <c r="H1655" s="16" t="n">
        <v>1</v>
      </c>
      <c r="I1655" s="33" t="n">
        <v>18210.48</v>
      </c>
      <c r="J1655" s="33" t="n">
        <v>18210.48</v>
      </c>
    </row>
    <row r="1656" customFormat="false" ht="15" hidden="false" customHeight="false" outlineLevel="0" collapsed="false">
      <c r="A1656" s="3" t="s">
        <v>2046</v>
      </c>
      <c r="B1656" s="3" t="s">
        <v>283</v>
      </c>
      <c r="C1656" s="3" t="s">
        <v>403</v>
      </c>
      <c r="D1656" s="3" t="s">
        <v>418</v>
      </c>
      <c r="E1656" s="3" t="s">
        <v>385</v>
      </c>
      <c r="F1656" s="16" t="n">
        <v>1</v>
      </c>
      <c r="G1656" s="15" t="n">
        <v>0</v>
      </c>
      <c r="H1656" s="16" t="n">
        <v>1</v>
      </c>
      <c r="I1656" s="33" t="n">
        <v>18194.4</v>
      </c>
      <c r="J1656" s="33" t="n">
        <v>18194.4</v>
      </c>
    </row>
    <row r="1657" customFormat="false" ht="15" hidden="false" customHeight="false" outlineLevel="0" collapsed="false">
      <c r="A1657" s="3" t="s">
        <v>2047</v>
      </c>
      <c r="B1657" s="3" t="s">
        <v>283</v>
      </c>
      <c r="C1657" s="3" t="s">
        <v>403</v>
      </c>
      <c r="D1657" s="3" t="s">
        <v>392</v>
      </c>
      <c r="E1657" s="3" t="s">
        <v>385</v>
      </c>
      <c r="F1657" s="16" t="n">
        <v>12</v>
      </c>
      <c r="G1657" s="15" t="n">
        <v>0</v>
      </c>
      <c r="H1657" s="16" t="n">
        <v>7</v>
      </c>
      <c r="I1657" s="33" t="n">
        <v>18183.36</v>
      </c>
      <c r="J1657" s="33" t="n">
        <v>18183.36</v>
      </c>
    </row>
    <row r="1658" customFormat="false" ht="15" hidden="false" customHeight="false" outlineLevel="0" collapsed="false">
      <c r="A1658" s="3" t="s">
        <v>2048</v>
      </c>
      <c r="B1658" s="3" t="s">
        <v>282</v>
      </c>
      <c r="C1658" s="3" t="s">
        <v>401</v>
      </c>
      <c r="D1658" s="3" t="s">
        <v>381</v>
      </c>
      <c r="E1658" s="3" t="s">
        <v>382</v>
      </c>
      <c r="F1658" s="16" t="n">
        <v>24</v>
      </c>
      <c r="G1658" s="15" t="n">
        <v>0.2</v>
      </c>
      <c r="H1658" s="16" t="n">
        <v>3</v>
      </c>
      <c r="I1658" s="33" t="n">
        <v>18178.44</v>
      </c>
      <c r="J1658" s="33" t="n">
        <v>22723.08</v>
      </c>
    </row>
    <row r="1659" customFormat="false" ht="15" hidden="false" customHeight="false" outlineLevel="0" collapsed="false">
      <c r="A1659" s="3" t="s">
        <v>2049</v>
      </c>
      <c r="B1659" s="3" t="s">
        <v>283</v>
      </c>
      <c r="C1659" s="3" t="s">
        <v>396</v>
      </c>
      <c r="D1659" s="3" t="s">
        <v>388</v>
      </c>
      <c r="E1659" s="3" t="s">
        <v>398</v>
      </c>
      <c r="F1659" s="16" t="n">
        <v>12</v>
      </c>
      <c r="G1659" s="15" t="n">
        <v>0</v>
      </c>
      <c r="H1659" s="16" t="n">
        <v>9</v>
      </c>
      <c r="I1659" s="33" t="n">
        <v>18126.24</v>
      </c>
      <c r="J1659" s="33" t="n">
        <v>18126.24</v>
      </c>
    </row>
    <row r="1660" customFormat="false" ht="15" hidden="false" customHeight="false" outlineLevel="0" collapsed="false">
      <c r="A1660" s="3" t="s">
        <v>2050</v>
      </c>
      <c r="B1660" s="3" t="s">
        <v>282</v>
      </c>
      <c r="C1660" s="3" t="s">
        <v>401</v>
      </c>
      <c r="D1660" s="3" t="s">
        <v>381</v>
      </c>
      <c r="E1660" s="3" t="s">
        <v>398</v>
      </c>
      <c r="F1660" s="16" t="n">
        <v>12</v>
      </c>
      <c r="G1660" s="15" t="n">
        <v>0</v>
      </c>
      <c r="H1660" s="16" t="n">
        <v>8</v>
      </c>
      <c r="I1660" s="33" t="n">
        <v>18065.28</v>
      </c>
      <c r="J1660" s="33" t="n">
        <v>18065.28</v>
      </c>
    </row>
    <row r="1661" customFormat="false" ht="15" hidden="false" customHeight="false" outlineLevel="0" collapsed="false">
      <c r="A1661" s="3" t="s">
        <v>2051</v>
      </c>
      <c r="B1661" s="3" t="s">
        <v>283</v>
      </c>
      <c r="C1661" s="3" t="s">
        <v>405</v>
      </c>
      <c r="D1661" s="3" t="s">
        <v>388</v>
      </c>
      <c r="E1661" s="3" t="s">
        <v>398</v>
      </c>
      <c r="F1661" s="16" t="n">
        <v>12</v>
      </c>
      <c r="G1661" s="15" t="n">
        <v>0</v>
      </c>
      <c r="H1661" s="16" t="n">
        <v>3</v>
      </c>
      <c r="I1661" s="33" t="n">
        <v>18055.92</v>
      </c>
      <c r="J1661" s="33" t="n">
        <v>18055.92</v>
      </c>
    </row>
    <row r="1662" customFormat="false" ht="15" hidden="false" customHeight="false" outlineLevel="0" collapsed="false">
      <c r="A1662" s="3" t="s">
        <v>2052</v>
      </c>
      <c r="B1662" s="3" t="s">
        <v>283</v>
      </c>
      <c r="C1662" s="3" t="s">
        <v>387</v>
      </c>
      <c r="D1662" s="3" t="s">
        <v>692</v>
      </c>
      <c r="E1662" s="3" t="s">
        <v>398</v>
      </c>
      <c r="F1662" s="16" t="n">
        <v>1</v>
      </c>
      <c r="G1662" s="15" t="n">
        <v>0</v>
      </c>
      <c r="H1662" s="16" t="n">
        <v>1</v>
      </c>
      <c r="I1662" s="33" t="n">
        <v>18044.4</v>
      </c>
      <c r="J1662" s="33" t="n">
        <v>18044.4</v>
      </c>
    </row>
    <row r="1663" customFormat="false" ht="15" hidden="false" customHeight="false" outlineLevel="0" collapsed="false">
      <c r="A1663" s="3" t="s">
        <v>2053</v>
      </c>
      <c r="B1663" s="3" t="s">
        <v>283</v>
      </c>
      <c r="C1663" s="3" t="s">
        <v>387</v>
      </c>
      <c r="D1663" s="3" t="s">
        <v>418</v>
      </c>
      <c r="E1663" s="3" t="s">
        <v>398</v>
      </c>
      <c r="F1663" s="16" t="n">
        <v>12</v>
      </c>
      <c r="G1663" s="15" t="n">
        <v>0</v>
      </c>
      <c r="H1663" s="16" t="n">
        <v>3</v>
      </c>
      <c r="I1663" s="33" t="n">
        <v>18041.28</v>
      </c>
      <c r="J1663" s="33" t="n">
        <v>18041.28</v>
      </c>
    </row>
    <row r="1664" customFormat="false" ht="15" hidden="false" customHeight="false" outlineLevel="0" collapsed="false">
      <c r="A1664" s="3" t="s">
        <v>2054</v>
      </c>
      <c r="B1664" s="3" t="s">
        <v>282</v>
      </c>
      <c r="C1664" s="3" t="s">
        <v>396</v>
      </c>
      <c r="D1664" s="3" t="s">
        <v>381</v>
      </c>
      <c r="E1664" s="3" t="s">
        <v>385</v>
      </c>
      <c r="F1664" s="16" t="n">
        <v>24</v>
      </c>
      <c r="G1664" s="15" t="n">
        <v>0.15</v>
      </c>
      <c r="H1664" s="16" t="n">
        <v>17</v>
      </c>
      <c r="I1664" s="33" t="n">
        <v>18010.2</v>
      </c>
      <c r="J1664" s="33" t="n">
        <v>21188.4</v>
      </c>
    </row>
    <row r="1665" customFormat="false" ht="15" hidden="false" customHeight="false" outlineLevel="0" collapsed="false">
      <c r="A1665" s="3" t="s">
        <v>2055</v>
      </c>
      <c r="B1665" s="3" t="s">
        <v>282</v>
      </c>
      <c r="C1665" s="3" t="s">
        <v>403</v>
      </c>
      <c r="D1665" s="3" t="s">
        <v>418</v>
      </c>
      <c r="E1665" s="3" t="s">
        <v>398</v>
      </c>
      <c r="F1665" s="16" t="n">
        <v>12</v>
      </c>
      <c r="G1665" s="15" t="n">
        <v>0</v>
      </c>
      <c r="H1665" s="16" t="n">
        <v>5</v>
      </c>
      <c r="I1665" s="33" t="n">
        <v>18006.36</v>
      </c>
      <c r="J1665" s="33" t="n">
        <v>18006.36</v>
      </c>
    </row>
    <row r="1666" customFormat="false" ht="15" hidden="false" customHeight="false" outlineLevel="0" collapsed="false">
      <c r="A1666" s="3" t="s">
        <v>2056</v>
      </c>
      <c r="B1666" s="3" t="s">
        <v>282</v>
      </c>
      <c r="C1666" s="3" t="s">
        <v>384</v>
      </c>
      <c r="D1666" s="3" t="s">
        <v>418</v>
      </c>
      <c r="E1666" s="3" t="s">
        <v>398</v>
      </c>
      <c r="F1666" s="16" t="n">
        <v>24</v>
      </c>
      <c r="G1666" s="15" t="n">
        <v>0</v>
      </c>
      <c r="H1666" s="16" t="n">
        <v>19</v>
      </c>
      <c r="I1666" s="33" t="n">
        <v>18004.08</v>
      </c>
      <c r="J1666" s="33" t="n">
        <v>18004.08</v>
      </c>
    </row>
    <row r="1667" customFormat="false" ht="15" hidden="false" customHeight="false" outlineLevel="0" collapsed="false">
      <c r="A1667" s="3" t="s">
        <v>2057</v>
      </c>
      <c r="B1667" s="3" t="s">
        <v>283</v>
      </c>
      <c r="C1667" s="3" t="s">
        <v>403</v>
      </c>
      <c r="D1667" s="3" t="s">
        <v>392</v>
      </c>
      <c r="E1667" s="3" t="s">
        <v>382</v>
      </c>
      <c r="F1667" s="16" t="n">
        <v>1</v>
      </c>
      <c r="G1667" s="15" t="n">
        <v>0</v>
      </c>
      <c r="H1667" s="16" t="n">
        <v>1</v>
      </c>
      <c r="I1667" s="33" t="n">
        <v>17992.8</v>
      </c>
      <c r="J1667" s="33" t="n">
        <v>17992.8</v>
      </c>
    </row>
    <row r="1668" customFormat="false" ht="15" hidden="false" customHeight="false" outlineLevel="0" collapsed="false">
      <c r="A1668" s="3" t="s">
        <v>2058</v>
      </c>
      <c r="B1668" s="3" t="s">
        <v>283</v>
      </c>
      <c r="C1668" s="3" t="s">
        <v>405</v>
      </c>
      <c r="D1668" s="3" t="s">
        <v>692</v>
      </c>
      <c r="E1668" s="3" t="s">
        <v>398</v>
      </c>
      <c r="F1668" s="16" t="n">
        <v>1</v>
      </c>
      <c r="G1668" s="15" t="n">
        <v>0.1</v>
      </c>
      <c r="H1668" s="16" t="n">
        <v>1</v>
      </c>
      <c r="I1668" s="33" t="n">
        <v>17982.48</v>
      </c>
      <c r="J1668" s="33" t="n">
        <v>19980.48</v>
      </c>
    </row>
    <row r="1669" customFormat="false" ht="15" hidden="false" customHeight="false" outlineLevel="0" collapsed="false">
      <c r="A1669" s="3" t="s">
        <v>2059</v>
      </c>
      <c r="B1669" s="3" t="s">
        <v>282</v>
      </c>
      <c r="C1669" s="3" t="s">
        <v>401</v>
      </c>
      <c r="D1669" s="3" t="s">
        <v>418</v>
      </c>
      <c r="E1669" s="3" t="s">
        <v>385</v>
      </c>
      <c r="F1669" s="16" t="n">
        <v>12</v>
      </c>
      <c r="G1669" s="15" t="n">
        <v>0.15</v>
      </c>
      <c r="H1669" s="16" t="n">
        <v>9</v>
      </c>
      <c r="I1669" s="33" t="n">
        <v>17972.28</v>
      </c>
      <c r="J1669" s="33" t="n">
        <v>21143.76</v>
      </c>
    </row>
    <row r="1670" customFormat="false" ht="15" hidden="false" customHeight="false" outlineLevel="0" collapsed="false">
      <c r="A1670" s="3" t="s">
        <v>2060</v>
      </c>
      <c r="B1670" s="3" t="s">
        <v>283</v>
      </c>
      <c r="C1670" s="3" t="s">
        <v>387</v>
      </c>
      <c r="D1670" s="3" t="s">
        <v>388</v>
      </c>
      <c r="E1670" s="3" t="s">
        <v>398</v>
      </c>
      <c r="F1670" s="16" t="n">
        <v>1</v>
      </c>
      <c r="G1670" s="15" t="n">
        <v>0</v>
      </c>
      <c r="H1670" s="16" t="n">
        <v>1</v>
      </c>
      <c r="I1670" s="33" t="n">
        <v>17960.52</v>
      </c>
      <c r="J1670" s="33" t="n">
        <v>17960.52</v>
      </c>
    </row>
    <row r="1671" customFormat="false" ht="15" hidden="false" customHeight="false" outlineLevel="0" collapsed="false">
      <c r="A1671" s="3" t="s">
        <v>2061</v>
      </c>
      <c r="B1671" s="3" t="s">
        <v>283</v>
      </c>
      <c r="C1671" s="3" t="s">
        <v>401</v>
      </c>
      <c r="D1671" s="3" t="s">
        <v>418</v>
      </c>
      <c r="E1671" s="3" t="s">
        <v>382</v>
      </c>
      <c r="F1671" s="16" t="n">
        <v>1</v>
      </c>
      <c r="G1671" s="15" t="n">
        <v>0.25</v>
      </c>
      <c r="H1671" s="16" t="n">
        <v>1</v>
      </c>
      <c r="I1671" s="33" t="n">
        <v>17947.8</v>
      </c>
      <c r="J1671" s="33" t="n">
        <v>23930.4</v>
      </c>
    </row>
    <row r="1672" customFormat="false" ht="15" hidden="false" customHeight="false" outlineLevel="0" collapsed="false">
      <c r="A1672" s="3" t="s">
        <v>2062</v>
      </c>
      <c r="B1672" s="3" t="s">
        <v>283</v>
      </c>
      <c r="C1672" s="3" t="s">
        <v>405</v>
      </c>
      <c r="D1672" s="3" t="s">
        <v>692</v>
      </c>
      <c r="E1672" s="3" t="s">
        <v>385</v>
      </c>
      <c r="F1672" s="16" t="n">
        <v>1</v>
      </c>
      <c r="G1672" s="15" t="n">
        <v>0</v>
      </c>
      <c r="H1672" s="16" t="n">
        <v>1</v>
      </c>
      <c r="I1672" s="33" t="n">
        <v>17943</v>
      </c>
      <c r="J1672" s="33" t="n">
        <v>17943</v>
      </c>
    </row>
    <row r="1673" customFormat="false" ht="15" hidden="false" customHeight="false" outlineLevel="0" collapsed="false">
      <c r="A1673" s="3" t="s">
        <v>2063</v>
      </c>
      <c r="B1673" s="3" t="s">
        <v>282</v>
      </c>
      <c r="C1673" s="3" t="s">
        <v>405</v>
      </c>
      <c r="D1673" s="3" t="s">
        <v>692</v>
      </c>
      <c r="E1673" s="3" t="s">
        <v>382</v>
      </c>
      <c r="F1673" s="16" t="n">
        <v>12</v>
      </c>
      <c r="G1673" s="15" t="n">
        <v>0</v>
      </c>
      <c r="H1673" s="16" t="n">
        <v>11</v>
      </c>
      <c r="I1673" s="33" t="n">
        <v>17934.12</v>
      </c>
      <c r="J1673" s="33" t="n">
        <v>17934.12</v>
      </c>
    </row>
    <row r="1674" customFormat="false" ht="15" hidden="false" customHeight="false" outlineLevel="0" collapsed="false">
      <c r="A1674" s="3" t="s">
        <v>2064</v>
      </c>
      <c r="B1674" s="3" t="s">
        <v>283</v>
      </c>
      <c r="C1674" s="3" t="s">
        <v>380</v>
      </c>
      <c r="D1674" s="3" t="s">
        <v>692</v>
      </c>
      <c r="E1674" s="3" t="s">
        <v>382</v>
      </c>
      <c r="F1674" s="16" t="n">
        <v>12</v>
      </c>
      <c r="G1674" s="15" t="n">
        <v>0</v>
      </c>
      <c r="H1674" s="16" t="n">
        <v>9</v>
      </c>
      <c r="I1674" s="33" t="n">
        <v>17904.84</v>
      </c>
      <c r="J1674" s="33" t="n">
        <v>17904.84</v>
      </c>
    </row>
    <row r="1675" customFormat="false" ht="15" hidden="false" customHeight="false" outlineLevel="0" collapsed="false">
      <c r="A1675" s="3" t="s">
        <v>2065</v>
      </c>
      <c r="B1675" s="3" t="s">
        <v>283</v>
      </c>
      <c r="C1675" s="3" t="s">
        <v>401</v>
      </c>
      <c r="D1675" s="3" t="s">
        <v>388</v>
      </c>
      <c r="E1675" s="3" t="s">
        <v>385</v>
      </c>
      <c r="F1675" s="16" t="n">
        <v>12</v>
      </c>
      <c r="G1675" s="15" t="n">
        <v>0.15</v>
      </c>
      <c r="H1675" s="16" t="n">
        <v>11</v>
      </c>
      <c r="I1675" s="33" t="n">
        <v>17897.76</v>
      </c>
      <c r="J1675" s="33" t="n">
        <v>21056.16</v>
      </c>
    </row>
    <row r="1676" customFormat="false" ht="15" hidden="false" customHeight="false" outlineLevel="0" collapsed="false">
      <c r="A1676" s="3" t="s">
        <v>2066</v>
      </c>
      <c r="B1676" s="3" t="s">
        <v>283</v>
      </c>
      <c r="C1676" s="3" t="s">
        <v>403</v>
      </c>
      <c r="D1676" s="3" t="s">
        <v>692</v>
      </c>
      <c r="E1676" s="3" t="s">
        <v>398</v>
      </c>
      <c r="F1676" s="16" t="n">
        <v>1</v>
      </c>
      <c r="G1676" s="15" t="n">
        <v>0</v>
      </c>
      <c r="H1676" s="16" t="n">
        <v>1</v>
      </c>
      <c r="I1676" s="33" t="n">
        <v>17881.32</v>
      </c>
      <c r="J1676" s="33" t="n">
        <v>17881.32</v>
      </c>
    </row>
    <row r="1677" customFormat="false" ht="15" hidden="false" customHeight="false" outlineLevel="0" collapsed="false">
      <c r="A1677" s="3" t="s">
        <v>2067</v>
      </c>
      <c r="B1677" s="3" t="s">
        <v>283</v>
      </c>
      <c r="C1677" s="3" t="s">
        <v>405</v>
      </c>
      <c r="D1677" s="3" t="s">
        <v>388</v>
      </c>
      <c r="E1677" s="3" t="s">
        <v>398</v>
      </c>
      <c r="F1677" s="16" t="n">
        <v>1</v>
      </c>
      <c r="G1677" s="15" t="n">
        <v>0</v>
      </c>
      <c r="H1677" s="16" t="n">
        <v>1</v>
      </c>
      <c r="I1677" s="33" t="n">
        <v>17875.08</v>
      </c>
      <c r="J1677" s="33" t="n">
        <v>17875.08</v>
      </c>
    </row>
    <row r="1678" customFormat="false" ht="15" hidden="false" customHeight="false" outlineLevel="0" collapsed="false">
      <c r="A1678" s="3" t="s">
        <v>2068</v>
      </c>
      <c r="B1678" s="3" t="s">
        <v>283</v>
      </c>
      <c r="C1678" s="3" t="s">
        <v>384</v>
      </c>
      <c r="D1678" s="3" t="s">
        <v>392</v>
      </c>
      <c r="E1678" s="3" t="s">
        <v>398</v>
      </c>
      <c r="F1678" s="16" t="n">
        <v>12</v>
      </c>
      <c r="G1678" s="15" t="n">
        <v>0</v>
      </c>
      <c r="H1678" s="16" t="n">
        <v>12</v>
      </c>
      <c r="I1678" s="33" t="n">
        <v>17854.56</v>
      </c>
      <c r="J1678" s="33" t="n">
        <v>17854.56</v>
      </c>
    </row>
    <row r="1679" customFormat="false" ht="15" hidden="false" customHeight="false" outlineLevel="0" collapsed="false">
      <c r="A1679" s="3" t="s">
        <v>2069</v>
      </c>
      <c r="B1679" s="3" t="s">
        <v>283</v>
      </c>
      <c r="C1679" s="3" t="s">
        <v>387</v>
      </c>
      <c r="D1679" s="3" t="s">
        <v>392</v>
      </c>
      <c r="E1679" s="3" t="s">
        <v>398</v>
      </c>
      <c r="F1679" s="16" t="n">
        <v>1</v>
      </c>
      <c r="G1679" s="15" t="n">
        <v>0</v>
      </c>
      <c r="H1679" s="16" t="n">
        <v>1</v>
      </c>
      <c r="I1679" s="33" t="n">
        <v>17844.12</v>
      </c>
      <c r="J1679" s="33" t="n">
        <v>17844.12</v>
      </c>
    </row>
    <row r="1680" customFormat="false" ht="15" hidden="false" customHeight="false" outlineLevel="0" collapsed="false">
      <c r="A1680" s="3" t="s">
        <v>2070</v>
      </c>
      <c r="B1680" s="3" t="s">
        <v>283</v>
      </c>
      <c r="C1680" s="3" t="s">
        <v>387</v>
      </c>
      <c r="D1680" s="3" t="s">
        <v>418</v>
      </c>
      <c r="E1680" s="3" t="s">
        <v>398</v>
      </c>
      <c r="F1680" s="16" t="n">
        <v>1</v>
      </c>
      <c r="G1680" s="15" t="n">
        <v>0</v>
      </c>
      <c r="H1680" s="16" t="n">
        <v>1</v>
      </c>
      <c r="I1680" s="33" t="n">
        <v>17839.92</v>
      </c>
      <c r="J1680" s="33" t="n">
        <v>17839.92</v>
      </c>
    </row>
    <row r="1681" customFormat="false" ht="15" hidden="false" customHeight="false" outlineLevel="0" collapsed="false">
      <c r="A1681" s="3" t="s">
        <v>2071</v>
      </c>
      <c r="B1681" s="3" t="s">
        <v>283</v>
      </c>
      <c r="C1681" s="3" t="s">
        <v>403</v>
      </c>
      <c r="D1681" s="3" t="s">
        <v>692</v>
      </c>
      <c r="E1681" s="3" t="s">
        <v>385</v>
      </c>
      <c r="F1681" s="16" t="n">
        <v>12</v>
      </c>
      <c r="G1681" s="15" t="n">
        <v>0</v>
      </c>
      <c r="H1681" s="16" t="n">
        <v>12</v>
      </c>
      <c r="I1681" s="33" t="n">
        <v>17822.76</v>
      </c>
      <c r="J1681" s="33" t="n">
        <v>17822.76</v>
      </c>
    </row>
    <row r="1682" customFormat="false" ht="15" hidden="false" customHeight="false" outlineLevel="0" collapsed="false">
      <c r="A1682" s="3" t="s">
        <v>2072</v>
      </c>
      <c r="B1682" s="3" t="s">
        <v>283</v>
      </c>
      <c r="C1682" s="3" t="s">
        <v>405</v>
      </c>
      <c r="D1682" s="3" t="s">
        <v>418</v>
      </c>
      <c r="E1682" s="3" t="s">
        <v>385</v>
      </c>
      <c r="F1682" s="16" t="n">
        <v>12</v>
      </c>
      <c r="G1682" s="15" t="n">
        <v>0</v>
      </c>
      <c r="H1682" s="16" t="n">
        <v>2</v>
      </c>
      <c r="I1682" s="33" t="n">
        <v>17821.44</v>
      </c>
      <c r="J1682" s="33" t="n">
        <v>17821.44</v>
      </c>
    </row>
    <row r="1683" customFormat="false" ht="15" hidden="false" customHeight="false" outlineLevel="0" collapsed="false">
      <c r="A1683" s="3" t="s">
        <v>2073</v>
      </c>
      <c r="B1683" s="3" t="s">
        <v>283</v>
      </c>
      <c r="C1683" s="3" t="s">
        <v>403</v>
      </c>
      <c r="D1683" s="3" t="s">
        <v>381</v>
      </c>
      <c r="E1683" s="3" t="s">
        <v>398</v>
      </c>
      <c r="F1683" s="16" t="n">
        <v>1</v>
      </c>
      <c r="G1683" s="15" t="n">
        <v>0</v>
      </c>
      <c r="H1683" s="16" t="n">
        <v>1</v>
      </c>
      <c r="I1683" s="33" t="n">
        <v>17820.12</v>
      </c>
      <c r="J1683" s="33" t="n">
        <v>17820.12</v>
      </c>
    </row>
    <row r="1684" customFormat="false" ht="15" hidden="false" customHeight="false" outlineLevel="0" collapsed="false">
      <c r="A1684" s="3" t="s">
        <v>2074</v>
      </c>
      <c r="B1684" s="3" t="s">
        <v>283</v>
      </c>
      <c r="C1684" s="3" t="s">
        <v>403</v>
      </c>
      <c r="D1684" s="3" t="s">
        <v>418</v>
      </c>
      <c r="E1684" s="3" t="s">
        <v>398</v>
      </c>
      <c r="F1684" s="16" t="n">
        <v>1</v>
      </c>
      <c r="G1684" s="15" t="n">
        <v>0.1</v>
      </c>
      <c r="H1684" s="16" t="n">
        <v>1</v>
      </c>
      <c r="I1684" s="33" t="n">
        <v>17796.36</v>
      </c>
      <c r="J1684" s="33" t="n">
        <v>19773.84</v>
      </c>
    </row>
    <row r="1685" customFormat="false" ht="15" hidden="false" customHeight="false" outlineLevel="0" collapsed="false">
      <c r="A1685" s="3" t="s">
        <v>2075</v>
      </c>
      <c r="B1685" s="3" t="s">
        <v>282</v>
      </c>
      <c r="C1685" s="3" t="s">
        <v>380</v>
      </c>
      <c r="D1685" s="3" t="s">
        <v>692</v>
      </c>
      <c r="E1685" s="3" t="s">
        <v>398</v>
      </c>
      <c r="F1685" s="16" t="n">
        <v>24</v>
      </c>
      <c r="G1685" s="15" t="n">
        <v>0.2</v>
      </c>
      <c r="H1685" s="16" t="n">
        <v>5</v>
      </c>
      <c r="I1685" s="33" t="n">
        <v>17756.76</v>
      </c>
      <c r="J1685" s="33" t="n">
        <v>22195.92</v>
      </c>
    </row>
    <row r="1686" customFormat="false" ht="15" hidden="false" customHeight="false" outlineLevel="0" collapsed="false">
      <c r="A1686" s="3" t="s">
        <v>2076</v>
      </c>
      <c r="B1686" s="3" t="s">
        <v>283</v>
      </c>
      <c r="C1686" s="3" t="s">
        <v>384</v>
      </c>
      <c r="D1686" s="3" t="s">
        <v>418</v>
      </c>
      <c r="E1686" s="3" t="s">
        <v>398</v>
      </c>
      <c r="F1686" s="16" t="n">
        <v>1</v>
      </c>
      <c r="G1686" s="15" t="n">
        <v>0</v>
      </c>
      <c r="H1686" s="16" t="n">
        <v>1</v>
      </c>
      <c r="I1686" s="33" t="n">
        <v>17752.32</v>
      </c>
      <c r="J1686" s="33" t="n">
        <v>17752.32</v>
      </c>
    </row>
    <row r="1687" customFormat="false" ht="15" hidden="false" customHeight="false" outlineLevel="0" collapsed="false">
      <c r="A1687" s="3" t="s">
        <v>2077</v>
      </c>
      <c r="B1687" s="3" t="s">
        <v>283</v>
      </c>
      <c r="C1687" s="3" t="s">
        <v>401</v>
      </c>
      <c r="D1687" s="3" t="s">
        <v>381</v>
      </c>
      <c r="E1687" s="3" t="s">
        <v>398</v>
      </c>
      <c r="F1687" s="16" t="n">
        <v>1</v>
      </c>
      <c r="G1687" s="15" t="n">
        <v>0</v>
      </c>
      <c r="H1687" s="16" t="n">
        <v>1</v>
      </c>
      <c r="I1687" s="33" t="n">
        <v>17734.32</v>
      </c>
      <c r="J1687" s="33" t="n">
        <v>17734.32</v>
      </c>
    </row>
    <row r="1688" customFormat="false" ht="15" hidden="false" customHeight="false" outlineLevel="0" collapsed="false">
      <c r="A1688" s="3" t="s">
        <v>2078</v>
      </c>
      <c r="B1688" s="3" t="s">
        <v>283</v>
      </c>
      <c r="C1688" s="3" t="s">
        <v>384</v>
      </c>
      <c r="D1688" s="3" t="s">
        <v>392</v>
      </c>
      <c r="E1688" s="3" t="s">
        <v>398</v>
      </c>
      <c r="F1688" s="16" t="n">
        <v>12</v>
      </c>
      <c r="G1688" s="15" t="n">
        <v>0</v>
      </c>
      <c r="H1688" s="16" t="n">
        <v>2</v>
      </c>
      <c r="I1688" s="33" t="n">
        <v>17733.72</v>
      </c>
      <c r="J1688" s="33" t="n">
        <v>17733.72</v>
      </c>
    </row>
    <row r="1689" customFormat="false" ht="15" hidden="false" customHeight="false" outlineLevel="0" collapsed="false">
      <c r="A1689" s="3" t="s">
        <v>2079</v>
      </c>
      <c r="B1689" s="3" t="s">
        <v>283</v>
      </c>
      <c r="C1689" s="3" t="s">
        <v>396</v>
      </c>
      <c r="D1689" s="3" t="s">
        <v>392</v>
      </c>
      <c r="E1689" s="3" t="s">
        <v>385</v>
      </c>
      <c r="F1689" s="16" t="n">
        <v>1</v>
      </c>
      <c r="G1689" s="15" t="n">
        <v>0</v>
      </c>
      <c r="H1689" s="16" t="n">
        <v>1</v>
      </c>
      <c r="I1689" s="33" t="n">
        <v>17713.8</v>
      </c>
      <c r="J1689" s="33" t="n">
        <v>17713.8</v>
      </c>
    </row>
    <row r="1690" customFormat="false" ht="15" hidden="false" customHeight="false" outlineLevel="0" collapsed="false">
      <c r="A1690" s="3" t="s">
        <v>2080</v>
      </c>
      <c r="B1690" s="3" t="s">
        <v>283</v>
      </c>
      <c r="C1690" s="3" t="s">
        <v>405</v>
      </c>
      <c r="D1690" s="3" t="s">
        <v>418</v>
      </c>
      <c r="E1690" s="3" t="s">
        <v>398</v>
      </c>
      <c r="F1690" s="16" t="n">
        <v>1</v>
      </c>
      <c r="G1690" s="15" t="n">
        <v>0</v>
      </c>
      <c r="H1690" s="16" t="n">
        <v>1</v>
      </c>
      <c r="I1690" s="33" t="n">
        <v>17704.2</v>
      </c>
      <c r="J1690" s="33" t="n">
        <v>17704.2</v>
      </c>
    </row>
    <row r="1691" customFormat="false" ht="15" hidden="false" customHeight="false" outlineLevel="0" collapsed="false">
      <c r="A1691" s="3" t="s">
        <v>2081</v>
      </c>
      <c r="B1691" s="3" t="s">
        <v>283</v>
      </c>
      <c r="C1691" s="3" t="s">
        <v>401</v>
      </c>
      <c r="D1691" s="3" t="s">
        <v>381</v>
      </c>
      <c r="E1691" s="3" t="s">
        <v>398</v>
      </c>
      <c r="F1691" s="16" t="n">
        <v>12</v>
      </c>
      <c r="G1691" s="15" t="n">
        <v>0.15</v>
      </c>
      <c r="H1691" s="16" t="n">
        <v>1</v>
      </c>
      <c r="I1691" s="33" t="n">
        <v>17697</v>
      </c>
      <c r="J1691" s="33" t="n">
        <v>20820</v>
      </c>
    </row>
    <row r="1692" customFormat="false" ht="15" hidden="false" customHeight="false" outlineLevel="0" collapsed="false">
      <c r="A1692" s="3" t="s">
        <v>2082</v>
      </c>
      <c r="B1692" s="3" t="s">
        <v>283</v>
      </c>
      <c r="C1692" s="3" t="s">
        <v>387</v>
      </c>
      <c r="D1692" s="3" t="s">
        <v>388</v>
      </c>
      <c r="E1692" s="3" t="s">
        <v>398</v>
      </c>
      <c r="F1692" s="16" t="n">
        <v>12</v>
      </c>
      <c r="G1692" s="15" t="n">
        <v>0</v>
      </c>
      <c r="H1692" s="16" t="n">
        <v>12</v>
      </c>
      <c r="I1692" s="33" t="n">
        <v>17659.32</v>
      </c>
      <c r="J1692" s="33" t="n">
        <v>17659.32</v>
      </c>
    </row>
    <row r="1693" customFormat="false" ht="15" hidden="false" customHeight="false" outlineLevel="0" collapsed="false">
      <c r="A1693" s="3" t="s">
        <v>2083</v>
      </c>
      <c r="B1693" s="3" t="s">
        <v>283</v>
      </c>
      <c r="C1693" s="3" t="s">
        <v>405</v>
      </c>
      <c r="D1693" s="3" t="s">
        <v>388</v>
      </c>
      <c r="E1693" s="3" t="s">
        <v>382</v>
      </c>
      <c r="F1693" s="16" t="n">
        <v>1</v>
      </c>
      <c r="G1693" s="15" t="n">
        <v>0</v>
      </c>
      <c r="H1693" s="16" t="n">
        <v>1</v>
      </c>
      <c r="I1693" s="33" t="n">
        <v>17615.28</v>
      </c>
      <c r="J1693" s="33" t="n">
        <v>17615.28</v>
      </c>
    </row>
    <row r="1694" customFormat="false" ht="15" hidden="false" customHeight="false" outlineLevel="0" collapsed="false">
      <c r="A1694" s="3" t="s">
        <v>2084</v>
      </c>
      <c r="B1694" s="3" t="s">
        <v>282</v>
      </c>
      <c r="C1694" s="3" t="s">
        <v>384</v>
      </c>
      <c r="D1694" s="3" t="s">
        <v>388</v>
      </c>
      <c r="E1694" s="3" t="s">
        <v>385</v>
      </c>
      <c r="F1694" s="16" t="n">
        <v>24</v>
      </c>
      <c r="G1694" s="15" t="n">
        <v>0.2</v>
      </c>
      <c r="H1694" s="16" t="n">
        <v>21</v>
      </c>
      <c r="I1694" s="33" t="n">
        <v>17586.36</v>
      </c>
      <c r="J1694" s="33" t="n">
        <v>21982.92</v>
      </c>
    </row>
    <row r="1695" customFormat="false" ht="15" hidden="false" customHeight="false" outlineLevel="0" collapsed="false">
      <c r="A1695" s="3" t="s">
        <v>2085</v>
      </c>
      <c r="B1695" s="3" t="s">
        <v>283</v>
      </c>
      <c r="C1695" s="3" t="s">
        <v>387</v>
      </c>
      <c r="D1695" s="3" t="s">
        <v>692</v>
      </c>
      <c r="E1695" s="3" t="s">
        <v>398</v>
      </c>
      <c r="F1695" s="16" t="n">
        <v>1</v>
      </c>
      <c r="G1695" s="15" t="n">
        <v>0.1</v>
      </c>
      <c r="H1695" s="16" t="n">
        <v>1</v>
      </c>
      <c r="I1695" s="33" t="n">
        <v>17581.44</v>
      </c>
      <c r="J1695" s="33" t="n">
        <v>19534.92</v>
      </c>
    </row>
    <row r="1696" customFormat="false" ht="15" hidden="false" customHeight="false" outlineLevel="0" collapsed="false">
      <c r="A1696" s="3" t="s">
        <v>2086</v>
      </c>
      <c r="B1696" s="3" t="s">
        <v>283</v>
      </c>
      <c r="C1696" s="3" t="s">
        <v>396</v>
      </c>
      <c r="D1696" s="3" t="s">
        <v>418</v>
      </c>
      <c r="E1696" s="3" t="s">
        <v>385</v>
      </c>
      <c r="F1696" s="16" t="n">
        <v>12</v>
      </c>
      <c r="G1696" s="15" t="n">
        <v>0</v>
      </c>
      <c r="H1696" s="16" t="n">
        <v>5</v>
      </c>
      <c r="I1696" s="33" t="n">
        <v>17550.36</v>
      </c>
      <c r="J1696" s="33" t="n">
        <v>17550.36</v>
      </c>
    </row>
    <row r="1697" customFormat="false" ht="15" hidden="false" customHeight="false" outlineLevel="0" collapsed="false">
      <c r="A1697" s="3" t="s">
        <v>2087</v>
      </c>
      <c r="B1697" s="3" t="s">
        <v>283</v>
      </c>
      <c r="C1697" s="3" t="s">
        <v>387</v>
      </c>
      <c r="D1697" s="3" t="s">
        <v>418</v>
      </c>
      <c r="E1697" s="3" t="s">
        <v>398</v>
      </c>
      <c r="F1697" s="16" t="n">
        <v>12</v>
      </c>
      <c r="G1697" s="15" t="n">
        <v>0</v>
      </c>
      <c r="H1697" s="16" t="n">
        <v>1</v>
      </c>
      <c r="I1697" s="33" t="n">
        <v>17534.16</v>
      </c>
      <c r="J1697" s="33" t="n">
        <v>17534.16</v>
      </c>
    </row>
    <row r="1698" customFormat="false" ht="15" hidden="false" customHeight="false" outlineLevel="0" collapsed="false">
      <c r="A1698" s="3" t="s">
        <v>2088</v>
      </c>
      <c r="B1698" s="3" t="s">
        <v>283</v>
      </c>
      <c r="C1698" s="3" t="s">
        <v>401</v>
      </c>
      <c r="D1698" s="3" t="s">
        <v>418</v>
      </c>
      <c r="E1698" s="3" t="s">
        <v>398</v>
      </c>
      <c r="F1698" s="16" t="n">
        <v>1</v>
      </c>
      <c r="G1698" s="15" t="n">
        <v>0</v>
      </c>
      <c r="H1698" s="16" t="n">
        <v>1</v>
      </c>
      <c r="I1698" s="33" t="n">
        <v>17529.48</v>
      </c>
      <c r="J1698" s="33" t="n">
        <v>17529.48</v>
      </c>
    </row>
    <row r="1699" customFormat="false" ht="15" hidden="false" customHeight="false" outlineLevel="0" collapsed="false">
      <c r="A1699" s="3" t="s">
        <v>2089</v>
      </c>
      <c r="B1699" s="3" t="s">
        <v>283</v>
      </c>
      <c r="C1699" s="3" t="s">
        <v>387</v>
      </c>
      <c r="D1699" s="3" t="s">
        <v>692</v>
      </c>
      <c r="E1699" s="3" t="s">
        <v>385</v>
      </c>
      <c r="F1699" s="16" t="n">
        <v>1</v>
      </c>
      <c r="G1699" s="15" t="n">
        <v>0</v>
      </c>
      <c r="H1699" s="16" t="n">
        <v>1</v>
      </c>
      <c r="I1699" s="33" t="n">
        <v>17496.12</v>
      </c>
      <c r="J1699" s="33" t="n">
        <v>17496.12</v>
      </c>
    </row>
    <row r="1700" customFormat="false" ht="15" hidden="false" customHeight="false" outlineLevel="0" collapsed="false">
      <c r="A1700" s="3" t="s">
        <v>2090</v>
      </c>
      <c r="B1700" s="3" t="s">
        <v>283</v>
      </c>
      <c r="C1700" s="3" t="s">
        <v>403</v>
      </c>
      <c r="D1700" s="3" t="s">
        <v>418</v>
      </c>
      <c r="E1700" s="3" t="s">
        <v>398</v>
      </c>
      <c r="F1700" s="16" t="n">
        <v>1</v>
      </c>
      <c r="G1700" s="15" t="n">
        <v>0</v>
      </c>
      <c r="H1700" s="16" t="n">
        <v>1</v>
      </c>
      <c r="I1700" s="33" t="n">
        <v>17479.92</v>
      </c>
      <c r="J1700" s="33" t="n">
        <v>17479.92</v>
      </c>
    </row>
    <row r="1701" customFormat="false" ht="15" hidden="false" customHeight="false" outlineLevel="0" collapsed="false">
      <c r="A1701" s="3" t="s">
        <v>2091</v>
      </c>
      <c r="B1701" s="3" t="s">
        <v>283</v>
      </c>
      <c r="C1701" s="3" t="s">
        <v>403</v>
      </c>
      <c r="D1701" s="3" t="s">
        <v>392</v>
      </c>
      <c r="E1701" s="3" t="s">
        <v>398</v>
      </c>
      <c r="F1701" s="16" t="n">
        <v>1</v>
      </c>
      <c r="G1701" s="15" t="n">
        <v>0</v>
      </c>
      <c r="H1701" s="16" t="n">
        <v>1</v>
      </c>
      <c r="I1701" s="33" t="n">
        <v>17470.56</v>
      </c>
      <c r="J1701" s="33" t="n">
        <v>17470.56</v>
      </c>
    </row>
    <row r="1702" customFormat="false" ht="15" hidden="false" customHeight="false" outlineLevel="0" collapsed="false">
      <c r="A1702" s="3" t="s">
        <v>2092</v>
      </c>
      <c r="B1702" s="3" t="s">
        <v>283</v>
      </c>
      <c r="C1702" s="3" t="s">
        <v>405</v>
      </c>
      <c r="D1702" s="3" t="s">
        <v>692</v>
      </c>
      <c r="E1702" s="3" t="s">
        <v>385</v>
      </c>
      <c r="F1702" s="16" t="n">
        <v>12</v>
      </c>
      <c r="G1702" s="15" t="n">
        <v>0</v>
      </c>
      <c r="H1702" s="16" t="n">
        <v>9</v>
      </c>
      <c r="I1702" s="33" t="n">
        <v>17454</v>
      </c>
      <c r="J1702" s="33" t="n">
        <v>17454</v>
      </c>
    </row>
    <row r="1703" customFormat="false" ht="15" hidden="false" customHeight="false" outlineLevel="0" collapsed="false">
      <c r="A1703" s="3" t="s">
        <v>2093</v>
      </c>
      <c r="B1703" s="3" t="s">
        <v>282</v>
      </c>
      <c r="C1703" s="3" t="s">
        <v>384</v>
      </c>
      <c r="D1703" s="3" t="s">
        <v>392</v>
      </c>
      <c r="E1703" s="3" t="s">
        <v>382</v>
      </c>
      <c r="F1703" s="16" t="n">
        <v>12</v>
      </c>
      <c r="G1703" s="15" t="n">
        <v>0</v>
      </c>
      <c r="H1703" s="16" t="n">
        <v>10</v>
      </c>
      <c r="I1703" s="33" t="n">
        <v>17448.84</v>
      </c>
      <c r="J1703" s="33" t="n">
        <v>17448.84</v>
      </c>
    </row>
    <row r="1704" customFormat="false" ht="15" hidden="false" customHeight="false" outlineLevel="0" collapsed="false">
      <c r="A1704" s="3" t="s">
        <v>2094</v>
      </c>
      <c r="B1704" s="3" t="s">
        <v>283</v>
      </c>
      <c r="C1704" s="3" t="s">
        <v>387</v>
      </c>
      <c r="D1704" s="3" t="s">
        <v>692</v>
      </c>
      <c r="E1704" s="3" t="s">
        <v>385</v>
      </c>
      <c r="F1704" s="16" t="n">
        <v>1</v>
      </c>
      <c r="G1704" s="15" t="n">
        <v>0</v>
      </c>
      <c r="H1704" s="16" t="n">
        <v>1</v>
      </c>
      <c r="I1704" s="33" t="n">
        <v>17435.76</v>
      </c>
      <c r="J1704" s="33" t="n">
        <v>17435.76</v>
      </c>
    </row>
    <row r="1705" customFormat="false" ht="15" hidden="false" customHeight="false" outlineLevel="0" collapsed="false">
      <c r="A1705" s="3" t="s">
        <v>2095</v>
      </c>
      <c r="B1705" s="3" t="s">
        <v>282</v>
      </c>
      <c r="C1705" s="3" t="s">
        <v>380</v>
      </c>
      <c r="D1705" s="3" t="s">
        <v>392</v>
      </c>
      <c r="E1705" s="3" t="s">
        <v>385</v>
      </c>
      <c r="F1705" s="16" t="n">
        <v>12</v>
      </c>
      <c r="G1705" s="15" t="n">
        <v>0.175</v>
      </c>
      <c r="H1705" s="16" t="n">
        <v>11</v>
      </c>
      <c r="I1705" s="33" t="n">
        <v>17433.24</v>
      </c>
      <c r="J1705" s="33" t="n">
        <v>21131.28</v>
      </c>
    </row>
    <row r="1706" customFormat="false" ht="15" hidden="false" customHeight="false" outlineLevel="0" collapsed="false">
      <c r="A1706" s="3" t="s">
        <v>2096</v>
      </c>
      <c r="B1706" s="3" t="s">
        <v>282</v>
      </c>
      <c r="C1706" s="3" t="s">
        <v>403</v>
      </c>
      <c r="D1706" s="3" t="s">
        <v>381</v>
      </c>
      <c r="E1706" s="3" t="s">
        <v>385</v>
      </c>
      <c r="F1706" s="16" t="n">
        <v>12</v>
      </c>
      <c r="G1706" s="15" t="n">
        <v>0.2</v>
      </c>
      <c r="H1706" s="16" t="n">
        <v>4</v>
      </c>
      <c r="I1706" s="33" t="n">
        <v>17426.88</v>
      </c>
      <c r="J1706" s="33" t="n">
        <v>21783.6</v>
      </c>
    </row>
    <row r="1707" customFormat="false" ht="15" hidden="false" customHeight="false" outlineLevel="0" collapsed="false">
      <c r="A1707" s="3" t="s">
        <v>2097</v>
      </c>
      <c r="B1707" s="3" t="s">
        <v>282</v>
      </c>
      <c r="C1707" s="3" t="s">
        <v>384</v>
      </c>
      <c r="D1707" s="3" t="s">
        <v>381</v>
      </c>
      <c r="E1707" s="3" t="s">
        <v>398</v>
      </c>
      <c r="F1707" s="16" t="n">
        <v>24</v>
      </c>
      <c r="G1707" s="15" t="n">
        <v>0.15</v>
      </c>
      <c r="H1707" s="16" t="n">
        <v>10</v>
      </c>
      <c r="I1707" s="33" t="n">
        <v>17421.96</v>
      </c>
      <c r="J1707" s="33" t="n">
        <v>20496.36</v>
      </c>
    </row>
    <row r="1708" customFormat="false" ht="15" hidden="false" customHeight="false" outlineLevel="0" collapsed="false">
      <c r="A1708" s="3" t="s">
        <v>2098</v>
      </c>
      <c r="B1708" s="3" t="s">
        <v>282</v>
      </c>
      <c r="C1708" s="3" t="s">
        <v>384</v>
      </c>
      <c r="D1708" s="3" t="s">
        <v>418</v>
      </c>
      <c r="E1708" s="3" t="s">
        <v>398</v>
      </c>
      <c r="F1708" s="16" t="n">
        <v>12</v>
      </c>
      <c r="G1708" s="15" t="n">
        <v>0.1</v>
      </c>
      <c r="H1708" s="16" t="n">
        <v>8</v>
      </c>
      <c r="I1708" s="33" t="n">
        <v>17421</v>
      </c>
      <c r="J1708" s="33" t="n">
        <v>19356.72</v>
      </c>
    </row>
    <row r="1709" customFormat="false" ht="15" hidden="false" customHeight="false" outlineLevel="0" collapsed="false">
      <c r="A1709" s="3" t="s">
        <v>2099</v>
      </c>
      <c r="B1709" s="3" t="s">
        <v>283</v>
      </c>
      <c r="C1709" s="3" t="s">
        <v>405</v>
      </c>
      <c r="D1709" s="3" t="s">
        <v>692</v>
      </c>
      <c r="E1709" s="3" t="s">
        <v>382</v>
      </c>
      <c r="F1709" s="16" t="n">
        <v>12</v>
      </c>
      <c r="G1709" s="15" t="n">
        <v>0</v>
      </c>
      <c r="H1709" s="16" t="n">
        <v>1</v>
      </c>
      <c r="I1709" s="33" t="n">
        <v>17400.6</v>
      </c>
      <c r="J1709" s="33" t="n">
        <v>17400.6</v>
      </c>
    </row>
    <row r="1710" customFormat="false" ht="15" hidden="false" customHeight="false" outlineLevel="0" collapsed="false">
      <c r="A1710" s="3" t="s">
        <v>2100</v>
      </c>
      <c r="B1710" s="3" t="s">
        <v>282</v>
      </c>
      <c r="C1710" s="3" t="s">
        <v>403</v>
      </c>
      <c r="D1710" s="3" t="s">
        <v>392</v>
      </c>
      <c r="E1710" s="3" t="s">
        <v>398</v>
      </c>
      <c r="F1710" s="16" t="n">
        <v>12</v>
      </c>
      <c r="G1710" s="15" t="n">
        <v>0.1</v>
      </c>
      <c r="H1710" s="16" t="n">
        <v>1</v>
      </c>
      <c r="I1710" s="33" t="n">
        <v>17394.24</v>
      </c>
      <c r="J1710" s="33" t="n">
        <v>19326.96</v>
      </c>
    </row>
    <row r="1711" customFormat="false" ht="15" hidden="false" customHeight="false" outlineLevel="0" collapsed="false">
      <c r="A1711" s="3" t="s">
        <v>2101</v>
      </c>
      <c r="B1711" s="3" t="s">
        <v>282</v>
      </c>
      <c r="C1711" s="3" t="s">
        <v>396</v>
      </c>
      <c r="D1711" s="3" t="s">
        <v>392</v>
      </c>
      <c r="E1711" s="3" t="s">
        <v>398</v>
      </c>
      <c r="F1711" s="16" t="n">
        <v>24</v>
      </c>
      <c r="G1711" s="15" t="n">
        <v>0.25</v>
      </c>
      <c r="H1711" s="16" t="n">
        <v>3</v>
      </c>
      <c r="I1711" s="33" t="n">
        <v>17389.92</v>
      </c>
      <c r="J1711" s="33" t="n">
        <v>23186.52</v>
      </c>
    </row>
    <row r="1712" customFormat="false" ht="15" hidden="false" customHeight="false" outlineLevel="0" collapsed="false">
      <c r="A1712" s="3" t="s">
        <v>2102</v>
      </c>
      <c r="B1712" s="3" t="s">
        <v>283</v>
      </c>
      <c r="C1712" s="3" t="s">
        <v>380</v>
      </c>
      <c r="D1712" s="3" t="s">
        <v>381</v>
      </c>
      <c r="E1712" s="3" t="s">
        <v>398</v>
      </c>
      <c r="F1712" s="16" t="n">
        <v>12</v>
      </c>
      <c r="G1712" s="15" t="n">
        <v>0.1</v>
      </c>
      <c r="H1712" s="16" t="n">
        <v>12</v>
      </c>
      <c r="I1712" s="33" t="n">
        <v>17387.4</v>
      </c>
      <c r="J1712" s="33" t="n">
        <v>19319.28</v>
      </c>
    </row>
    <row r="1713" customFormat="false" ht="15" hidden="false" customHeight="false" outlineLevel="0" collapsed="false">
      <c r="A1713" s="3" t="s">
        <v>2103</v>
      </c>
      <c r="B1713" s="3" t="s">
        <v>283</v>
      </c>
      <c r="C1713" s="3" t="s">
        <v>405</v>
      </c>
      <c r="D1713" s="3" t="s">
        <v>692</v>
      </c>
      <c r="E1713" s="3" t="s">
        <v>398</v>
      </c>
      <c r="F1713" s="16" t="n">
        <v>1</v>
      </c>
      <c r="G1713" s="15" t="n">
        <v>0</v>
      </c>
      <c r="H1713" s="16" t="n">
        <v>1</v>
      </c>
      <c r="I1713" s="33" t="n">
        <v>17384.76</v>
      </c>
      <c r="J1713" s="33" t="n">
        <v>17384.76</v>
      </c>
    </row>
    <row r="1714" customFormat="false" ht="15" hidden="false" customHeight="false" outlineLevel="0" collapsed="false">
      <c r="A1714" s="3" t="s">
        <v>2104</v>
      </c>
      <c r="B1714" s="3" t="s">
        <v>283</v>
      </c>
      <c r="C1714" s="3" t="s">
        <v>401</v>
      </c>
      <c r="D1714" s="3" t="s">
        <v>388</v>
      </c>
      <c r="E1714" s="3" t="s">
        <v>398</v>
      </c>
      <c r="F1714" s="16" t="n">
        <v>1</v>
      </c>
      <c r="G1714" s="15" t="n">
        <v>0</v>
      </c>
      <c r="H1714" s="16" t="n">
        <v>1</v>
      </c>
      <c r="I1714" s="33" t="n">
        <v>17380.92</v>
      </c>
      <c r="J1714" s="33" t="n">
        <v>17380.92</v>
      </c>
    </row>
    <row r="1715" customFormat="false" ht="15" hidden="false" customHeight="false" outlineLevel="0" collapsed="false">
      <c r="A1715" s="3" t="s">
        <v>2105</v>
      </c>
      <c r="B1715" s="3" t="s">
        <v>283</v>
      </c>
      <c r="C1715" s="3" t="s">
        <v>403</v>
      </c>
      <c r="D1715" s="3" t="s">
        <v>418</v>
      </c>
      <c r="E1715" s="3" t="s">
        <v>385</v>
      </c>
      <c r="F1715" s="16" t="n">
        <v>1</v>
      </c>
      <c r="G1715" s="15" t="n">
        <v>0.1</v>
      </c>
      <c r="H1715" s="16" t="n">
        <v>1</v>
      </c>
      <c r="I1715" s="33" t="n">
        <v>17358.12</v>
      </c>
      <c r="J1715" s="33" t="n">
        <v>19286.76</v>
      </c>
    </row>
    <row r="1716" customFormat="false" ht="15" hidden="false" customHeight="false" outlineLevel="0" collapsed="false">
      <c r="A1716" s="3" t="s">
        <v>2106</v>
      </c>
      <c r="B1716" s="3" t="s">
        <v>282</v>
      </c>
      <c r="C1716" s="3" t="s">
        <v>405</v>
      </c>
      <c r="D1716" s="3" t="s">
        <v>392</v>
      </c>
      <c r="E1716" s="3" t="s">
        <v>382</v>
      </c>
      <c r="F1716" s="16" t="n">
        <v>12</v>
      </c>
      <c r="G1716" s="15" t="n">
        <v>0</v>
      </c>
      <c r="H1716" s="16" t="n">
        <v>4</v>
      </c>
      <c r="I1716" s="33" t="n">
        <v>17304</v>
      </c>
      <c r="J1716" s="33" t="n">
        <v>17304</v>
      </c>
    </row>
    <row r="1717" customFormat="false" ht="15" hidden="false" customHeight="false" outlineLevel="0" collapsed="false">
      <c r="A1717" s="3" t="s">
        <v>2107</v>
      </c>
      <c r="B1717" s="3" t="s">
        <v>283</v>
      </c>
      <c r="C1717" s="3" t="s">
        <v>405</v>
      </c>
      <c r="D1717" s="3" t="s">
        <v>388</v>
      </c>
      <c r="E1717" s="3" t="s">
        <v>398</v>
      </c>
      <c r="F1717" s="16" t="n">
        <v>1</v>
      </c>
      <c r="G1717" s="15" t="n">
        <v>0</v>
      </c>
      <c r="H1717" s="16" t="n">
        <v>1</v>
      </c>
      <c r="I1717" s="33" t="n">
        <v>17287.8</v>
      </c>
      <c r="J1717" s="33" t="n">
        <v>17287.8</v>
      </c>
    </row>
    <row r="1718" customFormat="false" ht="15" hidden="false" customHeight="false" outlineLevel="0" collapsed="false">
      <c r="A1718" s="3" t="s">
        <v>2108</v>
      </c>
      <c r="B1718" s="3" t="s">
        <v>283</v>
      </c>
      <c r="C1718" s="3" t="s">
        <v>384</v>
      </c>
      <c r="D1718" s="3" t="s">
        <v>692</v>
      </c>
      <c r="E1718" s="3" t="s">
        <v>398</v>
      </c>
      <c r="F1718" s="16" t="n">
        <v>12</v>
      </c>
      <c r="G1718" s="15" t="n">
        <v>0</v>
      </c>
      <c r="H1718" s="16" t="n">
        <v>9</v>
      </c>
      <c r="I1718" s="33" t="n">
        <v>17286.12</v>
      </c>
      <c r="J1718" s="33" t="n">
        <v>17286.12</v>
      </c>
    </row>
    <row r="1719" customFormat="false" ht="15" hidden="false" customHeight="false" outlineLevel="0" collapsed="false">
      <c r="A1719" s="3" t="s">
        <v>2109</v>
      </c>
      <c r="B1719" s="3" t="s">
        <v>283</v>
      </c>
      <c r="C1719" s="3" t="s">
        <v>403</v>
      </c>
      <c r="D1719" s="3" t="s">
        <v>418</v>
      </c>
      <c r="E1719" s="3" t="s">
        <v>385</v>
      </c>
      <c r="F1719" s="16" t="n">
        <v>12</v>
      </c>
      <c r="G1719" s="15" t="n">
        <v>0</v>
      </c>
      <c r="H1719" s="16" t="n">
        <v>5</v>
      </c>
      <c r="I1719" s="33" t="n">
        <v>17284.08</v>
      </c>
      <c r="J1719" s="33" t="n">
        <v>17284.08</v>
      </c>
    </row>
    <row r="1720" customFormat="false" ht="15" hidden="false" customHeight="false" outlineLevel="0" collapsed="false">
      <c r="A1720" s="3" t="s">
        <v>2110</v>
      </c>
      <c r="B1720" s="3" t="s">
        <v>282</v>
      </c>
      <c r="C1720" s="3" t="s">
        <v>401</v>
      </c>
      <c r="D1720" s="3" t="s">
        <v>392</v>
      </c>
      <c r="E1720" s="3" t="s">
        <v>385</v>
      </c>
      <c r="F1720" s="16" t="n">
        <v>24</v>
      </c>
      <c r="G1720" s="15" t="n">
        <v>0.1</v>
      </c>
      <c r="H1720" s="16" t="n">
        <v>13</v>
      </c>
      <c r="I1720" s="33" t="n">
        <v>17251.92</v>
      </c>
      <c r="J1720" s="33" t="n">
        <v>19168.8</v>
      </c>
    </row>
    <row r="1721" customFormat="false" ht="15" hidden="false" customHeight="false" outlineLevel="0" collapsed="false">
      <c r="A1721" s="3" t="s">
        <v>2111</v>
      </c>
      <c r="B1721" s="3" t="s">
        <v>283</v>
      </c>
      <c r="C1721" s="3" t="s">
        <v>380</v>
      </c>
      <c r="D1721" s="3" t="s">
        <v>392</v>
      </c>
      <c r="E1721" s="3" t="s">
        <v>382</v>
      </c>
      <c r="F1721" s="16" t="n">
        <v>1</v>
      </c>
      <c r="G1721" s="15" t="n">
        <v>0</v>
      </c>
      <c r="H1721" s="16" t="n">
        <v>1</v>
      </c>
      <c r="I1721" s="33" t="n">
        <v>17250.36</v>
      </c>
      <c r="J1721" s="33" t="n">
        <v>17250.36</v>
      </c>
    </row>
    <row r="1722" customFormat="false" ht="15" hidden="false" customHeight="false" outlineLevel="0" collapsed="false">
      <c r="A1722" s="3" t="s">
        <v>2112</v>
      </c>
      <c r="B1722" s="3" t="s">
        <v>283</v>
      </c>
      <c r="C1722" s="3" t="s">
        <v>401</v>
      </c>
      <c r="D1722" s="3" t="s">
        <v>392</v>
      </c>
      <c r="E1722" s="3" t="s">
        <v>398</v>
      </c>
      <c r="F1722" s="16" t="n">
        <v>1</v>
      </c>
      <c r="G1722" s="15" t="n">
        <v>0</v>
      </c>
      <c r="H1722" s="16" t="n">
        <v>1</v>
      </c>
      <c r="I1722" s="33" t="n">
        <v>17244.84</v>
      </c>
      <c r="J1722" s="33" t="n">
        <v>17244.84</v>
      </c>
    </row>
    <row r="1723" customFormat="false" ht="15" hidden="false" customHeight="false" outlineLevel="0" collapsed="false">
      <c r="A1723" s="3" t="s">
        <v>2113</v>
      </c>
      <c r="B1723" s="3" t="s">
        <v>283</v>
      </c>
      <c r="C1723" s="3" t="s">
        <v>384</v>
      </c>
      <c r="D1723" s="3" t="s">
        <v>392</v>
      </c>
      <c r="E1723" s="3" t="s">
        <v>398</v>
      </c>
      <c r="F1723" s="16" t="n">
        <v>12</v>
      </c>
      <c r="G1723" s="15" t="n">
        <v>0</v>
      </c>
      <c r="H1723" s="16" t="n">
        <v>5</v>
      </c>
      <c r="I1723" s="33" t="n">
        <v>17239.92</v>
      </c>
      <c r="J1723" s="33" t="n">
        <v>17239.92</v>
      </c>
    </row>
    <row r="1724" customFormat="false" ht="15" hidden="false" customHeight="false" outlineLevel="0" collapsed="false">
      <c r="A1724" s="3" t="s">
        <v>2114</v>
      </c>
      <c r="B1724" s="3" t="s">
        <v>282</v>
      </c>
      <c r="C1724" s="3" t="s">
        <v>380</v>
      </c>
      <c r="D1724" s="3" t="s">
        <v>392</v>
      </c>
      <c r="E1724" s="3" t="s">
        <v>398</v>
      </c>
      <c r="F1724" s="16" t="n">
        <v>24</v>
      </c>
      <c r="G1724" s="15" t="n">
        <v>0.3</v>
      </c>
      <c r="H1724" s="16" t="n">
        <v>13</v>
      </c>
      <c r="I1724" s="33" t="n">
        <v>17229.84</v>
      </c>
      <c r="J1724" s="33" t="n">
        <v>24614.04</v>
      </c>
    </row>
    <row r="1725" customFormat="false" ht="15" hidden="false" customHeight="false" outlineLevel="0" collapsed="false">
      <c r="A1725" s="3" t="s">
        <v>2115</v>
      </c>
      <c r="B1725" s="3" t="s">
        <v>283</v>
      </c>
      <c r="C1725" s="3" t="s">
        <v>405</v>
      </c>
      <c r="D1725" s="3" t="s">
        <v>692</v>
      </c>
      <c r="E1725" s="3" t="s">
        <v>398</v>
      </c>
      <c r="F1725" s="16" t="n">
        <v>12</v>
      </c>
      <c r="G1725" s="15" t="n">
        <v>0</v>
      </c>
      <c r="H1725" s="16" t="n">
        <v>8</v>
      </c>
      <c r="I1725" s="33" t="n">
        <v>17185.08</v>
      </c>
      <c r="J1725" s="33" t="n">
        <v>17185.08</v>
      </c>
    </row>
    <row r="1726" customFormat="false" ht="15" hidden="false" customHeight="false" outlineLevel="0" collapsed="false">
      <c r="A1726" s="3" t="s">
        <v>2116</v>
      </c>
      <c r="B1726" s="3" t="s">
        <v>282</v>
      </c>
      <c r="C1726" s="3" t="s">
        <v>405</v>
      </c>
      <c r="D1726" s="3" t="s">
        <v>388</v>
      </c>
      <c r="E1726" s="3" t="s">
        <v>398</v>
      </c>
      <c r="F1726" s="16" t="n">
        <v>24</v>
      </c>
      <c r="G1726" s="15" t="n">
        <v>0</v>
      </c>
      <c r="H1726" s="16" t="n">
        <v>4</v>
      </c>
      <c r="I1726" s="33" t="n">
        <v>17182.92</v>
      </c>
      <c r="J1726" s="33" t="n">
        <v>17182.92</v>
      </c>
    </row>
    <row r="1727" customFormat="false" ht="15" hidden="false" customHeight="false" outlineLevel="0" collapsed="false">
      <c r="A1727" s="3" t="s">
        <v>2117</v>
      </c>
      <c r="B1727" s="3" t="s">
        <v>283</v>
      </c>
      <c r="C1727" s="3" t="s">
        <v>384</v>
      </c>
      <c r="D1727" s="3" t="s">
        <v>392</v>
      </c>
      <c r="E1727" s="3" t="s">
        <v>398</v>
      </c>
      <c r="F1727" s="16" t="n">
        <v>1</v>
      </c>
      <c r="G1727" s="15" t="n">
        <v>0</v>
      </c>
      <c r="H1727" s="16" t="n">
        <v>1</v>
      </c>
      <c r="I1727" s="33" t="n">
        <v>17181.48</v>
      </c>
      <c r="J1727" s="33" t="n">
        <v>17181.48</v>
      </c>
    </row>
    <row r="1728" customFormat="false" ht="15" hidden="false" customHeight="false" outlineLevel="0" collapsed="false">
      <c r="A1728" s="3" t="s">
        <v>2118</v>
      </c>
      <c r="B1728" s="3" t="s">
        <v>283</v>
      </c>
      <c r="C1728" s="3" t="s">
        <v>403</v>
      </c>
      <c r="D1728" s="3" t="s">
        <v>392</v>
      </c>
      <c r="E1728" s="3" t="s">
        <v>398</v>
      </c>
      <c r="F1728" s="16" t="n">
        <v>12</v>
      </c>
      <c r="G1728" s="15" t="n">
        <v>0.2</v>
      </c>
      <c r="H1728" s="16" t="n">
        <v>4</v>
      </c>
      <c r="I1728" s="33" t="n">
        <v>17180.16</v>
      </c>
      <c r="J1728" s="33" t="n">
        <v>21475.2</v>
      </c>
    </row>
    <row r="1729" customFormat="false" ht="15" hidden="false" customHeight="false" outlineLevel="0" collapsed="false">
      <c r="A1729" s="3" t="s">
        <v>2119</v>
      </c>
      <c r="B1729" s="3" t="s">
        <v>283</v>
      </c>
      <c r="C1729" s="3" t="s">
        <v>401</v>
      </c>
      <c r="D1729" s="3" t="s">
        <v>381</v>
      </c>
      <c r="E1729" s="3" t="s">
        <v>398</v>
      </c>
      <c r="F1729" s="16" t="n">
        <v>12</v>
      </c>
      <c r="G1729" s="15" t="n">
        <v>0</v>
      </c>
      <c r="H1729" s="16" t="n">
        <v>4</v>
      </c>
      <c r="I1729" s="33" t="n">
        <v>17160.48</v>
      </c>
      <c r="J1729" s="33" t="n">
        <v>17160.48</v>
      </c>
    </row>
    <row r="1730" customFormat="false" ht="15" hidden="false" customHeight="false" outlineLevel="0" collapsed="false">
      <c r="A1730" s="3" t="s">
        <v>2120</v>
      </c>
      <c r="B1730" s="3" t="s">
        <v>283</v>
      </c>
      <c r="C1730" s="3" t="s">
        <v>403</v>
      </c>
      <c r="D1730" s="3" t="s">
        <v>418</v>
      </c>
      <c r="E1730" s="3" t="s">
        <v>398</v>
      </c>
      <c r="F1730" s="16" t="n">
        <v>1</v>
      </c>
      <c r="G1730" s="15" t="n">
        <v>0.1</v>
      </c>
      <c r="H1730" s="16" t="n">
        <v>1</v>
      </c>
      <c r="I1730" s="33" t="n">
        <v>17136.84</v>
      </c>
      <c r="J1730" s="33" t="n">
        <v>19040.88</v>
      </c>
    </row>
    <row r="1731" customFormat="false" ht="15" hidden="false" customHeight="false" outlineLevel="0" collapsed="false">
      <c r="A1731" s="3" t="s">
        <v>2121</v>
      </c>
      <c r="B1731" s="3" t="s">
        <v>283</v>
      </c>
      <c r="C1731" s="3" t="s">
        <v>403</v>
      </c>
      <c r="D1731" s="3" t="s">
        <v>418</v>
      </c>
      <c r="E1731" s="3" t="s">
        <v>398</v>
      </c>
      <c r="F1731" s="16" t="n">
        <v>12</v>
      </c>
      <c r="G1731" s="15" t="n">
        <v>0</v>
      </c>
      <c r="H1731" s="16" t="n">
        <v>9</v>
      </c>
      <c r="I1731" s="33" t="n">
        <v>17130.24</v>
      </c>
      <c r="J1731" s="33" t="n">
        <v>17130.24</v>
      </c>
    </row>
    <row r="1732" customFormat="false" ht="15" hidden="false" customHeight="false" outlineLevel="0" collapsed="false">
      <c r="A1732" s="3" t="s">
        <v>2122</v>
      </c>
      <c r="B1732" s="3" t="s">
        <v>283</v>
      </c>
      <c r="C1732" s="3" t="s">
        <v>387</v>
      </c>
      <c r="D1732" s="3" t="s">
        <v>692</v>
      </c>
      <c r="E1732" s="3" t="s">
        <v>398</v>
      </c>
      <c r="F1732" s="16" t="n">
        <v>12</v>
      </c>
      <c r="G1732" s="15" t="n">
        <v>0</v>
      </c>
      <c r="H1732" s="16" t="n">
        <v>5</v>
      </c>
      <c r="I1732" s="33" t="n">
        <v>17107.2</v>
      </c>
      <c r="J1732" s="33" t="n">
        <v>17107.2</v>
      </c>
    </row>
    <row r="1733" customFormat="false" ht="15" hidden="false" customHeight="false" outlineLevel="0" collapsed="false">
      <c r="A1733" s="3" t="s">
        <v>2123</v>
      </c>
      <c r="B1733" s="3" t="s">
        <v>283</v>
      </c>
      <c r="C1733" s="3" t="s">
        <v>401</v>
      </c>
      <c r="D1733" s="3" t="s">
        <v>392</v>
      </c>
      <c r="E1733" s="3" t="s">
        <v>382</v>
      </c>
      <c r="F1733" s="16" t="n">
        <v>1</v>
      </c>
      <c r="G1733" s="15" t="n">
        <v>0</v>
      </c>
      <c r="H1733" s="16" t="n">
        <v>1</v>
      </c>
      <c r="I1733" s="33" t="n">
        <v>17093.76</v>
      </c>
      <c r="J1733" s="33" t="n">
        <v>17093.76</v>
      </c>
    </row>
    <row r="1734" customFormat="false" ht="15" hidden="false" customHeight="false" outlineLevel="0" collapsed="false">
      <c r="A1734" s="3" t="s">
        <v>2124</v>
      </c>
      <c r="B1734" s="3" t="s">
        <v>283</v>
      </c>
      <c r="C1734" s="3" t="s">
        <v>403</v>
      </c>
      <c r="D1734" s="3" t="s">
        <v>418</v>
      </c>
      <c r="E1734" s="3" t="s">
        <v>398</v>
      </c>
      <c r="F1734" s="16" t="n">
        <v>12</v>
      </c>
      <c r="G1734" s="15" t="n">
        <v>0</v>
      </c>
      <c r="H1734" s="16" t="n">
        <v>9</v>
      </c>
      <c r="I1734" s="33" t="n">
        <v>17071.92</v>
      </c>
      <c r="J1734" s="33" t="n">
        <v>17071.92</v>
      </c>
    </row>
    <row r="1735" customFormat="false" ht="15" hidden="false" customHeight="false" outlineLevel="0" collapsed="false">
      <c r="A1735" s="3" t="s">
        <v>2125</v>
      </c>
      <c r="B1735" s="3" t="s">
        <v>283</v>
      </c>
      <c r="C1735" s="3" t="s">
        <v>387</v>
      </c>
      <c r="D1735" s="3" t="s">
        <v>381</v>
      </c>
      <c r="E1735" s="3" t="s">
        <v>382</v>
      </c>
      <c r="F1735" s="16" t="n">
        <v>1</v>
      </c>
      <c r="G1735" s="15" t="n">
        <v>0</v>
      </c>
      <c r="H1735" s="16" t="n">
        <v>1</v>
      </c>
      <c r="I1735" s="33" t="n">
        <v>17012.4</v>
      </c>
      <c r="J1735" s="33" t="n">
        <v>17012.4</v>
      </c>
    </row>
    <row r="1736" customFormat="false" ht="15" hidden="false" customHeight="false" outlineLevel="0" collapsed="false">
      <c r="A1736" s="3" t="s">
        <v>2126</v>
      </c>
      <c r="B1736" s="3" t="s">
        <v>283</v>
      </c>
      <c r="C1736" s="3" t="s">
        <v>380</v>
      </c>
      <c r="D1736" s="3" t="s">
        <v>381</v>
      </c>
      <c r="E1736" s="3" t="s">
        <v>382</v>
      </c>
      <c r="F1736" s="16" t="n">
        <v>12</v>
      </c>
      <c r="G1736" s="15" t="n">
        <v>0</v>
      </c>
      <c r="H1736" s="16" t="n">
        <v>9</v>
      </c>
      <c r="I1736" s="33" t="n">
        <v>17009.88</v>
      </c>
      <c r="J1736" s="33" t="n">
        <v>17009.88</v>
      </c>
    </row>
    <row r="1737" customFormat="false" ht="15" hidden="false" customHeight="false" outlineLevel="0" collapsed="false">
      <c r="A1737" s="3" t="s">
        <v>2127</v>
      </c>
      <c r="B1737" s="3" t="s">
        <v>283</v>
      </c>
      <c r="C1737" s="3" t="s">
        <v>401</v>
      </c>
      <c r="D1737" s="3" t="s">
        <v>418</v>
      </c>
      <c r="E1737" s="3" t="s">
        <v>385</v>
      </c>
      <c r="F1737" s="16" t="n">
        <v>12</v>
      </c>
      <c r="G1737" s="15" t="n">
        <v>0</v>
      </c>
      <c r="H1737" s="16" t="n">
        <v>3</v>
      </c>
      <c r="I1737" s="33" t="n">
        <v>17006.04</v>
      </c>
      <c r="J1737" s="33" t="n">
        <v>17006.04</v>
      </c>
    </row>
    <row r="1738" customFormat="false" ht="15" hidden="false" customHeight="false" outlineLevel="0" collapsed="false">
      <c r="A1738" s="3" t="s">
        <v>2128</v>
      </c>
      <c r="B1738" s="3" t="s">
        <v>283</v>
      </c>
      <c r="C1738" s="3" t="s">
        <v>396</v>
      </c>
      <c r="D1738" s="3" t="s">
        <v>418</v>
      </c>
      <c r="E1738" s="3" t="s">
        <v>398</v>
      </c>
      <c r="F1738" s="16" t="n">
        <v>1</v>
      </c>
      <c r="G1738" s="15" t="n">
        <v>0.1</v>
      </c>
      <c r="H1738" s="16" t="n">
        <v>1</v>
      </c>
      <c r="I1738" s="33" t="n">
        <v>17002.56</v>
      </c>
      <c r="J1738" s="33" t="n">
        <v>18891.72</v>
      </c>
    </row>
    <row r="1739" customFormat="false" ht="15" hidden="false" customHeight="false" outlineLevel="0" collapsed="false">
      <c r="A1739" s="3" t="s">
        <v>2129</v>
      </c>
      <c r="B1739" s="3" t="s">
        <v>283</v>
      </c>
      <c r="C1739" s="3" t="s">
        <v>401</v>
      </c>
      <c r="D1739" s="3" t="s">
        <v>392</v>
      </c>
      <c r="E1739" s="3" t="s">
        <v>398</v>
      </c>
      <c r="F1739" s="16" t="n">
        <v>12</v>
      </c>
      <c r="G1739" s="15" t="n">
        <v>0</v>
      </c>
      <c r="H1739" s="16" t="n">
        <v>5</v>
      </c>
      <c r="I1739" s="33" t="n">
        <v>16999.08</v>
      </c>
      <c r="J1739" s="33" t="n">
        <v>16999.08</v>
      </c>
    </row>
    <row r="1740" customFormat="false" ht="15" hidden="false" customHeight="false" outlineLevel="0" collapsed="false">
      <c r="A1740" s="3" t="s">
        <v>2130</v>
      </c>
      <c r="B1740" s="3" t="s">
        <v>282</v>
      </c>
      <c r="C1740" s="3" t="s">
        <v>387</v>
      </c>
      <c r="D1740" s="3" t="s">
        <v>392</v>
      </c>
      <c r="E1740" s="3" t="s">
        <v>398</v>
      </c>
      <c r="F1740" s="16" t="n">
        <v>24</v>
      </c>
      <c r="G1740" s="15" t="n">
        <v>0.3</v>
      </c>
      <c r="H1740" s="16" t="n">
        <v>13</v>
      </c>
      <c r="I1740" s="33" t="n">
        <v>16973.64</v>
      </c>
      <c r="J1740" s="33" t="n">
        <v>24248.04</v>
      </c>
    </row>
    <row r="1741" customFormat="false" ht="15" hidden="false" customHeight="false" outlineLevel="0" collapsed="false">
      <c r="A1741" s="3" t="s">
        <v>2131</v>
      </c>
      <c r="B1741" s="3" t="s">
        <v>283</v>
      </c>
      <c r="C1741" s="3" t="s">
        <v>401</v>
      </c>
      <c r="D1741" s="3" t="s">
        <v>392</v>
      </c>
      <c r="E1741" s="3" t="s">
        <v>382</v>
      </c>
      <c r="F1741" s="16" t="n">
        <v>1</v>
      </c>
      <c r="G1741" s="15" t="n">
        <v>0</v>
      </c>
      <c r="H1741" s="16" t="n">
        <v>1</v>
      </c>
      <c r="I1741" s="33" t="n">
        <v>16953.36</v>
      </c>
      <c r="J1741" s="33" t="n">
        <v>16953.36</v>
      </c>
    </row>
    <row r="1742" customFormat="false" ht="15" hidden="false" customHeight="false" outlineLevel="0" collapsed="false">
      <c r="A1742" s="3" t="s">
        <v>2132</v>
      </c>
      <c r="B1742" s="3" t="s">
        <v>283</v>
      </c>
      <c r="C1742" s="3" t="s">
        <v>403</v>
      </c>
      <c r="D1742" s="3" t="s">
        <v>692</v>
      </c>
      <c r="E1742" s="3" t="s">
        <v>398</v>
      </c>
      <c r="F1742" s="16" t="n">
        <v>1</v>
      </c>
      <c r="G1742" s="15" t="n">
        <v>0</v>
      </c>
      <c r="H1742" s="16" t="n">
        <v>1</v>
      </c>
      <c r="I1742" s="33" t="n">
        <v>16946.88</v>
      </c>
      <c r="J1742" s="33" t="n">
        <v>16946.88</v>
      </c>
    </row>
    <row r="1743" customFormat="false" ht="15" hidden="false" customHeight="false" outlineLevel="0" collapsed="false">
      <c r="A1743" s="3" t="s">
        <v>2133</v>
      </c>
      <c r="B1743" s="3" t="s">
        <v>283</v>
      </c>
      <c r="C1743" s="3" t="s">
        <v>387</v>
      </c>
      <c r="D1743" s="3" t="s">
        <v>692</v>
      </c>
      <c r="E1743" s="3" t="s">
        <v>382</v>
      </c>
      <c r="F1743" s="16" t="n">
        <v>12</v>
      </c>
      <c r="G1743" s="15" t="n">
        <v>0</v>
      </c>
      <c r="H1743" s="16" t="n">
        <v>7</v>
      </c>
      <c r="I1743" s="33" t="n">
        <v>16945.8</v>
      </c>
      <c r="J1743" s="33" t="n">
        <v>16945.8</v>
      </c>
    </row>
    <row r="1744" customFormat="false" ht="15" hidden="false" customHeight="false" outlineLevel="0" collapsed="false">
      <c r="A1744" s="3" t="s">
        <v>2134</v>
      </c>
      <c r="B1744" s="3" t="s">
        <v>283</v>
      </c>
      <c r="C1744" s="3" t="s">
        <v>384</v>
      </c>
      <c r="D1744" s="3" t="s">
        <v>392</v>
      </c>
      <c r="E1744" s="3" t="s">
        <v>398</v>
      </c>
      <c r="F1744" s="16" t="n">
        <v>12</v>
      </c>
      <c r="G1744" s="15" t="n">
        <v>0</v>
      </c>
      <c r="H1744" s="16" t="n">
        <v>5</v>
      </c>
      <c r="I1744" s="33" t="n">
        <v>16931.76</v>
      </c>
      <c r="J1744" s="33" t="n">
        <v>16931.76</v>
      </c>
    </row>
    <row r="1745" customFormat="false" ht="15" hidden="false" customHeight="false" outlineLevel="0" collapsed="false">
      <c r="A1745" s="3" t="s">
        <v>2135</v>
      </c>
      <c r="B1745" s="3" t="s">
        <v>283</v>
      </c>
      <c r="C1745" s="3" t="s">
        <v>403</v>
      </c>
      <c r="D1745" s="3" t="s">
        <v>381</v>
      </c>
      <c r="E1745" s="3" t="s">
        <v>398</v>
      </c>
      <c r="F1745" s="16" t="n">
        <v>1</v>
      </c>
      <c r="G1745" s="15" t="n">
        <v>0</v>
      </c>
      <c r="H1745" s="16" t="n">
        <v>1</v>
      </c>
      <c r="I1745" s="33" t="n">
        <v>16928.76</v>
      </c>
      <c r="J1745" s="33" t="n">
        <v>16928.76</v>
      </c>
    </row>
    <row r="1746" customFormat="false" ht="15" hidden="false" customHeight="false" outlineLevel="0" collapsed="false">
      <c r="A1746" s="3" t="s">
        <v>2136</v>
      </c>
      <c r="B1746" s="3" t="s">
        <v>283</v>
      </c>
      <c r="C1746" s="3" t="s">
        <v>396</v>
      </c>
      <c r="D1746" s="3" t="s">
        <v>418</v>
      </c>
      <c r="E1746" s="3" t="s">
        <v>382</v>
      </c>
      <c r="F1746" s="16" t="n">
        <v>12</v>
      </c>
      <c r="G1746" s="15" t="n">
        <v>0</v>
      </c>
      <c r="H1746" s="16" t="n">
        <v>7</v>
      </c>
      <c r="I1746" s="33" t="n">
        <v>16925.16</v>
      </c>
      <c r="J1746" s="33" t="n">
        <v>16925.16</v>
      </c>
    </row>
    <row r="1747" customFormat="false" ht="15" hidden="false" customHeight="false" outlineLevel="0" collapsed="false">
      <c r="A1747" s="3" t="s">
        <v>2137</v>
      </c>
      <c r="B1747" s="3" t="s">
        <v>283</v>
      </c>
      <c r="C1747" s="3" t="s">
        <v>401</v>
      </c>
      <c r="D1747" s="3" t="s">
        <v>381</v>
      </c>
      <c r="E1747" s="3" t="s">
        <v>398</v>
      </c>
      <c r="F1747" s="16" t="n">
        <v>12</v>
      </c>
      <c r="G1747" s="15" t="n">
        <v>0</v>
      </c>
      <c r="H1747" s="16" t="n">
        <v>1</v>
      </c>
      <c r="I1747" s="33" t="n">
        <v>16923.24</v>
      </c>
      <c r="J1747" s="33" t="n">
        <v>16923.24</v>
      </c>
    </row>
    <row r="1748" customFormat="false" ht="15" hidden="false" customHeight="false" outlineLevel="0" collapsed="false">
      <c r="A1748" s="3" t="s">
        <v>2138</v>
      </c>
      <c r="B1748" s="3" t="s">
        <v>283</v>
      </c>
      <c r="C1748" s="3" t="s">
        <v>401</v>
      </c>
      <c r="D1748" s="3" t="s">
        <v>692</v>
      </c>
      <c r="E1748" s="3" t="s">
        <v>398</v>
      </c>
      <c r="F1748" s="16" t="n">
        <v>12</v>
      </c>
      <c r="G1748" s="15" t="n">
        <v>0</v>
      </c>
      <c r="H1748" s="16" t="n">
        <v>3</v>
      </c>
      <c r="I1748" s="33" t="n">
        <v>16915.56</v>
      </c>
      <c r="J1748" s="33" t="n">
        <v>16915.56</v>
      </c>
    </row>
    <row r="1749" customFormat="false" ht="15" hidden="false" customHeight="false" outlineLevel="0" collapsed="false">
      <c r="A1749" s="3" t="s">
        <v>2139</v>
      </c>
      <c r="B1749" s="3" t="s">
        <v>283</v>
      </c>
      <c r="C1749" s="3" t="s">
        <v>384</v>
      </c>
      <c r="D1749" s="3" t="s">
        <v>392</v>
      </c>
      <c r="E1749" s="3" t="s">
        <v>398</v>
      </c>
      <c r="F1749" s="16" t="n">
        <v>12</v>
      </c>
      <c r="G1749" s="15" t="n">
        <v>0</v>
      </c>
      <c r="H1749" s="16" t="n">
        <v>12</v>
      </c>
      <c r="I1749" s="33" t="n">
        <v>16908.6</v>
      </c>
      <c r="J1749" s="33" t="n">
        <v>16908.6</v>
      </c>
    </row>
    <row r="1750" customFormat="false" ht="15" hidden="false" customHeight="false" outlineLevel="0" collapsed="false">
      <c r="A1750" s="3" t="s">
        <v>2140</v>
      </c>
      <c r="B1750" s="3" t="s">
        <v>283</v>
      </c>
      <c r="C1750" s="3" t="s">
        <v>401</v>
      </c>
      <c r="D1750" s="3" t="s">
        <v>392</v>
      </c>
      <c r="E1750" s="3" t="s">
        <v>398</v>
      </c>
      <c r="F1750" s="16" t="n">
        <v>1</v>
      </c>
      <c r="G1750" s="15" t="n">
        <v>0</v>
      </c>
      <c r="H1750" s="16" t="n">
        <v>1</v>
      </c>
      <c r="I1750" s="33" t="n">
        <v>16893.84</v>
      </c>
      <c r="J1750" s="33" t="n">
        <v>16893.84</v>
      </c>
    </row>
    <row r="1751" customFormat="false" ht="15" hidden="false" customHeight="false" outlineLevel="0" collapsed="false">
      <c r="A1751" s="3" t="s">
        <v>2141</v>
      </c>
      <c r="B1751" s="3" t="s">
        <v>283</v>
      </c>
      <c r="C1751" s="3" t="s">
        <v>384</v>
      </c>
      <c r="D1751" s="3" t="s">
        <v>418</v>
      </c>
      <c r="E1751" s="3" t="s">
        <v>382</v>
      </c>
      <c r="F1751" s="16" t="n">
        <v>1</v>
      </c>
      <c r="G1751" s="15" t="n">
        <v>0</v>
      </c>
      <c r="H1751" s="16" t="n">
        <v>1</v>
      </c>
      <c r="I1751" s="33" t="n">
        <v>16869.12</v>
      </c>
      <c r="J1751" s="33" t="n">
        <v>16869.12</v>
      </c>
    </row>
    <row r="1752" customFormat="false" ht="15" hidden="false" customHeight="false" outlineLevel="0" collapsed="false">
      <c r="A1752" s="3" t="s">
        <v>2142</v>
      </c>
      <c r="B1752" s="3" t="s">
        <v>282</v>
      </c>
      <c r="C1752" s="3" t="s">
        <v>401</v>
      </c>
      <c r="D1752" s="3" t="s">
        <v>392</v>
      </c>
      <c r="E1752" s="3" t="s">
        <v>398</v>
      </c>
      <c r="F1752" s="16" t="n">
        <v>12</v>
      </c>
      <c r="G1752" s="15" t="n">
        <v>0.2</v>
      </c>
      <c r="H1752" s="16" t="n">
        <v>10</v>
      </c>
      <c r="I1752" s="33" t="n">
        <v>16865.04</v>
      </c>
      <c r="J1752" s="33" t="n">
        <v>21081.36</v>
      </c>
    </row>
    <row r="1753" customFormat="false" ht="15" hidden="false" customHeight="false" outlineLevel="0" collapsed="false">
      <c r="A1753" s="3" t="s">
        <v>2143</v>
      </c>
      <c r="B1753" s="3" t="s">
        <v>282</v>
      </c>
      <c r="C1753" s="3" t="s">
        <v>405</v>
      </c>
      <c r="D1753" s="3" t="s">
        <v>392</v>
      </c>
      <c r="E1753" s="3" t="s">
        <v>382</v>
      </c>
      <c r="F1753" s="16" t="n">
        <v>24</v>
      </c>
      <c r="G1753" s="15" t="n">
        <v>0.1</v>
      </c>
      <c r="H1753" s="16" t="n">
        <v>20</v>
      </c>
      <c r="I1753" s="33" t="n">
        <v>16850.4</v>
      </c>
      <c r="J1753" s="33" t="n">
        <v>18722.64</v>
      </c>
    </row>
    <row r="1754" customFormat="false" ht="15" hidden="false" customHeight="false" outlineLevel="0" collapsed="false">
      <c r="A1754" s="3" t="s">
        <v>2144</v>
      </c>
      <c r="B1754" s="3" t="s">
        <v>283</v>
      </c>
      <c r="C1754" s="3" t="s">
        <v>384</v>
      </c>
      <c r="D1754" s="3" t="s">
        <v>692</v>
      </c>
      <c r="E1754" s="3" t="s">
        <v>382</v>
      </c>
      <c r="F1754" s="16" t="n">
        <v>12</v>
      </c>
      <c r="G1754" s="15" t="n">
        <v>0.15</v>
      </c>
      <c r="H1754" s="16" t="n">
        <v>6</v>
      </c>
      <c r="I1754" s="33" t="n">
        <v>16827.12</v>
      </c>
      <c r="J1754" s="33" t="n">
        <v>19796.64</v>
      </c>
    </row>
    <row r="1755" customFormat="false" ht="15" hidden="false" customHeight="false" outlineLevel="0" collapsed="false">
      <c r="A1755" s="3" t="s">
        <v>2145</v>
      </c>
      <c r="B1755" s="3" t="s">
        <v>283</v>
      </c>
      <c r="C1755" s="3" t="s">
        <v>403</v>
      </c>
      <c r="D1755" s="3" t="s">
        <v>392</v>
      </c>
      <c r="E1755" s="3" t="s">
        <v>398</v>
      </c>
      <c r="F1755" s="16" t="n">
        <v>1</v>
      </c>
      <c r="G1755" s="15" t="n">
        <v>0</v>
      </c>
      <c r="H1755" s="16" t="n">
        <v>1</v>
      </c>
      <c r="I1755" s="33" t="n">
        <v>16824.48</v>
      </c>
      <c r="J1755" s="33" t="n">
        <v>16824.48</v>
      </c>
    </row>
    <row r="1756" customFormat="false" ht="15" hidden="false" customHeight="false" outlineLevel="0" collapsed="false">
      <c r="A1756" s="3" t="s">
        <v>2146</v>
      </c>
      <c r="B1756" s="3" t="s">
        <v>283</v>
      </c>
      <c r="C1756" s="3" t="s">
        <v>405</v>
      </c>
      <c r="D1756" s="3" t="s">
        <v>692</v>
      </c>
      <c r="E1756" s="3" t="s">
        <v>385</v>
      </c>
      <c r="F1756" s="16" t="n">
        <v>12</v>
      </c>
      <c r="G1756" s="15" t="n">
        <v>0.1</v>
      </c>
      <c r="H1756" s="16" t="n">
        <v>9</v>
      </c>
      <c r="I1756" s="33" t="n">
        <v>16814.4</v>
      </c>
      <c r="J1756" s="33" t="n">
        <v>18682.68</v>
      </c>
    </row>
    <row r="1757" customFormat="false" ht="15" hidden="false" customHeight="false" outlineLevel="0" collapsed="false">
      <c r="A1757" s="3" t="s">
        <v>2147</v>
      </c>
      <c r="B1757" s="3" t="s">
        <v>283</v>
      </c>
      <c r="C1757" s="3" t="s">
        <v>396</v>
      </c>
      <c r="D1757" s="3" t="s">
        <v>692</v>
      </c>
      <c r="E1757" s="3" t="s">
        <v>385</v>
      </c>
      <c r="F1757" s="16" t="n">
        <v>1</v>
      </c>
      <c r="G1757" s="15" t="n">
        <v>0</v>
      </c>
      <c r="H1757" s="16" t="n">
        <v>1</v>
      </c>
      <c r="I1757" s="33" t="n">
        <v>16811.76</v>
      </c>
      <c r="J1757" s="33" t="n">
        <v>16811.76</v>
      </c>
    </row>
    <row r="1758" customFormat="false" ht="15" hidden="false" customHeight="false" outlineLevel="0" collapsed="false">
      <c r="A1758" s="3" t="s">
        <v>2148</v>
      </c>
      <c r="B1758" s="3" t="s">
        <v>282</v>
      </c>
      <c r="C1758" s="3" t="s">
        <v>401</v>
      </c>
      <c r="D1758" s="3" t="s">
        <v>381</v>
      </c>
      <c r="E1758" s="3" t="s">
        <v>398</v>
      </c>
      <c r="F1758" s="16" t="n">
        <v>12</v>
      </c>
      <c r="G1758" s="15" t="n">
        <v>0.1</v>
      </c>
      <c r="H1758" s="16" t="n">
        <v>9</v>
      </c>
      <c r="I1758" s="33" t="n">
        <v>16807.8</v>
      </c>
      <c r="J1758" s="33" t="n">
        <v>18675.36</v>
      </c>
    </row>
    <row r="1759" customFormat="false" ht="15" hidden="false" customHeight="false" outlineLevel="0" collapsed="false">
      <c r="A1759" s="3" t="s">
        <v>2149</v>
      </c>
      <c r="B1759" s="3" t="s">
        <v>283</v>
      </c>
      <c r="C1759" s="3" t="s">
        <v>403</v>
      </c>
      <c r="D1759" s="3" t="s">
        <v>418</v>
      </c>
      <c r="E1759" s="3" t="s">
        <v>385</v>
      </c>
      <c r="F1759" s="16" t="n">
        <v>12</v>
      </c>
      <c r="G1759" s="15" t="n">
        <v>0</v>
      </c>
      <c r="H1759" s="16" t="n">
        <v>5</v>
      </c>
      <c r="I1759" s="33" t="n">
        <v>16710.84</v>
      </c>
      <c r="J1759" s="33" t="n">
        <v>16710.84</v>
      </c>
    </row>
    <row r="1760" customFormat="false" ht="15" hidden="false" customHeight="false" outlineLevel="0" collapsed="false">
      <c r="A1760" s="3" t="s">
        <v>2150</v>
      </c>
      <c r="B1760" s="3" t="s">
        <v>283</v>
      </c>
      <c r="C1760" s="3" t="s">
        <v>384</v>
      </c>
      <c r="D1760" s="3" t="s">
        <v>381</v>
      </c>
      <c r="E1760" s="3" t="s">
        <v>398</v>
      </c>
      <c r="F1760" s="16" t="n">
        <v>1</v>
      </c>
      <c r="G1760" s="15" t="n">
        <v>0.125</v>
      </c>
      <c r="H1760" s="16" t="n">
        <v>1</v>
      </c>
      <c r="I1760" s="33" t="n">
        <v>16701.96</v>
      </c>
      <c r="J1760" s="33" t="n">
        <v>19088.04</v>
      </c>
    </row>
    <row r="1761" customFormat="false" ht="15" hidden="false" customHeight="false" outlineLevel="0" collapsed="false">
      <c r="A1761" s="3" t="s">
        <v>2151</v>
      </c>
      <c r="B1761" s="3" t="s">
        <v>283</v>
      </c>
      <c r="C1761" s="3" t="s">
        <v>403</v>
      </c>
      <c r="D1761" s="3" t="s">
        <v>392</v>
      </c>
      <c r="E1761" s="3" t="s">
        <v>382</v>
      </c>
      <c r="F1761" s="16" t="n">
        <v>12</v>
      </c>
      <c r="G1761" s="15" t="n">
        <v>0.1</v>
      </c>
      <c r="H1761" s="16" t="n">
        <v>11</v>
      </c>
      <c r="I1761" s="33" t="n">
        <v>16696.56</v>
      </c>
      <c r="J1761" s="33" t="n">
        <v>18551.76</v>
      </c>
    </row>
    <row r="1762" customFormat="false" ht="15" hidden="false" customHeight="false" outlineLevel="0" collapsed="false">
      <c r="A1762" s="3" t="s">
        <v>2152</v>
      </c>
      <c r="B1762" s="3" t="s">
        <v>283</v>
      </c>
      <c r="C1762" s="3" t="s">
        <v>403</v>
      </c>
      <c r="D1762" s="3" t="s">
        <v>392</v>
      </c>
      <c r="E1762" s="3" t="s">
        <v>382</v>
      </c>
      <c r="F1762" s="16" t="n">
        <v>1</v>
      </c>
      <c r="G1762" s="15" t="n">
        <v>0</v>
      </c>
      <c r="H1762" s="16" t="n">
        <v>1</v>
      </c>
      <c r="I1762" s="33" t="n">
        <v>16666.92</v>
      </c>
      <c r="J1762" s="33" t="n">
        <v>16666.92</v>
      </c>
    </row>
    <row r="1763" customFormat="false" ht="15" hidden="false" customHeight="false" outlineLevel="0" collapsed="false">
      <c r="A1763" s="3" t="s">
        <v>2153</v>
      </c>
      <c r="B1763" s="3" t="s">
        <v>283</v>
      </c>
      <c r="C1763" s="3" t="s">
        <v>403</v>
      </c>
      <c r="D1763" s="3" t="s">
        <v>381</v>
      </c>
      <c r="E1763" s="3" t="s">
        <v>382</v>
      </c>
      <c r="F1763" s="16" t="n">
        <v>12</v>
      </c>
      <c r="G1763" s="15" t="n">
        <v>0</v>
      </c>
      <c r="H1763" s="16" t="n">
        <v>4</v>
      </c>
      <c r="I1763" s="33" t="n">
        <v>16645.68</v>
      </c>
      <c r="J1763" s="33" t="n">
        <v>16645.68</v>
      </c>
    </row>
    <row r="1764" customFormat="false" ht="15" hidden="false" customHeight="false" outlineLevel="0" collapsed="false">
      <c r="A1764" s="3" t="s">
        <v>2154</v>
      </c>
      <c r="B1764" s="3" t="s">
        <v>283</v>
      </c>
      <c r="C1764" s="3" t="s">
        <v>401</v>
      </c>
      <c r="D1764" s="3" t="s">
        <v>692</v>
      </c>
      <c r="E1764" s="3" t="s">
        <v>398</v>
      </c>
      <c r="F1764" s="16" t="n">
        <v>1</v>
      </c>
      <c r="G1764" s="15" t="n">
        <v>0</v>
      </c>
      <c r="H1764" s="16" t="n">
        <v>1</v>
      </c>
      <c r="I1764" s="33" t="n">
        <v>16643.64</v>
      </c>
      <c r="J1764" s="33" t="n">
        <v>16643.64</v>
      </c>
    </row>
    <row r="1765" customFormat="false" ht="15" hidden="false" customHeight="false" outlineLevel="0" collapsed="false">
      <c r="A1765" s="3" t="s">
        <v>2155</v>
      </c>
      <c r="B1765" s="3" t="s">
        <v>283</v>
      </c>
      <c r="C1765" s="3" t="s">
        <v>403</v>
      </c>
      <c r="D1765" s="3" t="s">
        <v>392</v>
      </c>
      <c r="E1765" s="3" t="s">
        <v>398</v>
      </c>
      <c r="F1765" s="16" t="n">
        <v>1</v>
      </c>
      <c r="G1765" s="15" t="n">
        <v>0</v>
      </c>
      <c r="H1765" s="16" t="n">
        <v>1</v>
      </c>
      <c r="I1765" s="33" t="n">
        <v>16635.6</v>
      </c>
      <c r="J1765" s="33" t="n">
        <v>16635.6</v>
      </c>
    </row>
    <row r="1766" customFormat="false" ht="15" hidden="false" customHeight="false" outlineLevel="0" collapsed="false">
      <c r="A1766" s="3" t="s">
        <v>2156</v>
      </c>
      <c r="B1766" s="3" t="s">
        <v>283</v>
      </c>
      <c r="C1766" s="3" t="s">
        <v>387</v>
      </c>
      <c r="D1766" s="3" t="s">
        <v>388</v>
      </c>
      <c r="E1766" s="3" t="s">
        <v>398</v>
      </c>
      <c r="F1766" s="16" t="n">
        <v>12</v>
      </c>
      <c r="G1766" s="15" t="n">
        <v>0</v>
      </c>
      <c r="H1766" s="16" t="n">
        <v>10</v>
      </c>
      <c r="I1766" s="33" t="n">
        <v>16633.8</v>
      </c>
      <c r="J1766" s="33" t="n">
        <v>16633.8</v>
      </c>
    </row>
    <row r="1767" customFormat="false" ht="15" hidden="false" customHeight="false" outlineLevel="0" collapsed="false">
      <c r="A1767" s="3" t="s">
        <v>2157</v>
      </c>
      <c r="B1767" s="3" t="s">
        <v>283</v>
      </c>
      <c r="C1767" s="3" t="s">
        <v>380</v>
      </c>
      <c r="D1767" s="3" t="s">
        <v>418</v>
      </c>
      <c r="E1767" s="3" t="s">
        <v>398</v>
      </c>
      <c r="F1767" s="16" t="n">
        <v>12</v>
      </c>
      <c r="G1767" s="15" t="n">
        <v>0</v>
      </c>
      <c r="H1767" s="16" t="n">
        <v>8</v>
      </c>
      <c r="I1767" s="33" t="n">
        <v>16626.24</v>
      </c>
      <c r="J1767" s="33" t="n">
        <v>16626.24</v>
      </c>
    </row>
    <row r="1768" customFormat="false" ht="15" hidden="false" customHeight="false" outlineLevel="0" collapsed="false">
      <c r="A1768" s="3" t="s">
        <v>2158</v>
      </c>
      <c r="B1768" s="3" t="s">
        <v>283</v>
      </c>
      <c r="C1768" s="3" t="s">
        <v>401</v>
      </c>
      <c r="D1768" s="3" t="s">
        <v>388</v>
      </c>
      <c r="E1768" s="3" t="s">
        <v>398</v>
      </c>
      <c r="F1768" s="16" t="n">
        <v>1</v>
      </c>
      <c r="G1768" s="15" t="n">
        <v>0</v>
      </c>
      <c r="H1768" s="16" t="n">
        <v>1</v>
      </c>
      <c r="I1768" s="33" t="n">
        <v>16566.72</v>
      </c>
      <c r="J1768" s="33" t="n">
        <v>16566.72</v>
      </c>
    </row>
    <row r="1769" customFormat="false" ht="15" hidden="false" customHeight="false" outlineLevel="0" collapsed="false">
      <c r="A1769" s="3" t="s">
        <v>2159</v>
      </c>
      <c r="B1769" s="3" t="s">
        <v>283</v>
      </c>
      <c r="C1769" s="3" t="s">
        <v>401</v>
      </c>
      <c r="D1769" s="3" t="s">
        <v>692</v>
      </c>
      <c r="E1769" s="3" t="s">
        <v>398</v>
      </c>
      <c r="F1769" s="16" t="n">
        <v>12</v>
      </c>
      <c r="G1769" s="15" t="n">
        <v>0</v>
      </c>
      <c r="H1769" s="16" t="n">
        <v>3</v>
      </c>
      <c r="I1769" s="33" t="n">
        <v>16551.72</v>
      </c>
      <c r="J1769" s="33" t="n">
        <v>16551.72</v>
      </c>
    </row>
    <row r="1770" customFormat="false" ht="15" hidden="false" customHeight="false" outlineLevel="0" collapsed="false">
      <c r="A1770" s="3" t="s">
        <v>2160</v>
      </c>
      <c r="B1770" s="3" t="s">
        <v>283</v>
      </c>
      <c r="C1770" s="3" t="s">
        <v>405</v>
      </c>
      <c r="D1770" s="3" t="s">
        <v>392</v>
      </c>
      <c r="E1770" s="3" t="s">
        <v>382</v>
      </c>
      <c r="F1770" s="16" t="n">
        <v>1</v>
      </c>
      <c r="G1770" s="15" t="n">
        <v>0.1</v>
      </c>
      <c r="H1770" s="16" t="n">
        <v>1</v>
      </c>
      <c r="I1770" s="33" t="n">
        <v>16521.12</v>
      </c>
      <c r="J1770" s="33" t="n">
        <v>18356.76</v>
      </c>
    </row>
    <row r="1771" customFormat="false" ht="15" hidden="false" customHeight="false" outlineLevel="0" collapsed="false">
      <c r="A1771" s="3" t="s">
        <v>2161</v>
      </c>
      <c r="B1771" s="3" t="s">
        <v>283</v>
      </c>
      <c r="C1771" s="3" t="s">
        <v>384</v>
      </c>
      <c r="D1771" s="3" t="s">
        <v>418</v>
      </c>
      <c r="E1771" s="3" t="s">
        <v>382</v>
      </c>
      <c r="F1771" s="16" t="n">
        <v>1</v>
      </c>
      <c r="G1771" s="15" t="n">
        <v>0</v>
      </c>
      <c r="H1771" s="16" t="n">
        <v>1</v>
      </c>
      <c r="I1771" s="33" t="n">
        <v>16515.12</v>
      </c>
      <c r="J1771" s="33" t="n">
        <v>16515.12</v>
      </c>
    </row>
    <row r="1772" customFormat="false" ht="15" hidden="false" customHeight="false" outlineLevel="0" collapsed="false">
      <c r="A1772" s="3" t="s">
        <v>2162</v>
      </c>
      <c r="B1772" s="3" t="s">
        <v>282</v>
      </c>
      <c r="C1772" s="3" t="s">
        <v>387</v>
      </c>
      <c r="D1772" s="3" t="s">
        <v>388</v>
      </c>
      <c r="E1772" s="3" t="s">
        <v>382</v>
      </c>
      <c r="F1772" s="16" t="n">
        <v>24</v>
      </c>
      <c r="G1772" s="15" t="n">
        <v>0.25</v>
      </c>
      <c r="H1772" s="16" t="n">
        <v>21</v>
      </c>
      <c r="I1772" s="33" t="n">
        <v>16507.08</v>
      </c>
      <c r="J1772" s="33" t="n">
        <v>22009.44</v>
      </c>
    </row>
    <row r="1773" customFormat="false" ht="15" hidden="false" customHeight="false" outlineLevel="0" collapsed="false">
      <c r="A1773" s="3" t="s">
        <v>2163</v>
      </c>
      <c r="B1773" s="3" t="s">
        <v>283</v>
      </c>
      <c r="C1773" s="3" t="s">
        <v>380</v>
      </c>
      <c r="D1773" s="3" t="s">
        <v>692</v>
      </c>
      <c r="E1773" s="3" t="s">
        <v>382</v>
      </c>
      <c r="F1773" s="16" t="n">
        <v>12</v>
      </c>
      <c r="G1773" s="15" t="n">
        <v>0</v>
      </c>
      <c r="H1773" s="16" t="n">
        <v>9</v>
      </c>
      <c r="I1773" s="33" t="n">
        <v>16464.72</v>
      </c>
      <c r="J1773" s="33" t="n">
        <v>16464.72</v>
      </c>
    </row>
    <row r="1774" customFormat="false" ht="15" hidden="false" customHeight="false" outlineLevel="0" collapsed="false">
      <c r="A1774" s="3" t="s">
        <v>2164</v>
      </c>
      <c r="B1774" s="3" t="s">
        <v>283</v>
      </c>
      <c r="C1774" s="3" t="s">
        <v>403</v>
      </c>
      <c r="D1774" s="3" t="s">
        <v>692</v>
      </c>
      <c r="E1774" s="3" t="s">
        <v>398</v>
      </c>
      <c r="F1774" s="16" t="n">
        <v>1</v>
      </c>
      <c r="G1774" s="15" t="n">
        <v>0</v>
      </c>
      <c r="H1774" s="16" t="n">
        <v>1</v>
      </c>
      <c r="I1774" s="33" t="n">
        <v>16458.36</v>
      </c>
      <c r="J1774" s="33" t="n">
        <v>16458.36</v>
      </c>
    </row>
    <row r="1775" customFormat="false" ht="15" hidden="false" customHeight="false" outlineLevel="0" collapsed="false">
      <c r="A1775" s="3" t="s">
        <v>2165</v>
      </c>
      <c r="B1775" s="3" t="s">
        <v>283</v>
      </c>
      <c r="C1775" s="3" t="s">
        <v>396</v>
      </c>
      <c r="D1775" s="3" t="s">
        <v>692</v>
      </c>
      <c r="E1775" s="3" t="s">
        <v>398</v>
      </c>
      <c r="F1775" s="16" t="n">
        <v>1</v>
      </c>
      <c r="G1775" s="15" t="n">
        <v>0</v>
      </c>
      <c r="H1775" s="16" t="n">
        <v>1</v>
      </c>
      <c r="I1775" s="33" t="n">
        <v>16446.36</v>
      </c>
      <c r="J1775" s="33" t="n">
        <v>16446.36</v>
      </c>
    </row>
    <row r="1776" customFormat="false" ht="15" hidden="false" customHeight="false" outlineLevel="0" collapsed="false">
      <c r="A1776" s="3" t="s">
        <v>2166</v>
      </c>
      <c r="B1776" s="3" t="s">
        <v>283</v>
      </c>
      <c r="C1776" s="3" t="s">
        <v>396</v>
      </c>
      <c r="D1776" s="3" t="s">
        <v>692</v>
      </c>
      <c r="E1776" s="3" t="s">
        <v>385</v>
      </c>
      <c r="F1776" s="16" t="n">
        <v>1</v>
      </c>
      <c r="G1776" s="15" t="n">
        <v>0.1</v>
      </c>
      <c r="H1776" s="16" t="n">
        <v>1</v>
      </c>
      <c r="I1776" s="33" t="n">
        <v>16352.52</v>
      </c>
      <c r="J1776" s="33" t="n">
        <v>18169.56</v>
      </c>
    </row>
    <row r="1777" customFormat="false" ht="15" hidden="false" customHeight="false" outlineLevel="0" collapsed="false">
      <c r="A1777" s="3" t="s">
        <v>2167</v>
      </c>
      <c r="B1777" s="3" t="s">
        <v>282</v>
      </c>
      <c r="C1777" s="3" t="s">
        <v>405</v>
      </c>
      <c r="D1777" s="3" t="s">
        <v>388</v>
      </c>
      <c r="E1777" s="3" t="s">
        <v>382</v>
      </c>
      <c r="F1777" s="16" t="n">
        <v>12</v>
      </c>
      <c r="G1777" s="15" t="n">
        <v>0</v>
      </c>
      <c r="H1777" s="16" t="n">
        <v>11</v>
      </c>
      <c r="I1777" s="33" t="n">
        <v>16341.72</v>
      </c>
      <c r="J1777" s="33" t="n">
        <v>16341.72</v>
      </c>
    </row>
    <row r="1778" customFormat="false" ht="15" hidden="false" customHeight="false" outlineLevel="0" collapsed="false">
      <c r="A1778" s="3" t="s">
        <v>2168</v>
      </c>
      <c r="B1778" s="3" t="s">
        <v>283</v>
      </c>
      <c r="C1778" s="3" t="s">
        <v>405</v>
      </c>
      <c r="D1778" s="3" t="s">
        <v>388</v>
      </c>
      <c r="E1778" s="3" t="s">
        <v>398</v>
      </c>
      <c r="F1778" s="16" t="n">
        <v>1</v>
      </c>
      <c r="G1778" s="15" t="n">
        <v>0</v>
      </c>
      <c r="H1778" s="16" t="n">
        <v>1</v>
      </c>
      <c r="I1778" s="33" t="n">
        <v>16337.16</v>
      </c>
      <c r="J1778" s="33" t="n">
        <v>16337.16</v>
      </c>
    </row>
    <row r="1779" customFormat="false" ht="15" hidden="false" customHeight="false" outlineLevel="0" collapsed="false">
      <c r="A1779" s="3" t="s">
        <v>2169</v>
      </c>
      <c r="B1779" s="3" t="s">
        <v>283</v>
      </c>
      <c r="C1779" s="3" t="s">
        <v>401</v>
      </c>
      <c r="D1779" s="3" t="s">
        <v>392</v>
      </c>
      <c r="E1779" s="3" t="s">
        <v>382</v>
      </c>
      <c r="F1779" s="16" t="n">
        <v>12</v>
      </c>
      <c r="G1779" s="15" t="n">
        <v>0.1</v>
      </c>
      <c r="H1779" s="16" t="n">
        <v>2</v>
      </c>
      <c r="I1779" s="33" t="n">
        <v>16305.24</v>
      </c>
      <c r="J1779" s="33" t="n">
        <v>18116.88</v>
      </c>
    </row>
    <row r="1780" customFormat="false" ht="15" hidden="false" customHeight="false" outlineLevel="0" collapsed="false">
      <c r="A1780" s="3" t="s">
        <v>2170</v>
      </c>
      <c r="B1780" s="3" t="s">
        <v>283</v>
      </c>
      <c r="C1780" s="3" t="s">
        <v>401</v>
      </c>
      <c r="D1780" s="3" t="s">
        <v>381</v>
      </c>
      <c r="E1780" s="3" t="s">
        <v>382</v>
      </c>
      <c r="F1780" s="16" t="n">
        <v>1</v>
      </c>
      <c r="G1780" s="15" t="n">
        <v>0</v>
      </c>
      <c r="H1780" s="16" t="n">
        <v>1</v>
      </c>
      <c r="I1780" s="33" t="n">
        <v>16301.76</v>
      </c>
      <c r="J1780" s="33" t="n">
        <v>16301.76</v>
      </c>
    </row>
    <row r="1781" customFormat="false" ht="15" hidden="false" customHeight="false" outlineLevel="0" collapsed="false">
      <c r="A1781" s="3" t="s">
        <v>2171</v>
      </c>
      <c r="B1781" s="3" t="s">
        <v>283</v>
      </c>
      <c r="C1781" s="3" t="s">
        <v>380</v>
      </c>
      <c r="D1781" s="3" t="s">
        <v>692</v>
      </c>
      <c r="E1781" s="3" t="s">
        <v>398</v>
      </c>
      <c r="F1781" s="16" t="n">
        <v>1</v>
      </c>
      <c r="G1781" s="15" t="n">
        <v>0</v>
      </c>
      <c r="H1781" s="16" t="n">
        <v>1</v>
      </c>
      <c r="I1781" s="33" t="n">
        <v>16294.08</v>
      </c>
      <c r="J1781" s="33" t="n">
        <v>16294.08</v>
      </c>
    </row>
    <row r="1782" customFormat="false" ht="15" hidden="false" customHeight="false" outlineLevel="0" collapsed="false">
      <c r="A1782" s="3" t="s">
        <v>2172</v>
      </c>
      <c r="B1782" s="3" t="s">
        <v>283</v>
      </c>
      <c r="C1782" s="3" t="s">
        <v>387</v>
      </c>
      <c r="D1782" s="3" t="s">
        <v>392</v>
      </c>
      <c r="E1782" s="3" t="s">
        <v>398</v>
      </c>
      <c r="F1782" s="16" t="n">
        <v>1</v>
      </c>
      <c r="G1782" s="15" t="n">
        <v>0</v>
      </c>
      <c r="H1782" s="16" t="n">
        <v>1</v>
      </c>
      <c r="I1782" s="33" t="n">
        <v>16293.6</v>
      </c>
      <c r="J1782" s="33" t="n">
        <v>16293.6</v>
      </c>
    </row>
    <row r="1783" customFormat="false" ht="15" hidden="false" customHeight="false" outlineLevel="0" collapsed="false">
      <c r="A1783" s="3" t="s">
        <v>2173</v>
      </c>
      <c r="B1783" s="3" t="s">
        <v>282</v>
      </c>
      <c r="C1783" s="3" t="s">
        <v>384</v>
      </c>
      <c r="D1783" s="3" t="s">
        <v>381</v>
      </c>
      <c r="E1783" s="3" t="s">
        <v>385</v>
      </c>
      <c r="F1783" s="16" t="n">
        <v>12</v>
      </c>
      <c r="G1783" s="15" t="n">
        <v>0</v>
      </c>
      <c r="H1783" s="16" t="n">
        <v>5</v>
      </c>
      <c r="I1783" s="33" t="n">
        <v>16292.52</v>
      </c>
      <c r="J1783" s="33" t="n">
        <v>16292.52</v>
      </c>
    </row>
    <row r="1784" customFormat="false" ht="15" hidden="false" customHeight="false" outlineLevel="0" collapsed="false">
      <c r="A1784" s="3" t="s">
        <v>2174</v>
      </c>
      <c r="B1784" s="3" t="s">
        <v>283</v>
      </c>
      <c r="C1784" s="3" t="s">
        <v>384</v>
      </c>
      <c r="D1784" s="3" t="s">
        <v>692</v>
      </c>
      <c r="E1784" s="3" t="s">
        <v>398</v>
      </c>
      <c r="F1784" s="16" t="n">
        <v>1</v>
      </c>
      <c r="G1784" s="15" t="n">
        <v>0</v>
      </c>
      <c r="H1784" s="16" t="n">
        <v>1</v>
      </c>
      <c r="I1784" s="33" t="n">
        <v>16267.2</v>
      </c>
      <c r="J1784" s="33" t="n">
        <v>16267.2</v>
      </c>
    </row>
    <row r="1785" customFormat="false" ht="15" hidden="false" customHeight="false" outlineLevel="0" collapsed="false">
      <c r="A1785" s="3" t="s">
        <v>2175</v>
      </c>
      <c r="B1785" s="3" t="s">
        <v>283</v>
      </c>
      <c r="C1785" s="3" t="s">
        <v>396</v>
      </c>
      <c r="D1785" s="3" t="s">
        <v>692</v>
      </c>
      <c r="E1785" s="3" t="s">
        <v>385</v>
      </c>
      <c r="F1785" s="16" t="n">
        <v>12</v>
      </c>
      <c r="G1785" s="15" t="n">
        <v>0</v>
      </c>
      <c r="H1785" s="16" t="n">
        <v>3</v>
      </c>
      <c r="I1785" s="33" t="n">
        <v>16246.92</v>
      </c>
      <c r="J1785" s="33" t="n">
        <v>16246.92</v>
      </c>
    </row>
    <row r="1786" customFormat="false" ht="15" hidden="false" customHeight="false" outlineLevel="0" collapsed="false">
      <c r="A1786" s="3" t="s">
        <v>2176</v>
      </c>
      <c r="B1786" s="3" t="s">
        <v>282</v>
      </c>
      <c r="C1786" s="3" t="s">
        <v>384</v>
      </c>
      <c r="D1786" s="3" t="s">
        <v>418</v>
      </c>
      <c r="E1786" s="3" t="s">
        <v>398</v>
      </c>
      <c r="F1786" s="16" t="n">
        <v>12</v>
      </c>
      <c r="G1786" s="15" t="n">
        <v>0.1</v>
      </c>
      <c r="H1786" s="16" t="n">
        <v>9</v>
      </c>
      <c r="I1786" s="33" t="n">
        <v>16238.64</v>
      </c>
      <c r="J1786" s="33" t="n">
        <v>18042.96</v>
      </c>
    </row>
    <row r="1787" customFormat="false" ht="15" hidden="false" customHeight="false" outlineLevel="0" collapsed="false">
      <c r="A1787" s="3" t="s">
        <v>2177</v>
      </c>
      <c r="B1787" s="3" t="s">
        <v>283</v>
      </c>
      <c r="C1787" s="3" t="s">
        <v>384</v>
      </c>
      <c r="D1787" s="3" t="s">
        <v>692</v>
      </c>
      <c r="E1787" s="3" t="s">
        <v>398</v>
      </c>
      <c r="F1787" s="16" t="n">
        <v>1</v>
      </c>
      <c r="G1787" s="15" t="n">
        <v>0</v>
      </c>
      <c r="H1787" s="16" t="n">
        <v>1</v>
      </c>
      <c r="I1787" s="33" t="n">
        <v>16236.96</v>
      </c>
      <c r="J1787" s="33" t="n">
        <v>16236.96</v>
      </c>
    </row>
    <row r="1788" customFormat="false" ht="15" hidden="false" customHeight="false" outlineLevel="0" collapsed="false">
      <c r="A1788" s="3" t="s">
        <v>2178</v>
      </c>
      <c r="B1788" s="3" t="s">
        <v>283</v>
      </c>
      <c r="C1788" s="3" t="s">
        <v>387</v>
      </c>
      <c r="D1788" s="3" t="s">
        <v>692</v>
      </c>
      <c r="E1788" s="3" t="s">
        <v>398</v>
      </c>
      <c r="F1788" s="16" t="n">
        <v>12</v>
      </c>
      <c r="G1788" s="15" t="n">
        <v>0</v>
      </c>
      <c r="H1788" s="16" t="n">
        <v>4</v>
      </c>
      <c r="I1788" s="33" t="n">
        <v>16208.16</v>
      </c>
      <c r="J1788" s="33" t="n">
        <v>16208.16</v>
      </c>
    </row>
    <row r="1789" customFormat="false" ht="15" hidden="false" customHeight="false" outlineLevel="0" collapsed="false">
      <c r="A1789" s="3" t="s">
        <v>2179</v>
      </c>
      <c r="B1789" s="3" t="s">
        <v>283</v>
      </c>
      <c r="C1789" s="3" t="s">
        <v>401</v>
      </c>
      <c r="D1789" s="3" t="s">
        <v>392</v>
      </c>
      <c r="E1789" s="3" t="s">
        <v>398</v>
      </c>
      <c r="F1789" s="16" t="n">
        <v>12</v>
      </c>
      <c r="G1789" s="15" t="n">
        <v>0</v>
      </c>
      <c r="H1789" s="16" t="n">
        <v>1</v>
      </c>
      <c r="I1789" s="33" t="n">
        <v>16192.8</v>
      </c>
      <c r="J1789" s="33" t="n">
        <v>16192.8</v>
      </c>
    </row>
    <row r="1790" customFormat="false" ht="15" hidden="false" customHeight="false" outlineLevel="0" collapsed="false">
      <c r="A1790" s="3" t="s">
        <v>2180</v>
      </c>
      <c r="B1790" s="3" t="s">
        <v>283</v>
      </c>
      <c r="C1790" s="3" t="s">
        <v>387</v>
      </c>
      <c r="D1790" s="3" t="s">
        <v>381</v>
      </c>
      <c r="E1790" s="3" t="s">
        <v>385</v>
      </c>
      <c r="F1790" s="16" t="n">
        <v>1</v>
      </c>
      <c r="G1790" s="15" t="n">
        <v>0</v>
      </c>
      <c r="H1790" s="16" t="n">
        <v>1</v>
      </c>
      <c r="I1790" s="33" t="n">
        <v>16169.4</v>
      </c>
      <c r="J1790" s="33" t="n">
        <v>16169.4</v>
      </c>
    </row>
    <row r="1791" customFormat="false" ht="15" hidden="false" customHeight="false" outlineLevel="0" collapsed="false">
      <c r="A1791" s="3" t="s">
        <v>2181</v>
      </c>
      <c r="B1791" s="3" t="s">
        <v>283</v>
      </c>
      <c r="C1791" s="3" t="s">
        <v>380</v>
      </c>
      <c r="D1791" s="3" t="s">
        <v>392</v>
      </c>
      <c r="E1791" s="3" t="s">
        <v>382</v>
      </c>
      <c r="F1791" s="16" t="n">
        <v>12</v>
      </c>
      <c r="G1791" s="15" t="n">
        <v>0</v>
      </c>
      <c r="H1791" s="16" t="n">
        <v>11</v>
      </c>
      <c r="I1791" s="33" t="n">
        <v>16164.48</v>
      </c>
      <c r="J1791" s="33" t="n">
        <v>16164.48</v>
      </c>
    </row>
    <row r="1792" customFormat="false" ht="15" hidden="false" customHeight="false" outlineLevel="0" collapsed="false">
      <c r="A1792" s="3" t="s">
        <v>2182</v>
      </c>
      <c r="B1792" s="3" t="s">
        <v>283</v>
      </c>
      <c r="C1792" s="3" t="s">
        <v>384</v>
      </c>
      <c r="D1792" s="3" t="s">
        <v>692</v>
      </c>
      <c r="E1792" s="3" t="s">
        <v>385</v>
      </c>
      <c r="F1792" s="16" t="n">
        <v>1</v>
      </c>
      <c r="G1792" s="15" t="n">
        <v>0</v>
      </c>
      <c r="H1792" s="16" t="n">
        <v>1</v>
      </c>
      <c r="I1792" s="33" t="n">
        <v>16138.92</v>
      </c>
      <c r="J1792" s="33" t="n">
        <v>16138.92</v>
      </c>
    </row>
    <row r="1793" customFormat="false" ht="15" hidden="false" customHeight="false" outlineLevel="0" collapsed="false">
      <c r="A1793" s="3" t="s">
        <v>2183</v>
      </c>
      <c r="B1793" s="3" t="s">
        <v>283</v>
      </c>
      <c r="C1793" s="3" t="s">
        <v>380</v>
      </c>
      <c r="D1793" s="3" t="s">
        <v>392</v>
      </c>
      <c r="E1793" s="3" t="s">
        <v>398</v>
      </c>
      <c r="F1793" s="16" t="n">
        <v>12</v>
      </c>
      <c r="G1793" s="15" t="n">
        <v>0</v>
      </c>
      <c r="H1793" s="16" t="n">
        <v>9</v>
      </c>
      <c r="I1793" s="33" t="n">
        <v>16120.68</v>
      </c>
      <c r="J1793" s="33" t="n">
        <v>16120.68</v>
      </c>
    </row>
    <row r="1794" customFormat="false" ht="15" hidden="false" customHeight="false" outlineLevel="0" collapsed="false">
      <c r="A1794" s="3" t="s">
        <v>2184</v>
      </c>
      <c r="B1794" s="3" t="s">
        <v>283</v>
      </c>
      <c r="C1794" s="3" t="s">
        <v>387</v>
      </c>
      <c r="D1794" s="3" t="s">
        <v>692</v>
      </c>
      <c r="E1794" s="3" t="s">
        <v>398</v>
      </c>
      <c r="F1794" s="16" t="n">
        <v>12</v>
      </c>
      <c r="G1794" s="15" t="n">
        <v>0.1</v>
      </c>
      <c r="H1794" s="16" t="n">
        <v>2</v>
      </c>
      <c r="I1794" s="33" t="n">
        <v>16119.24</v>
      </c>
      <c r="J1794" s="33" t="n">
        <v>17910.36</v>
      </c>
    </row>
    <row r="1795" customFormat="false" ht="15" hidden="false" customHeight="false" outlineLevel="0" collapsed="false">
      <c r="A1795" s="3" t="s">
        <v>2185</v>
      </c>
      <c r="B1795" s="3" t="s">
        <v>283</v>
      </c>
      <c r="C1795" s="3" t="s">
        <v>403</v>
      </c>
      <c r="D1795" s="3" t="s">
        <v>388</v>
      </c>
      <c r="E1795" s="3" t="s">
        <v>385</v>
      </c>
      <c r="F1795" s="16" t="n">
        <v>12</v>
      </c>
      <c r="G1795" s="15" t="n">
        <v>0</v>
      </c>
      <c r="H1795" s="16" t="n">
        <v>7</v>
      </c>
      <c r="I1795" s="33" t="n">
        <v>16112.76</v>
      </c>
      <c r="J1795" s="33" t="n">
        <v>16112.76</v>
      </c>
    </row>
    <row r="1796" customFormat="false" ht="15" hidden="false" customHeight="false" outlineLevel="0" collapsed="false">
      <c r="A1796" s="3" t="s">
        <v>2186</v>
      </c>
      <c r="B1796" s="3" t="s">
        <v>283</v>
      </c>
      <c r="C1796" s="3" t="s">
        <v>384</v>
      </c>
      <c r="D1796" s="3" t="s">
        <v>692</v>
      </c>
      <c r="E1796" s="3" t="s">
        <v>398</v>
      </c>
      <c r="F1796" s="16" t="n">
        <v>1</v>
      </c>
      <c r="G1796" s="15" t="n">
        <v>0.3</v>
      </c>
      <c r="H1796" s="16" t="n">
        <v>1</v>
      </c>
      <c r="I1796" s="33" t="n">
        <v>16076.28</v>
      </c>
      <c r="J1796" s="33" t="n">
        <v>22966.08</v>
      </c>
    </row>
    <row r="1797" customFormat="false" ht="15" hidden="false" customHeight="false" outlineLevel="0" collapsed="false">
      <c r="A1797" s="3" t="s">
        <v>2187</v>
      </c>
      <c r="B1797" s="3" t="s">
        <v>283</v>
      </c>
      <c r="C1797" s="3" t="s">
        <v>380</v>
      </c>
      <c r="D1797" s="3" t="s">
        <v>381</v>
      </c>
      <c r="E1797" s="3" t="s">
        <v>385</v>
      </c>
      <c r="F1797" s="16" t="n">
        <v>1</v>
      </c>
      <c r="G1797" s="15" t="n">
        <v>0</v>
      </c>
      <c r="H1797" s="16" t="n">
        <v>1</v>
      </c>
      <c r="I1797" s="33" t="n">
        <v>16063.08</v>
      </c>
      <c r="J1797" s="33" t="n">
        <v>16063.08</v>
      </c>
    </row>
    <row r="1798" customFormat="false" ht="15" hidden="false" customHeight="false" outlineLevel="0" collapsed="false">
      <c r="A1798" s="3" t="s">
        <v>2188</v>
      </c>
      <c r="B1798" s="3" t="s">
        <v>283</v>
      </c>
      <c r="C1798" s="3" t="s">
        <v>387</v>
      </c>
      <c r="D1798" s="3" t="s">
        <v>392</v>
      </c>
      <c r="E1798" s="3" t="s">
        <v>382</v>
      </c>
      <c r="F1798" s="16" t="n">
        <v>12</v>
      </c>
      <c r="G1798" s="15" t="n">
        <v>0.15</v>
      </c>
      <c r="H1798" s="16" t="n">
        <v>7</v>
      </c>
      <c r="I1798" s="33" t="n">
        <v>16048.08</v>
      </c>
      <c r="J1798" s="33" t="n">
        <v>18880.08</v>
      </c>
    </row>
    <row r="1799" customFormat="false" ht="15" hidden="false" customHeight="false" outlineLevel="0" collapsed="false">
      <c r="A1799" s="3" t="s">
        <v>2189</v>
      </c>
      <c r="B1799" s="3" t="s">
        <v>283</v>
      </c>
      <c r="C1799" s="3" t="s">
        <v>405</v>
      </c>
      <c r="D1799" s="3" t="s">
        <v>418</v>
      </c>
      <c r="E1799" s="3" t="s">
        <v>385</v>
      </c>
      <c r="F1799" s="16" t="n">
        <v>1</v>
      </c>
      <c r="G1799" s="15" t="n">
        <v>0.3</v>
      </c>
      <c r="H1799" s="16" t="n">
        <v>1</v>
      </c>
      <c r="I1799" s="33" t="n">
        <v>16037.76</v>
      </c>
      <c r="J1799" s="33" t="n">
        <v>22911.12</v>
      </c>
    </row>
    <row r="1800" customFormat="false" ht="15" hidden="false" customHeight="false" outlineLevel="0" collapsed="false">
      <c r="A1800" s="3" t="s">
        <v>2190</v>
      </c>
      <c r="B1800" s="3" t="s">
        <v>283</v>
      </c>
      <c r="C1800" s="3" t="s">
        <v>403</v>
      </c>
      <c r="D1800" s="3" t="s">
        <v>692</v>
      </c>
      <c r="E1800" s="3" t="s">
        <v>398</v>
      </c>
      <c r="F1800" s="16" t="n">
        <v>1</v>
      </c>
      <c r="G1800" s="15" t="n">
        <v>0</v>
      </c>
      <c r="H1800" s="16" t="n">
        <v>1</v>
      </c>
      <c r="I1800" s="33" t="n">
        <v>15969.84</v>
      </c>
      <c r="J1800" s="33" t="n">
        <v>15969.84</v>
      </c>
    </row>
    <row r="1801" customFormat="false" ht="15" hidden="false" customHeight="false" outlineLevel="0" collapsed="false">
      <c r="A1801" s="3" t="s">
        <v>2191</v>
      </c>
      <c r="B1801" s="3" t="s">
        <v>283</v>
      </c>
      <c r="C1801" s="3" t="s">
        <v>387</v>
      </c>
      <c r="D1801" s="3" t="s">
        <v>388</v>
      </c>
      <c r="E1801" s="3" t="s">
        <v>398</v>
      </c>
      <c r="F1801" s="16" t="n">
        <v>12</v>
      </c>
      <c r="G1801" s="15" t="n">
        <v>0</v>
      </c>
      <c r="H1801" s="16" t="n">
        <v>4</v>
      </c>
      <c r="I1801" s="33" t="n">
        <v>15894.72</v>
      </c>
      <c r="J1801" s="33" t="n">
        <v>15894.72</v>
      </c>
    </row>
    <row r="1802" customFormat="false" ht="15" hidden="false" customHeight="false" outlineLevel="0" collapsed="false">
      <c r="A1802" s="3" t="s">
        <v>2192</v>
      </c>
      <c r="B1802" s="3" t="s">
        <v>283</v>
      </c>
      <c r="C1802" s="3" t="s">
        <v>401</v>
      </c>
      <c r="D1802" s="3" t="s">
        <v>418</v>
      </c>
      <c r="E1802" s="3" t="s">
        <v>398</v>
      </c>
      <c r="F1802" s="16" t="n">
        <v>1</v>
      </c>
      <c r="G1802" s="15" t="n">
        <v>0</v>
      </c>
      <c r="H1802" s="16" t="n">
        <v>1</v>
      </c>
      <c r="I1802" s="33" t="n">
        <v>15869.64</v>
      </c>
      <c r="J1802" s="33" t="n">
        <v>15869.64</v>
      </c>
    </row>
    <row r="1803" customFormat="false" ht="15" hidden="false" customHeight="false" outlineLevel="0" collapsed="false">
      <c r="A1803" s="3" t="s">
        <v>2193</v>
      </c>
      <c r="B1803" s="3" t="s">
        <v>283</v>
      </c>
      <c r="C1803" s="3" t="s">
        <v>396</v>
      </c>
      <c r="D1803" s="3" t="s">
        <v>392</v>
      </c>
      <c r="E1803" s="3" t="s">
        <v>382</v>
      </c>
      <c r="F1803" s="16" t="n">
        <v>1</v>
      </c>
      <c r="G1803" s="15" t="n">
        <v>0</v>
      </c>
      <c r="H1803" s="16" t="n">
        <v>1</v>
      </c>
      <c r="I1803" s="33" t="n">
        <v>15869.4</v>
      </c>
      <c r="J1803" s="33" t="n">
        <v>15869.4</v>
      </c>
    </row>
    <row r="1804" customFormat="false" ht="15" hidden="false" customHeight="false" outlineLevel="0" collapsed="false">
      <c r="A1804" s="3" t="s">
        <v>2194</v>
      </c>
      <c r="B1804" s="3" t="s">
        <v>283</v>
      </c>
      <c r="C1804" s="3" t="s">
        <v>387</v>
      </c>
      <c r="D1804" s="3" t="s">
        <v>418</v>
      </c>
      <c r="E1804" s="3" t="s">
        <v>398</v>
      </c>
      <c r="F1804" s="16" t="n">
        <v>1</v>
      </c>
      <c r="G1804" s="15" t="n">
        <v>0</v>
      </c>
      <c r="H1804" s="16" t="n">
        <v>1</v>
      </c>
      <c r="I1804" s="33" t="n">
        <v>15853.2</v>
      </c>
      <c r="J1804" s="33" t="n">
        <v>15853.2</v>
      </c>
    </row>
    <row r="1805" customFormat="false" ht="15" hidden="false" customHeight="false" outlineLevel="0" collapsed="false">
      <c r="A1805" s="3" t="s">
        <v>2195</v>
      </c>
      <c r="B1805" s="3" t="s">
        <v>283</v>
      </c>
      <c r="C1805" s="3" t="s">
        <v>396</v>
      </c>
      <c r="D1805" s="3" t="s">
        <v>381</v>
      </c>
      <c r="E1805" s="3" t="s">
        <v>398</v>
      </c>
      <c r="F1805" s="16" t="n">
        <v>1</v>
      </c>
      <c r="G1805" s="15" t="n">
        <v>0</v>
      </c>
      <c r="H1805" s="16" t="n">
        <v>1</v>
      </c>
      <c r="I1805" s="33" t="n">
        <v>15835.68</v>
      </c>
      <c r="J1805" s="33" t="n">
        <v>15835.68</v>
      </c>
    </row>
    <row r="1806" customFormat="false" ht="15" hidden="false" customHeight="false" outlineLevel="0" collapsed="false">
      <c r="A1806" s="3" t="s">
        <v>2196</v>
      </c>
      <c r="B1806" s="3" t="s">
        <v>283</v>
      </c>
      <c r="C1806" s="3" t="s">
        <v>380</v>
      </c>
      <c r="D1806" s="3" t="s">
        <v>388</v>
      </c>
      <c r="E1806" s="3" t="s">
        <v>398</v>
      </c>
      <c r="F1806" s="16" t="n">
        <v>1</v>
      </c>
      <c r="G1806" s="15" t="n">
        <v>0</v>
      </c>
      <c r="H1806" s="16" t="n">
        <v>1</v>
      </c>
      <c r="I1806" s="33" t="n">
        <v>15833.4</v>
      </c>
      <c r="J1806" s="33" t="n">
        <v>15833.4</v>
      </c>
    </row>
    <row r="1807" customFormat="false" ht="15" hidden="false" customHeight="false" outlineLevel="0" collapsed="false">
      <c r="A1807" s="3" t="s">
        <v>2197</v>
      </c>
      <c r="B1807" s="3" t="s">
        <v>282</v>
      </c>
      <c r="C1807" s="3" t="s">
        <v>384</v>
      </c>
      <c r="D1807" s="3" t="s">
        <v>388</v>
      </c>
      <c r="E1807" s="3" t="s">
        <v>382</v>
      </c>
      <c r="F1807" s="16" t="n">
        <v>12</v>
      </c>
      <c r="G1807" s="15" t="n">
        <v>0</v>
      </c>
      <c r="H1807" s="16" t="n">
        <v>7</v>
      </c>
      <c r="I1807" s="33" t="n">
        <v>15833.28</v>
      </c>
      <c r="J1807" s="33" t="n">
        <v>15833.28</v>
      </c>
    </row>
    <row r="1808" customFormat="false" ht="15" hidden="false" customHeight="false" outlineLevel="0" collapsed="false">
      <c r="A1808" s="3" t="s">
        <v>2198</v>
      </c>
      <c r="B1808" s="3" t="s">
        <v>283</v>
      </c>
      <c r="C1808" s="3" t="s">
        <v>403</v>
      </c>
      <c r="D1808" s="3" t="s">
        <v>692</v>
      </c>
      <c r="E1808" s="3" t="s">
        <v>385</v>
      </c>
      <c r="F1808" s="16" t="n">
        <v>1</v>
      </c>
      <c r="G1808" s="15" t="n">
        <v>0</v>
      </c>
      <c r="H1808" s="16" t="n">
        <v>1</v>
      </c>
      <c r="I1808" s="33" t="n">
        <v>15811.68</v>
      </c>
      <c r="J1808" s="33" t="n">
        <v>15811.68</v>
      </c>
    </row>
    <row r="1809" customFormat="false" ht="15" hidden="false" customHeight="false" outlineLevel="0" collapsed="false">
      <c r="A1809" s="3" t="s">
        <v>2199</v>
      </c>
      <c r="B1809" s="3" t="s">
        <v>283</v>
      </c>
      <c r="C1809" s="3" t="s">
        <v>396</v>
      </c>
      <c r="D1809" s="3" t="s">
        <v>692</v>
      </c>
      <c r="E1809" s="3" t="s">
        <v>398</v>
      </c>
      <c r="F1809" s="16" t="n">
        <v>1</v>
      </c>
      <c r="G1809" s="15" t="n">
        <v>0.1</v>
      </c>
      <c r="H1809" s="16" t="n">
        <v>1</v>
      </c>
      <c r="I1809" s="33" t="n">
        <v>15811.08</v>
      </c>
      <c r="J1809" s="33" t="n">
        <v>17567.88</v>
      </c>
    </row>
    <row r="1810" customFormat="false" ht="15" hidden="false" customHeight="false" outlineLevel="0" collapsed="false">
      <c r="A1810" s="3" t="s">
        <v>2200</v>
      </c>
      <c r="B1810" s="3" t="s">
        <v>283</v>
      </c>
      <c r="C1810" s="3" t="s">
        <v>405</v>
      </c>
      <c r="D1810" s="3" t="s">
        <v>381</v>
      </c>
      <c r="E1810" s="3" t="s">
        <v>398</v>
      </c>
      <c r="F1810" s="16" t="n">
        <v>12</v>
      </c>
      <c r="G1810" s="15" t="n">
        <v>0</v>
      </c>
      <c r="H1810" s="16" t="n">
        <v>2</v>
      </c>
      <c r="I1810" s="33" t="n">
        <v>15805.08</v>
      </c>
      <c r="J1810" s="33" t="n">
        <v>15805.08</v>
      </c>
    </row>
    <row r="1811" customFormat="false" ht="15" hidden="false" customHeight="false" outlineLevel="0" collapsed="false">
      <c r="A1811" s="3" t="s">
        <v>2201</v>
      </c>
      <c r="B1811" s="3" t="s">
        <v>283</v>
      </c>
      <c r="C1811" s="3" t="s">
        <v>401</v>
      </c>
      <c r="D1811" s="3" t="s">
        <v>392</v>
      </c>
      <c r="E1811" s="3" t="s">
        <v>382</v>
      </c>
      <c r="F1811" s="16" t="n">
        <v>12</v>
      </c>
      <c r="G1811" s="15" t="n">
        <v>0</v>
      </c>
      <c r="H1811" s="16" t="n">
        <v>10</v>
      </c>
      <c r="I1811" s="33" t="n">
        <v>15795.6</v>
      </c>
      <c r="J1811" s="33" t="n">
        <v>15795.6</v>
      </c>
    </row>
    <row r="1812" customFormat="false" ht="15" hidden="false" customHeight="false" outlineLevel="0" collapsed="false">
      <c r="A1812" s="3" t="s">
        <v>2202</v>
      </c>
      <c r="B1812" s="3" t="s">
        <v>283</v>
      </c>
      <c r="C1812" s="3" t="s">
        <v>401</v>
      </c>
      <c r="D1812" s="3" t="s">
        <v>418</v>
      </c>
      <c r="E1812" s="3" t="s">
        <v>398</v>
      </c>
      <c r="F1812" s="16" t="n">
        <v>12</v>
      </c>
      <c r="G1812" s="15" t="n">
        <v>0</v>
      </c>
      <c r="H1812" s="16" t="n">
        <v>10</v>
      </c>
      <c r="I1812" s="33" t="n">
        <v>15793.68</v>
      </c>
      <c r="J1812" s="33" t="n">
        <v>15793.68</v>
      </c>
    </row>
    <row r="1813" customFormat="false" ht="15" hidden="false" customHeight="false" outlineLevel="0" collapsed="false">
      <c r="A1813" s="3" t="s">
        <v>2203</v>
      </c>
      <c r="B1813" s="3" t="s">
        <v>283</v>
      </c>
      <c r="C1813" s="3" t="s">
        <v>401</v>
      </c>
      <c r="D1813" s="3" t="s">
        <v>418</v>
      </c>
      <c r="E1813" s="3" t="s">
        <v>398</v>
      </c>
      <c r="F1813" s="16" t="n">
        <v>1</v>
      </c>
      <c r="G1813" s="15" t="n">
        <v>0</v>
      </c>
      <c r="H1813" s="16" t="n">
        <v>1</v>
      </c>
      <c r="I1813" s="33" t="n">
        <v>15782.04</v>
      </c>
      <c r="J1813" s="33" t="n">
        <v>15782.04</v>
      </c>
    </row>
    <row r="1814" customFormat="false" ht="15" hidden="false" customHeight="false" outlineLevel="0" collapsed="false">
      <c r="A1814" s="3" t="s">
        <v>2204</v>
      </c>
      <c r="B1814" s="3" t="s">
        <v>283</v>
      </c>
      <c r="C1814" s="3" t="s">
        <v>401</v>
      </c>
      <c r="D1814" s="3" t="s">
        <v>418</v>
      </c>
      <c r="E1814" s="3" t="s">
        <v>382</v>
      </c>
      <c r="F1814" s="16" t="n">
        <v>1</v>
      </c>
      <c r="G1814" s="15" t="n">
        <v>0</v>
      </c>
      <c r="H1814" s="16" t="n">
        <v>1</v>
      </c>
      <c r="I1814" s="33" t="n">
        <v>15762.6</v>
      </c>
      <c r="J1814" s="33" t="n">
        <v>15762.6</v>
      </c>
    </row>
    <row r="1815" customFormat="false" ht="15" hidden="false" customHeight="false" outlineLevel="0" collapsed="false">
      <c r="A1815" s="3" t="s">
        <v>2205</v>
      </c>
      <c r="B1815" s="3" t="s">
        <v>283</v>
      </c>
      <c r="C1815" s="3" t="s">
        <v>405</v>
      </c>
      <c r="D1815" s="3" t="s">
        <v>388</v>
      </c>
      <c r="E1815" s="3" t="s">
        <v>385</v>
      </c>
      <c r="F1815" s="16" t="n">
        <v>12</v>
      </c>
      <c r="G1815" s="15" t="n">
        <v>0</v>
      </c>
      <c r="H1815" s="16" t="n">
        <v>2</v>
      </c>
      <c r="I1815" s="33" t="n">
        <v>15750.84</v>
      </c>
      <c r="J1815" s="33" t="n">
        <v>15750.84</v>
      </c>
    </row>
    <row r="1816" customFormat="false" ht="15" hidden="false" customHeight="false" outlineLevel="0" collapsed="false">
      <c r="A1816" s="3" t="s">
        <v>2206</v>
      </c>
      <c r="B1816" s="3" t="s">
        <v>283</v>
      </c>
      <c r="C1816" s="3" t="s">
        <v>401</v>
      </c>
      <c r="D1816" s="3" t="s">
        <v>692</v>
      </c>
      <c r="E1816" s="3" t="s">
        <v>398</v>
      </c>
      <c r="F1816" s="16" t="n">
        <v>12</v>
      </c>
      <c r="G1816" s="15" t="n">
        <v>0</v>
      </c>
      <c r="H1816" s="16" t="n">
        <v>9</v>
      </c>
      <c r="I1816" s="33" t="n">
        <v>15742.44</v>
      </c>
      <c r="J1816" s="33" t="n">
        <v>15742.44</v>
      </c>
    </row>
    <row r="1817" customFormat="false" ht="15" hidden="false" customHeight="false" outlineLevel="0" collapsed="false">
      <c r="A1817" s="3" t="s">
        <v>2207</v>
      </c>
      <c r="B1817" s="3" t="s">
        <v>283</v>
      </c>
      <c r="C1817" s="3" t="s">
        <v>405</v>
      </c>
      <c r="D1817" s="3" t="s">
        <v>418</v>
      </c>
      <c r="E1817" s="3" t="s">
        <v>385</v>
      </c>
      <c r="F1817" s="16" t="n">
        <v>12</v>
      </c>
      <c r="G1817" s="15" t="n">
        <v>0.1</v>
      </c>
      <c r="H1817" s="16" t="n">
        <v>11</v>
      </c>
      <c r="I1817" s="33" t="n">
        <v>15734.28</v>
      </c>
      <c r="J1817" s="33" t="n">
        <v>17482.44</v>
      </c>
    </row>
    <row r="1818" customFormat="false" ht="15" hidden="false" customHeight="false" outlineLevel="0" collapsed="false">
      <c r="A1818" s="3" t="s">
        <v>2208</v>
      </c>
      <c r="B1818" s="3" t="s">
        <v>283</v>
      </c>
      <c r="C1818" s="3" t="s">
        <v>384</v>
      </c>
      <c r="D1818" s="3" t="s">
        <v>692</v>
      </c>
      <c r="E1818" s="3" t="s">
        <v>385</v>
      </c>
      <c r="F1818" s="16" t="n">
        <v>12</v>
      </c>
      <c r="G1818" s="15" t="n">
        <v>0</v>
      </c>
      <c r="H1818" s="16" t="n">
        <v>1</v>
      </c>
      <c r="I1818" s="33" t="n">
        <v>15718.68</v>
      </c>
      <c r="J1818" s="33" t="n">
        <v>15718.68</v>
      </c>
    </row>
    <row r="1819" customFormat="false" ht="15" hidden="false" customHeight="false" outlineLevel="0" collapsed="false">
      <c r="A1819" s="3" t="s">
        <v>2209</v>
      </c>
      <c r="B1819" s="3" t="s">
        <v>283</v>
      </c>
      <c r="C1819" s="3" t="s">
        <v>380</v>
      </c>
      <c r="D1819" s="3" t="s">
        <v>418</v>
      </c>
      <c r="E1819" s="3" t="s">
        <v>385</v>
      </c>
      <c r="F1819" s="16" t="n">
        <v>1</v>
      </c>
      <c r="G1819" s="15" t="n">
        <v>0</v>
      </c>
      <c r="H1819" s="16" t="n">
        <v>1</v>
      </c>
      <c r="I1819" s="33" t="n">
        <v>15648.12</v>
      </c>
      <c r="J1819" s="33" t="n">
        <v>15648.12</v>
      </c>
    </row>
    <row r="1820" customFormat="false" ht="15" hidden="false" customHeight="false" outlineLevel="0" collapsed="false">
      <c r="A1820" s="3" t="s">
        <v>2210</v>
      </c>
      <c r="B1820" s="3" t="s">
        <v>283</v>
      </c>
      <c r="C1820" s="3" t="s">
        <v>396</v>
      </c>
      <c r="D1820" s="3" t="s">
        <v>418</v>
      </c>
      <c r="E1820" s="3" t="s">
        <v>398</v>
      </c>
      <c r="F1820" s="16" t="n">
        <v>1</v>
      </c>
      <c r="G1820" s="15" t="n">
        <v>0</v>
      </c>
      <c r="H1820" s="16" t="n">
        <v>1</v>
      </c>
      <c r="I1820" s="33" t="n">
        <v>15643.8</v>
      </c>
      <c r="J1820" s="33" t="n">
        <v>15643.8</v>
      </c>
    </row>
    <row r="1821" customFormat="false" ht="15" hidden="false" customHeight="false" outlineLevel="0" collapsed="false">
      <c r="A1821" s="3" t="s">
        <v>2211</v>
      </c>
      <c r="B1821" s="3" t="s">
        <v>283</v>
      </c>
      <c r="C1821" s="3" t="s">
        <v>396</v>
      </c>
      <c r="D1821" s="3" t="s">
        <v>692</v>
      </c>
      <c r="E1821" s="3" t="s">
        <v>382</v>
      </c>
      <c r="F1821" s="16" t="n">
        <v>1</v>
      </c>
      <c r="G1821" s="15" t="n">
        <v>0</v>
      </c>
      <c r="H1821" s="16" t="n">
        <v>1</v>
      </c>
      <c r="I1821" s="33" t="n">
        <v>15641.64</v>
      </c>
      <c r="J1821" s="33" t="n">
        <v>15641.64</v>
      </c>
    </row>
    <row r="1822" customFormat="false" ht="15" hidden="false" customHeight="false" outlineLevel="0" collapsed="false">
      <c r="A1822" s="3" t="s">
        <v>2212</v>
      </c>
      <c r="B1822" s="3" t="s">
        <v>283</v>
      </c>
      <c r="C1822" s="3" t="s">
        <v>401</v>
      </c>
      <c r="D1822" s="3" t="s">
        <v>392</v>
      </c>
      <c r="E1822" s="3" t="s">
        <v>398</v>
      </c>
      <c r="F1822" s="16" t="n">
        <v>12</v>
      </c>
      <c r="G1822" s="15" t="n">
        <v>0</v>
      </c>
      <c r="H1822" s="16" t="n">
        <v>7</v>
      </c>
      <c r="I1822" s="33" t="n">
        <v>15634.56</v>
      </c>
      <c r="J1822" s="33" t="n">
        <v>15634.56</v>
      </c>
    </row>
    <row r="1823" customFormat="false" ht="15" hidden="false" customHeight="false" outlineLevel="0" collapsed="false">
      <c r="A1823" s="3" t="s">
        <v>2213</v>
      </c>
      <c r="B1823" s="3" t="s">
        <v>283</v>
      </c>
      <c r="C1823" s="3" t="s">
        <v>384</v>
      </c>
      <c r="D1823" s="3" t="s">
        <v>388</v>
      </c>
      <c r="E1823" s="3" t="s">
        <v>398</v>
      </c>
      <c r="F1823" s="16" t="n">
        <v>1</v>
      </c>
      <c r="G1823" s="15" t="n">
        <v>0</v>
      </c>
      <c r="H1823" s="16" t="n">
        <v>1</v>
      </c>
      <c r="I1823" s="33" t="n">
        <v>15632.88</v>
      </c>
      <c r="J1823" s="33" t="n">
        <v>15632.88</v>
      </c>
    </row>
    <row r="1824" customFormat="false" ht="15" hidden="false" customHeight="false" outlineLevel="0" collapsed="false">
      <c r="A1824" s="3" t="s">
        <v>2214</v>
      </c>
      <c r="B1824" s="3" t="s">
        <v>283</v>
      </c>
      <c r="C1824" s="3" t="s">
        <v>405</v>
      </c>
      <c r="D1824" s="3" t="s">
        <v>381</v>
      </c>
      <c r="E1824" s="3" t="s">
        <v>385</v>
      </c>
      <c r="F1824" s="16" t="n">
        <v>12</v>
      </c>
      <c r="G1824" s="15" t="n">
        <v>0.075</v>
      </c>
      <c r="H1824" s="16" t="n">
        <v>3</v>
      </c>
      <c r="I1824" s="33" t="n">
        <v>15632.04</v>
      </c>
      <c r="J1824" s="33" t="n">
        <v>16899.48</v>
      </c>
    </row>
    <row r="1825" customFormat="false" ht="15" hidden="false" customHeight="false" outlineLevel="0" collapsed="false">
      <c r="A1825" s="3" t="s">
        <v>2215</v>
      </c>
      <c r="B1825" s="3" t="s">
        <v>283</v>
      </c>
      <c r="C1825" s="3" t="s">
        <v>396</v>
      </c>
      <c r="D1825" s="3" t="s">
        <v>388</v>
      </c>
      <c r="E1825" s="3" t="s">
        <v>385</v>
      </c>
      <c r="F1825" s="16" t="n">
        <v>12</v>
      </c>
      <c r="G1825" s="15" t="n">
        <v>0</v>
      </c>
      <c r="H1825" s="16" t="n">
        <v>11</v>
      </c>
      <c r="I1825" s="33" t="n">
        <v>15625.32</v>
      </c>
      <c r="J1825" s="33" t="n">
        <v>15625.32</v>
      </c>
    </row>
    <row r="1826" customFormat="false" ht="15" hidden="false" customHeight="false" outlineLevel="0" collapsed="false">
      <c r="A1826" s="3" t="s">
        <v>2216</v>
      </c>
      <c r="B1826" s="3" t="s">
        <v>283</v>
      </c>
      <c r="C1826" s="3" t="s">
        <v>380</v>
      </c>
      <c r="D1826" s="3" t="s">
        <v>692</v>
      </c>
      <c r="E1826" s="3" t="s">
        <v>398</v>
      </c>
      <c r="F1826" s="16" t="n">
        <v>12</v>
      </c>
      <c r="G1826" s="15" t="n">
        <v>0</v>
      </c>
      <c r="H1826" s="16" t="n">
        <v>10</v>
      </c>
      <c r="I1826" s="33" t="n">
        <v>15621.96</v>
      </c>
      <c r="J1826" s="33" t="n">
        <v>15621.96</v>
      </c>
    </row>
    <row r="1827" customFormat="false" ht="15" hidden="false" customHeight="false" outlineLevel="0" collapsed="false">
      <c r="A1827" s="3" t="s">
        <v>2217</v>
      </c>
      <c r="B1827" s="3" t="s">
        <v>283</v>
      </c>
      <c r="C1827" s="3" t="s">
        <v>403</v>
      </c>
      <c r="D1827" s="3" t="s">
        <v>692</v>
      </c>
      <c r="E1827" s="3" t="s">
        <v>398</v>
      </c>
      <c r="F1827" s="16" t="n">
        <v>12</v>
      </c>
      <c r="G1827" s="15" t="n">
        <v>0</v>
      </c>
      <c r="H1827" s="16" t="n">
        <v>3</v>
      </c>
      <c r="I1827" s="33" t="n">
        <v>15615.12</v>
      </c>
      <c r="J1827" s="33" t="n">
        <v>15615.12</v>
      </c>
    </row>
    <row r="1828" customFormat="false" ht="15" hidden="false" customHeight="false" outlineLevel="0" collapsed="false">
      <c r="A1828" s="3" t="s">
        <v>2218</v>
      </c>
      <c r="B1828" s="3" t="s">
        <v>283</v>
      </c>
      <c r="C1828" s="3" t="s">
        <v>403</v>
      </c>
      <c r="D1828" s="3" t="s">
        <v>392</v>
      </c>
      <c r="E1828" s="3" t="s">
        <v>385</v>
      </c>
      <c r="F1828" s="16" t="n">
        <v>12</v>
      </c>
      <c r="G1828" s="15" t="n">
        <v>0.1</v>
      </c>
      <c r="H1828" s="16" t="n">
        <v>4</v>
      </c>
      <c r="I1828" s="33" t="n">
        <v>15611.76</v>
      </c>
      <c r="J1828" s="33" t="n">
        <v>17346.36</v>
      </c>
    </row>
    <row r="1829" customFormat="false" ht="15" hidden="false" customHeight="false" outlineLevel="0" collapsed="false">
      <c r="A1829" s="3" t="s">
        <v>2219</v>
      </c>
      <c r="B1829" s="3" t="s">
        <v>283</v>
      </c>
      <c r="C1829" s="3" t="s">
        <v>396</v>
      </c>
      <c r="D1829" s="3" t="s">
        <v>392</v>
      </c>
      <c r="E1829" s="3" t="s">
        <v>385</v>
      </c>
      <c r="F1829" s="16" t="n">
        <v>1</v>
      </c>
      <c r="G1829" s="15" t="n">
        <v>0</v>
      </c>
      <c r="H1829" s="16" t="n">
        <v>1</v>
      </c>
      <c r="I1829" s="33" t="n">
        <v>15562.2</v>
      </c>
      <c r="J1829" s="33" t="n">
        <v>15562.2</v>
      </c>
    </row>
    <row r="1830" customFormat="false" ht="15" hidden="false" customHeight="false" outlineLevel="0" collapsed="false">
      <c r="A1830" s="3" t="s">
        <v>2220</v>
      </c>
      <c r="B1830" s="3" t="s">
        <v>283</v>
      </c>
      <c r="C1830" s="3" t="s">
        <v>396</v>
      </c>
      <c r="D1830" s="3" t="s">
        <v>392</v>
      </c>
      <c r="E1830" s="3" t="s">
        <v>398</v>
      </c>
      <c r="F1830" s="16" t="n">
        <v>1</v>
      </c>
      <c r="G1830" s="15" t="n">
        <v>0.1</v>
      </c>
      <c r="H1830" s="16" t="n">
        <v>1</v>
      </c>
      <c r="I1830" s="33" t="n">
        <v>15555.12</v>
      </c>
      <c r="J1830" s="33" t="n">
        <v>17283.36</v>
      </c>
    </row>
    <row r="1831" customFormat="false" ht="15" hidden="false" customHeight="false" outlineLevel="0" collapsed="false">
      <c r="A1831" s="3" t="s">
        <v>2221</v>
      </c>
      <c r="B1831" s="3" t="s">
        <v>283</v>
      </c>
      <c r="C1831" s="3" t="s">
        <v>384</v>
      </c>
      <c r="D1831" s="3" t="s">
        <v>392</v>
      </c>
      <c r="E1831" s="3" t="s">
        <v>385</v>
      </c>
      <c r="F1831" s="16" t="n">
        <v>1</v>
      </c>
      <c r="G1831" s="15" t="n">
        <v>0</v>
      </c>
      <c r="H1831" s="16" t="n">
        <v>1</v>
      </c>
      <c r="I1831" s="33" t="n">
        <v>15550.08</v>
      </c>
      <c r="J1831" s="33" t="n">
        <v>15550.08</v>
      </c>
    </row>
    <row r="1832" customFormat="false" ht="15" hidden="false" customHeight="false" outlineLevel="0" collapsed="false">
      <c r="A1832" s="3" t="s">
        <v>2222</v>
      </c>
      <c r="B1832" s="3" t="s">
        <v>283</v>
      </c>
      <c r="C1832" s="3" t="s">
        <v>396</v>
      </c>
      <c r="D1832" s="3" t="s">
        <v>381</v>
      </c>
      <c r="E1832" s="3" t="s">
        <v>382</v>
      </c>
      <c r="F1832" s="16" t="n">
        <v>1</v>
      </c>
      <c r="G1832" s="15" t="n">
        <v>0.15</v>
      </c>
      <c r="H1832" s="16" t="n">
        <v>1</v>
      </c>
      <c r="I1832" s="33" t="n">
        <v>15548.04</v>
      </c>
      <c r="J1832" s="33" t="n">
        <v>18291.84</v>
      </c>
    </row>
    <row r="1833" customFormat="false" ht="15" hidden="false" customHeight="false" outlineLevel="0" collapsed="false">
      <c r="A1833" s="3" t="s">
        <v>2223</v>
      </c>
      <c r="B1833" s="3" t="s">
        <v>283</v>
      </c>
      <c r="C1833" s="3" t="s">
        <v>403</v>
      </c>
      <c r="D1833" s="3" t="s">
        <v>692</v>
      </c>
      <c r="E1833" s="3" t="s">
        <v>398</v>
      </c>
      <c r="F1833" s="16" t="n">
        <v>1</v>
      </c>
      <c r="G1833" s="15" t="n">
        <v>0</v>
      </c>
      <c r="H1833" s="16" t="n">
        <v>1</v>
      </c>
      <c r="I1833" s="33" t="n">
        <v>15533.04</v>
      </c>
      <c r="J1833" s="33" t="n">
        <v>15533.04</v>
      </c>
    </row>
    <row r="1834" customFormat="false" ht="15" hidden="false" customHeight="false" outlineLevel="0" collapsed="false">
      <c r="A1834" s="3" t="s">
        <v>2224</v>
      </c>
      <c r="B1834" s="3" t="s">
        <v>283</v>
      </c>
      <c r="C1834" s="3" t="s">
        <v>405</v>
      </c>
      <c r="D1834" s="3" t="s">
        <v>418</v>
      </c>
      <c r="E1834" s="3" t="s">
        <v>385</v>
      </c>
      <c r="F1834" s="16" t="n">
        <v>1</v>
      </c>
      <c r="G1834" s="15" t="n">
        <v>0</v>
      </c>
      <c r="H1834" s="16" t="n">
        <v>1</v>
      </c>
      <c r="I1834" s="33" t="n">
        <v>15508.32</v>
      </c>
      <c r="J1834" s="33" t="n">
        <v>15508.32</v>
      </c>
    </row>
    <row r="1835" customFormat="false" ht="15" hidden="false" customHeight="false" outlineLevel="0" collapsed="false">
      <c r="A1835" s="3" t="s">
        <v>2225</v>
      </c>
      <c r="B1835" s="3" t="s">
        <v>283</v>
      </c>
      <c r="C1835" s="3" t="s">
        <v>403</v>
      </c>
      <c r="D1835" s="3" t="s">
        <v>392</v>
      </c>
      <c r="E1835" s="3" t="s">
        <v>398</v>
      </c>
      <c r="F1835" s="16" t="n">
        <v>1</v>
      </c>
      <c r="G1835" s="15" t="n">
        <v>0</v>
      </c>
      <c r="H1835" s="16" t="n">
        <v>1</v>
      </c>
      <c r="I1835" s="33" t="n">
        <v>15489.36</v>
      </c>
      <c r="J1835" s="33" t="n">
        <v>15489.36</v>
      </c>
    </row>
    <row r="1836" customFormat="false" ht="15" hidden="false" customHeight="false" outlineLevel="0" collapsed="false">
      <c r="A1836" s="3" t="s">
        <v>2226</v>
      </c>
      <c r="B1836" s="3" t="s">
        <v>283</v>
      </c>
      <c r="C1836" s="3" t="s">
        <v>401</v>
      </c>
      <c r="D1836" s="3" t="s">
        <v>381</v>
      </c>
      <c r="E1836" s="3" t="s">
        <v>398</v>
      </c>
      <c r="F1836" s="16" t="n">
        <v>12</v>
      </c>
      <c r="G1836" s="15" t="n">
        <v>0.1</v>
      </c>
      <c r="H1836" s="16" t="n">
        <v>1</v>
      </c>
      <c r="I1836" s="33" t="n">
        <v>15477.72</v>
      </c>
      <c r="J1836" s="33" t="n">
        <v>17197.44</v>
      </c>
    </row>
    <row r="1837" customFormat="false" ht="15" hidden="false" customHeight="false" outlineLevel="0" collapsed="false">
      <c r="A1837" s="3" t="s">
        <v>2227</v>
      </c>
      <c r="B1837" s="3" t="s">
        <v>283</v>
      </c>
      <c r="C1837" s="3" t="s">
        <v>380</v>
      </c>
      <c r="D1837" s="3" t="s">
        <v>418</v>
      </c>
      <c r="E1837" s="3" t="s">
        <v>398</v>
      </c>
      <c r="F1837" s="16" t="n">
        <v>12</v>
      </c>
      <c r="G1837" s="15" t="n">
        <v>0</v>
      </c>
      <c r="H1837" s="16" t="n">
        <v>4</v>
      </c>
      <c r="I1837" s="33" t="n">
        <v>15476.16</v>
      </c>
      <c r="J1837" s="33" t="n">
        <v>15476.16</v>
      </c>
    </row>
    <row r="1838" customFormat="false" ht="15" hidden="false" customHeight="false" outlineLevel="0" collapsed="false">
      <c r="A1838" s="3" t="s">
        <v>2228</v>
      </c>
      <c r="B1838" s="3" t="s">
        <v>283</v>
      </c>
      <c r="C1838" s="3" t="s">
        <v>384</v>
      </c>
      <c r="D1838" s="3" t="s">
        <v>392</v>
      </c>
      <c r="E1838" s="3" t="s">
        <v>398</v>
      </c>
      <c r="F1838" s="16" t="n">
        <v>12</v>
      </c>
      <c r="G1838" s="15" t="n">
        <v>0</v>
      </c>
      <c r="H1838" s="16" t="n">
        <v>2</v>
      </c>
      <c r="I1838" s="33" t="n">
        <v>15470.4</v>
      </c>
      <c r="J1838" s="33" t="n">
        <v>15470.4</v>
      </c>
    </row>
    <row r="1839" customFormat="false" ht="15" hidden="false" customHeight="false" outlineLevel="0" collapsed="false">
      <c r="A1839" s="3" t="s">
        <v>2229</v>
      </c>
      <c r="B1839" s="3" t="s">
        <v>283</v>
      </c>
      <c r="C1839" s="3" t="s">
        <v>384</v>
      </c>
      <c r="D1839" s="3" t="s">
        <v>388</v>
      </c>
      <c r="E1839" s="3" t="s">
        <v>382</v>
      </c>
      <c r="F1839" s="16" t="n">
        <v>12</v>
      </c>
      <c r="G1839" s="15" t="n">
        <v>0.1</v>
      </c>
      <c r="H1839" s="16" t="n">
        <v>11</v>
      </c>
      <c r="I1839" s="33" t="n">
        <v>15464.64</v>
      </c>
      <c r="J1839" s="33" t="n">
        <v>17182.92</v>
      </c>
    </row>
    <row r="1840" customFormat="false" ht="15" hidden="false" customHeight="false" outlineLevel="0" collapsed="false">
      <c r="A1840" s="3" t="s">
        <v>2230</v>
      </c>
      <c r="B1840" s="3" t="s">
        <v>283</v>
      </c>
      <c r="C1840" s="3" t="s">
        <v>405</v>
      </c>
      <c r="D1840" s="3" t="s">
        <v>418</v>
      </c>
      <c r="E1840" s="3" t="s">
        <v>385</v>
      </c>
      <c r="F1840" s="16" t="n">
        <v>12</v>
      </c>
      <c r="G1840" s="15" t="n">
        <v>0</v>
      </c>
      <c r="H1840" s="16" t="n">
        <v>8</v>
      </c>
      <c r="I1840" s="33" t="n">
        <v>15460.8</v>
      </c>
      <c r="J1840" s="33" t="n">
        <v>15460.8</v>
      </c>
    </row>
    <row r="1841" customFormat="false" ht="15" hidden="false" customHeight="false" outlineLevel="0" collapsed="false">
      <c r="A1841" s="3" t="s">
        <v>2231</v>
      </c>
      <c r="B1841" s="3" t="s">
        <v>283</v>
      </c>
      <c r="C1841" s="3" t="s">
        <v>396</v>
      </c>
      <c r="D1841" s="3" t="s">
        <v>418</v>
      </c>
      <c r="E1841" s="3" t="s">
        <v>398</v>
      </c>
      <c r="F1841" s="16" t="n">
        <v>1</v>
      </c>
      <c r="G1841" s="15" t="n">
        <v>0.1</v>
      </c>
      <c r="H1841" s="16" t="n">
        <v>1</v>
      </c>
      <c r="I1841" s="33" t="n">
        <v>15447.72</v>
      </c>
      <c r="J1841" s="33" t="n">
        <v>17164.2</v>
      </c>
    </row>
    <row r="1842" customFormat="false" ht="15" hidden="false" customHeight="false" outlineLevel="0" collapsed="false">
      <c r="A1842" s="3" t="s">
        <v>2232</v>
      </c>
      <c r="B1842" s="3" t="s">
        <v>282</v>
      </c>
      <c r="C1842" s="3" t="s">
        <v>405</v>
      </c>
      <c r="D1842" s="3" t="s">
        <v>388</v>
      </c>
      <c r="E1842" s="3" t="s">
        <v>398</v>
      </c>
      <c r="F1842" s="16" t="n">
        <v>12</v>
      </c>
      <c r="G1842" s="15" t="n">
        <v>0</v>
      </c>
      <c r="H1842" s="16" t="n">
        <v>6</v>
      </c>
      <c r="I1842" s="33" t="n">
        <v>15444.36</v>
      </c>
      <c r="J1842" s="33" t="n">
        <v>15444.36</v>
      </c>
    </row>
    <row r="1843" customFormat="false" ht="15" hidden="false" customHeight="false" outlineLevel="0" collapsed="false">
      <c r="A1843" s="3" t="s">
        <v>2233</v>
      </c>
      <c r="B1843" s="3" t="s">
        <v>283</v>
      </c>
      <c r="C1843" s="3" t="s">
        <v>401</v>
      </c>
      <c r="D1843" s="3" t="s">
        <v>418</v>
      </c>
      <c r="E1843" s="3" t="s">
        <v>398</v>
      </c>
      <c r="F1843" s="16" t="n">
        <v>12</v>
      </c>
      <c r="G1843" s="15" t="n">
        <v>0</v>
      </c>
      <c r="H1843" s="16" t="n">
        <v>8</v>
      </c>
      <c r="I1843" s="33" t="n">
        <v>15444.12</v>
      </c>
      <c r="J1843" s="33" t="n">
        <v>15444.12</v>
      </c>
    </row>
    <row r="1844" customFormat="false" ht="15" hidden="false" customHeight="false" outlineLevel="0" collapsed="false">
      <c r="A1844" s="3" t="s">
        <v>2234</v>
      </c>
      <c r="B1844" s="3" t="s">
        <v>283</v>
      </c>
      <c r="C1844" s="3" t="s">
        <v>380</v>
      </c>
      <c r="D1844" s="3" t="s">
        <v>692</v>
      </c>
      <c r="E1844" s="3" t="s">
        <v>398</v>
      </c>
      <c r="F1844" s="16" t="n">
        <v>12</v>
      </c>
      <c r="G1844" s="15" t="n">
        <v>0</v>
      </c>
      <c r="H1844" s="16" t="n">
        <v>6</v>
      </c>
      <c r="I1844" s="33" t="n">
        <v>15439.32</v>
      </c>
      <c r="J1844" s="33" t="n">
        <v>15439.32</v>
      </c>
    </row>
    <row r="1845" customFormat="false" ht="15" hidden="false" customHeight="false" outlineLevel="0" collapsed="false">
      <c r="A1845" s="3" t="s">
        <v>2235</v>
      </c>
      <c r="B1845" s="3" t="s">
        <v>283</v>
      </c>
      <c r="C1845" s="3" t="s">
        <v>396</v>
      </c>
      <c r="D1845" s="3" t="s">
        <v>418</v>
      </c>
      <c r="E1845" s="3" t="s">
        <v>398</v>
      </c>
      <c r="F1845" s="16" t="n">
        <v>1</v>
      </c>
      <c r="G1845" s="15" t="n">
        <v>0</v>
      </c>
      <c r="H1845" s="16" t="n">
        <v>1</v>
      </c>
      <c r="I1845" s="33" t="n">
        <v>15432.12</v>
      </c>
      <c r="J1845" s="33" t="n">
        <v>15432.12</v>
      </c>
    </row>
    <row r="1846" customFormat="false" ht="15" hidden="false" customHeight="false" outlineLevel="0" collapsed="false">
      <c r="A1846" s="3" t="s">
        <v>2236</v>
      </c>
      <c r="B1846" s="3" t="s">
        <v>283</v>
      </c>
      <c r="C1846" s="3" t="s">
        <v>387</v>
      </c>
      <c r="D1846" s="3" t="s">
        <v>418</v>
      </c>
      <c r="E1846" s="3" t="s">
        <v>398</v>
      </c>
      <c r="F1846" s="16" t="n">
        <v>1</v>
      </c>
      <c r="G1846" s="15" t="n">
        <v>0</v>
      </c>
      <c r="H1846" s="16" t="n">
        <v>1</v>
      </c>
      <c r="I1846" s="33" t="n">
        <v>15427.92</v>
      </c>
      <c r="J1846" s="33" t="n">
        <v>15427.92</v>
      </c>
    </row>
    <row r="1847" customFormat="false" ht="15" hidden="false" customHeight="false" outlineLevel="0" collapsed="false">
      <c r="A1847" s="3" t="s">
        <v>2237</v>
      </c>
      <c r="B1847" s="3" t="s">
        <v>282</v>
      </c>
      <c r="C1847" s="3" t="s">
        <v>380</v>
      </c>
      <c r="D1847" s="3" t="s">
        <v>418</v>
      </c>
      <c r="E1847" s="3" t="s">
        <v>382</v>
      </c>
      <c r="F1847" s="16" t="n">
        <v>12</v>
      </c>
      <c r="G1847" s="15" t="n">
        <v>0.3</v>
      </c>
      <c r="H1847" s="16" t="n">
        <v>4</v>
      </c>
      <c r="I1847" s="33" t="n">
        <v>15408.24</v>
      </c>
      <c r="J1847" s="33" t="n">
        <v>22011.72</v>
      </c>
    </row>
    <row r="1848" customFormat="false" ht="15" hidden="false" customHeight="false" outlineLevel="0" collapsed="false">
      <c r="A1848" s="3" t="s">
        <v>2238</v>
      </c>
      <c r="B1848" s="3" t="s">
        <v>283</v>
      </c>
      <c r="C1848" s="3" t="s">
        <v>403</v>
      </c>
      <c r="D1848" s="3" t="s">
        <v>392</v>
      </c>
      <c r="E1848" s="3" t="s">
        <v>398</v>
      </c>
      <c r="F1848" s="16" t="n">
        <v>12</v>
      </c>
      <c r="G1848" s="15" t="n">
        <v>0</v>
      </c>
      <c r="H1848" s="16" t="n">
        <v>4</v>
      </c>
      <c r="I1848" s="33" t="n">
        <v>15406.68</v>
      </c>
      <c r="J1848" s="33" t="n">
        <v>15406.68</v>
      </c>
    </row>
    <row r="1849" customFormat="false" ht="15" hidden="false" customHeight="false" outlineLevel="0" collapsed="false">
      <c r="A1849" s="3" t="s">
        <v>2239</v>
      </c>
      <c r="B1849" s="3" t="s">
        <v>282</v>
      </c>
      <c r="C1849" s="3" t="s">
        <v>387</v>
      </c>
      <c r="D1849" s="3" t="s">
        <v>392</v>
      </c>
      <c r="E1849" s="3" t="s">
        <v>398</v>
      </c>
      <c r="F1849" s="16" t="n">
        <v>24</v>
      </c>
      <c r="G1849" s="15" t="n">
        <v>0.25</v>
      </c>
      <c r="H1849" s="16" t="n">
        <v>13</v>
      </c>
      <c r="I1849" s="33" t="n">
        <v>15389.76</v>
      </c>
      <c r="J1849" s="33" t="n">
        <v>20519.76</v>
      </c>
    </row>
    <row r="1850" customFormat="false" ht="15" hidden="false" customHeight="false" outlineLevel="0" collapsed="false">
      <c r="A1850" s="3" t="s">
        <v>2240</v>
      </c>
      <c r="B1850" s="3" t="s">
        <v>283</v>
      </c>
      <c r="C1850" s="3" t="s">
        <v>405</v>
      </c>
      <c r="D1850" s="3" t="s">
        <v>418</v>
      </c>
      <c r="E1850" s="3" t="s">
        <v>385</v>
      </c>
      <c r="F1850" s="16" t="n">
        <v>1</v>
      </c>
      <c r="G1850" s="15" t="n">
        <v>0</v>
      </c>
      <c r="H1850" s="16" t="n">
        <v>1</v>
      </c>
      <c r="I1850" s="33" t="n">
        <v>15381.6</v>
      </c>
      <c r="J1850" s="33" t="n">
        <v>15381.6</v>
      </c>
    </row>
    <row r="1851" customFormat="false" ht="15" hidden="false" customHeight="false" outlineLevel="0" collapsed="false">
      <c r="A1851" s="3" t="s">
        <v>2241</v>
      </c>
      <c r="B1851" s="3" t="s">
        <v>282</v>
      </c>
      <c r="C1851" s="3" t="s">
        <v>387</v>
      </c>
      <c r="D1851" s="3" t="s">
        <v>381</v>
      </c>
      <c r="E1851" s="3" t="s">
        <v>398</v>
      </c>
      <c r="F1851" s="16" t="n">
        <v>12</v>
      </c>
      <c r="G1851" s="15" t="n">
        <v>0.25</v>
      </c>
      <c r="H1851" s="16" t="n">
        <v>4</v>
      </c>
      <c r="I1851" s="33" t="n">
        <v>15352.8</v>
      </c>
      <c r="J1851" s="33" t="n">
        <v>20470.32</v>
      </c>
    </row>
    <row r="1852" customFormat="false" ht="15" hidden="false" customHeight="false" outlineLevel="0" collapsed="false">
      <c r="A1852" s="3" t="s">
        <v>2242</v>
      </c>
      <c r="B1852" s="3" t="s">
        <v>283</v>
      </c>
      <c r="C1852" s="3" t="s">
        <v>396</v>
      </c>
      <c r="D1852" s="3" t="s">
        <v>392</v>
      </c>
      <c r="E1852" s="3" t="s">
        <v>382</v>
      </c>
      <c r="F1852" s="16" t="n">
        <v>12</v>
      </c>
      <c r="G1852" s="15" t="n">
        <v>0</v>
      </c>
      <c r="H1852" s="16" t="n">
        <v>12</v>
      </c>
      <c r="I1852" s="33" t="n">
        <v>15352.68</v>
      </c>
      <c r="J1852" s="33" t="n">
        <v>15352.68</v>
      </c>
    </row>
    <row r="1853" customFormat="false" ht="15" hidden="false" customHeight="false" outlineLevel="0" collapsed="false">
      <c r="A1853" s="3" t="s">
        <v>2243</v>
      </c>
      <c r="B1853" s="3" t="s">
        <v>283</v>
      </c>
      <c r="C1853" s="3" t="s">
        <v>401</v>
      </c>
      <c r="D1853" s="3" t="s">
        <v>418</v>
      </c>
      <c r="E1853" s="3" t="s">
        <v>398</v>
      </c>
      <c r="F1853" s="16" t="n">
        <v>1</v>
      </c>
      <c r="G1853" s="15" t="n">
        <v>0</v>
      </c>
      <c r="H1853" s="16" t="n">
        <v>1</v>
      </c>
      <c r="I1853" s="33" t="n">
        <v>15350.76</v>
      </c>
      <c r="J1853" s="33" t="n">
        <v>15350.76</v>
      </c>
    </row>
    <row r="1854" customFormat="false" ht="15" hidden="false" customHeight="false" outlineLevel="0" collapsed="false">
      <c r="A1854" s="3" t="s">
        <v>2244</v>
      </c>
      <c r="B1854" s="3" t="s">
        <v>283</v>
      </c>
      <c r="C1854" s="3" t="s">
        <v>403</v>
      </c>
      <c r="D1854" s="3" t="s">
        <v>392</v>
      </c>
      <c r="E1854" s="3" t="s">
        <v>398</v>
      </c>
      <c r="F1854" s="16" t="n">
        <v>1</v>
      </c>
      <c r="G1854" s="15" t="n">
        <v>0</v>
      </c>
      <c r="H1854" s="16" t="n">
        <v>1</v>
      </c>
      <c r="I1854" s="33" t="n">
        <v>15341.88</v>
      </c>
      <c r="J1854" s="33" t="n">
        <v>15341.88</v>
      </c>
    </row>
    <row r="1855" customFormat="false" ht="15" hidden="false" customHeight="false" outlineLevel="0" collapsed="false">
      <c r="A1855" s="3" t="s">
        <v>2245</v>
      </c>
      <c r="B1855" s="3" t="s">
        <v>283</v>
      </c>
      <c r="C1855" s="3" t="s">
        <v>387</v>
      </c>
      <c r="D1855" s="3" t="s">
        <v>692</v>
      </c>
      <c r="E1855" s="3" t="s">
        <v>382</v>
      </c>
      <c r="F1855" s="16" t="n">
        <v>1</v>
      </c>
      <c r="G1855" s="15" t="n">
        <v>0.2</v>
      </c>
      <c r="H1855" s="16" t="n">
        <v>1</v>
      </c>
      <c r="I1855" s="33" t="n">
        <v>15339.96</v>
      </c>
      <c r="J1855" s="33" t="n">
        <v>19174.92</v>
      </c>
    </row>
    <row r="1856" customFormat="false" ht="15" hidden="false" customHeight="false" outlineLevel="0" collapsed="false">
      <c r="A1856" s="3" t="s">
        <v>2246</v>
      </c>
      <c r="B1856" s="3" t="s">
        <v>283</v>
      </c>
      <c r="C1856" s="3" t="s">
        <v>401</v>
      </c>
      <c r="D1856" s="3" t="s">
        <v>381</v>
      </c>
      <c r="E1856" s="3" t="s">
        <v>398</v>
      </c>
      <c r="F1856" s="16" t="n">
        <v>1</v>
      </c>
      <c r="G1856" s="15" t="n">
        <v>0</v>
      </c>
      <c r="H1856" s="16" t="n">
        <v>1</v>
      </c>
      <c r="I1856" s="33" t="n">
        <v>15310.8</v>
      </c>
      <c r="J1856" s="33" t="n">
        <v>15310.8</v>
      </c>
    </row>
    <row r="1857" customFormat="false" ht="15" hidden="false" customHeight="false" outlineLevel="0" collapsed="false">
      <c r="A1857" s="3" t="s">
        <v>2247</v>
      </c>
      <c r="B1857" s="3" t="s">
        <v>283</v>
      </c>
      <c r="C1857" s="3" t="s">
        <v>380</v>
      </c>
      <c r="D1857" s="3" t="s">
        <v>418</v>
      </c>
      <c r="E1857" s="3" t="s">
        <v>398</v>
      </c>
      <c r="F1857" s="16" t="n">
        <v>12</v>
      </c>
      <c r="G1857" s="15" t="n">
        <v>0.05</v>
      </c>
      <c r="H1857" s="16" t="n">
        <v>2</v>
      </c>
      <c r="I1857" s="33" t="n">
        <v>15287.88</v>
      </c>
      <c r="J1857" s="33" t="n">
        <v>16092.6</v>
      </c>
    </row>
    <row r="1858" customFormat="false" ht="15" hidden="false" customHeight="false" outlineLevel="0" collapsed="false">
      <c r="A1858" s="3" t="s">
        <v>2248</v>
      </c>
      <c r="B1858" s="3" t="s">
        <v>283</v>
      </c>
      <c r="C1858" s="3" t="s">
        <v>396</v>
      </c>
      <c r="D1858" s="3" t="s">
        <v>392</v>
      </c>
      <c r="E1858" s="3" t="s">
        <v>385</v>
      </c>
      <c r="F1858" s="16" t="n">
        <v>1</v>
      </c>
      <c r="G1858" s="15" t="n">
        <v>0</v>
      </c>
      <c r="H1858" s="16" t="n">
        <v>1</v>
      </c>
      <c r="I1858" s="33" t="n">
        <v>15286.92</v>
      </c>
      <c r="J1858" s="33" t="n">
        <v>15286.92</v>
      </c>
    </row>
    <row r="1859" customFormat="false" ht="15" hidden="false" customHeight="false" outlineLevel="0" collapsed="false">
      <c r="A1859" s="3" t="s">
        <v>2249</v>
      </c>
      <c r="B1859" s="3" t="s">
        <v>283</v>
      </c>
      <c r="C1859" s="3" t="s">
        <v>387</v>
      </c>
      <c r="D1859" s="3" t="s">
        <v>692</v>
      </c>
      <c r="E1859" s="3" t="s">
        <v>385</v>
      </c>
      <c r="F1859" s="16" t="n">
        <v>12</v>
      </c>
      <c r="G1859" s="15" t="n">
        <v>0</v>
      </c>
      <c r="H1859" s="16" t="n">
        <v>1</v>
      </c>
      <c r="I1859" s="33" t="n">
        <v>15269.52</v>
      </c>
      <c r="J1859" s="33" t="n">
        <v>15269.52</v>
      </c>
    </row>
    <row r="1860" customFormat="false" ht="15" hidden="false" customHeight="false" outlineLevel="0" collapsed="false">
      <c r="A1860" s="3" t="s">
        <v>2250</v>
      </c>
      <c r="B1860" s="3" t="s">
        <v>283</v>
      </c>
      <c r="C1860" s="3" t="s">
        <v>403</v>
      </c>
      <c r="D1860" s="3" t="s">
        <v>692</v>
      </c>
      <c r="E1860" s="3" t="s">
        <v>398</v>
      </c>
      <c r="F1860" s="16" t="n">
        <v>12</v>
      </c>
      <c r="G1860" s="15" t="n">
        <v>0</v>
      </c>
      <c r="H1860" s="16" t="n">
        <v>5</v>
      </c>
      <c r="I1860" s="33" t="n">
        <v>15264.24</v>
      </c>
      <c r="J1860" s="33" t="n">
        <v>15264.24</v>
      </c>
    </row>
    <row r="1861" customFormat="false" ht="15" hidden="false" customHeight="false" outlineLevel="0" collapsed="false">
      <c r="A1861" s="3" t="s">
        <v>2251</v>
      </c>
      <c r="B1861" s="3" t="s">
        <v>283</v>
      </c>
      <c r="C1861" s="3" t="s">
        <v>401</v>
      </c>
      <c r="D1861" s="3" t="s">
        <v>418</v>
      </c>
      <c r="E1861" s="3" t="s">
        <v>385</v>
      </c>
      <c r="F1861" s="16" t="n">
        <v>12</v>
      </c>
      <c r="G1861" s="15" t="n">
        <v>0</v>
      </c>
      <c r="H1861" s="16" t="n">
        <v>4</v>
      </c>
      <c r="I1861" s="33" t="n">
        <v>15236.52</v>
      </c>
      <c r="J1861" s="33" t="n">
        <v>15236.52</v>
      </c>
    </row>
    <row r="1862" customFormat="false" ht="15" hidden="false" customHeight="false" outlineLevel="0" collapsed="false">
      <c r="A1862" s="3" t="s">
        <v>2252</v>
      </c>
      <c r="B1862" s="3" t="s">
        <v>282</v>
      </c>
      <c r="C1862" s="3" t="s">
        <v>403</v>
      </c>
      <c r="D1862" s="3" t="s">
        <v>418</v>
      </c>
      <c r="E1862" s="3" t="s">
        <v>398</v>
      </c>
      <c r="F1862" s="16" t="n">
        <v>24</v>
      </c>
      <c r="G1862" s="15" t="n">
        <v>0.25</v>
      </c>
      <c r="H1862" s="16" t="n">
        <v>2</v>
      </c>
      <c r="I1862" s="33" t="n">
        <v>15218.76</v>
      </c>
      <c r="J1862" s="33" t="n">
        <v>20291.64</v>
      </c>
    </row>
    <row r="1863" customFormat="false" ht="15" hidden="false" customHeight="false" outlineLevel="0" collapsed="false">
      <c r="A1863" s="3" t="s">
        <v>2253</v>
      </c>
      <c r="B1863" s="3" t="s">
        <v>283</v>
      </c>
      <c r="C1863" s="3" t="s">
        <v>387</v>
      </c>
      <c r="D1863" s="3" t="s">
        <v>392</v>
      </c>
      <c r="E1863" s="3" t="s">
        <v>398</v>
      </c>
      <c r="F1863" s="16" t="n">
        <v>1</v>
      </c>
      <c r="G1863" s="15" t="n">
        <v>0</v>
      </c>
      <c r="H1863" s="16" t="n">
        <v>1</v>
      </c>
      <c r="I1863" s="33" t="n">
        <v>15214.56</v>
      </c>
      <c r="J1863" s="33" t="n">
        <v>15214.56</v>
      </c>
    </row>
    <row r="1864" customFormat="false" ht="15" hidden="false" customHeight="false" outlineLevel="0" collapsed="false">
      <c r="A1864" s="3" t="s">
        <v>2254</v>
      </c>
      <c r="B1864" s="3" t="s">
        <v>283</v>
      </c>
      <c r="C1864" s="3" t="s">
        <v>380</v>
      </c>
      <c r="D1864" s="3" t="s">
        <v>392</v>
      </c>
      <c r="E1864" s="3" t="s">
        <v>398</v>
      </c>
      <c r="F1864" s="16" t="n">
        <v>1</v>
      </c>
      <c r="G1864" s="15" t="n">
        <v>0</v>
      </c>
      <c r="H1864" s="16" t="n">
        <v>1</v>
      </c>
      <c r="I1864" s="33" t="n">
        <v>15208.08</v>
      </c>
      <c r="J1864" s="33" t="n">
        <v>15208.08</v>
      </c>
    </row>
    <row r="1865" customFormat="false" ht="15" hidden="false" customHeight="false" outlineLevel="0" collapsed="false">
      <c r="A1865" s="3" t="s">
        <v>2255</v>
      </c>
      <c r="B1865" s="3" t="s">
        <v>283</v>
      </c>
      <c r="C1865" s="3" t="s">
        <v>384</v>
      </c>
      <c r="D1865" s="3" t="s">
        <v>381</v>
      </c>
      <c r="E1865" s="3" t="s">
        <v>398</v>
      </c>
      <c r="F1865" s="16" t="n">
        <v>12</v>
      </c>
      <c r="G1865" s="15" t="n">
        <v>0.1</v>
      </c>
      <c r="H1865" s="16" t="n">
        <v>11</v>
      </c>
      <c r="I1865" s="33" t="n">
        <v>15202.08</v>
      </c>
      <c r="J1865" s="33" t="n">
        <v>16891.2</v>
      </c>
    </row>
    <row r="1866" customFormat="false" ht="15" hidden="false" customHeight="false" outlineLevel="0" collapsed="false">
      <c r="A1866" s="3" t="s">
        <v>2256</v>
      </c>
      <c r="B1866" s="3" t="s">
        <v>282</v>
      </c>
      <c r="C1866" s="3" t="s">
        <v>384</v>
      </c>
      <c r="D1866" s="3" t="s">
        <v>418</v>
      </c>
      <c r="E1866" s="3" t="s">
        <v>385</v>
      </c>
      <c r="F1866" s="16" t="n">
        <v>12</v>
      </c>
      <c r="G1866" s="15" t="n">
        <v>0.2</v>
      </c>
      <c r="H1866" s="16" t="n">
        <v>8</v>
      </c>
      <c r="I1866" s="33" t="n">
        <v>15158.16</v>
      </c>
      <c r="J1866" s="33" t="n">
        <v>18947.76</v>
      </c>
    </row>
    <row r="1867" customFormat="false" ht="15" hidden="false" customHeight="false" outlineLevel="0" collapsed="false">
      <c r="A1867" s="3" t="s">
        <v>2257</v>
      </c>
      <c r="B1867" s="3" t="s">
        <v>282</v>
      </c>
      <c r="C1867" s="3" t="s">
        <v>403</v>
      </c>
      <c r="D1867" s="3" t="s">
        <v>392</v>
      </c>
      <c r="E1867" s="3" t="s">
        <v>385</v>
      </c>
      <c r="F1867" s="16" t="n">
        <v>24</v>
      </c>
      <c r="G1867" s="15" t="n">
        <v>0.25</v>
      </c>
      <c r="H1867" s="16" t="n">
        <v>17</v>
      </c>
      <c r="I1867" s="33" t="n">
        <v>15155.64</v>
      </c>
      <c r="J1867" s="33" t="n">
        <v>20207.52</v>
      </c>
    </row>
    <row r="1868" customFormat="false" ht="15" hidden="false" customHeight="false" outlineLevel="0" collapsed="false">
      <c r="A1868" s="3" t="s">
        <v>2258</v>
      </c>
      <c r="B1868" s="3" t="s">
        <v>283</v>
      </c>
      <c r="C1868" s="3" t="s">
        <v>403</v>
      </c>
      <c r="D1868" s="3" t="s">
        <v>392</v>
      </c>
      <c r="E1868" s="3" t="s">
        <v>398</v>
      </c>
      <c r="F1868" s="16" t="n">
        <v>12</v>
      </c>
      <c r="G1868" s="15" t="n">
        <v>0</v>
      </c>
      <c r="H1868" s="16" t="n">
        <v>5</v>
      </c>
      <c r="I1868" s="33" t="n">
        <v>15152.88</v>
      </c>
      <c r="J1868" s="33" t="n">
        <v>15152.88</v>
      </c>
    </row>
    <row r="1869" customFormat="false" ht="15" hidden="false" customHeight="false" outlineLevel="0" collapsed="false">
      <c r="A1869" s="3" t="s">
        <v>2259</v>
      </c>
      <c r="B1869" s="3" t="s">
        <v>283</v>
      </c>
      <c r="C1869" s="3" t="s">
        <v>401</v>
      </c>
      <c r="D1869" s="3" t="s">
        <v>418</v>
      </c>
      <c r="E1869" s="3" t="s">
        <v>398</v>
      </c>
      <c r="F1869" s="16" t="n">
        <v>1</v>
      </c>
      <c r="G1869" s="15" t="n">
        <v>0</v>
      </c>
      <c r="H1869" s="16" t="n">
        <v>1</v>
      </c>
      <c r="I1869" s="33" t="n">
        <v>15150.72</v>
      </c>
      <c r="J1869" s="33" t="n">
        <v>15150.72</v>
      </c>
    </row>
    <row r="1870" customFormat="false" ht="15" hidden="false" customHeight="false" outlineLevel="0" collapsed="false">
      <c r="A1870" s="3" t="s">
        <v>2260</v>
      </c>
      <c r="B1870" s="3" t="s">
        <v>283</v>
      </c>
      <c r="C1870" s="3" t="s">
        <v>380</v>
      </c>
      <c r="D1870" s="3" t="s">
        <v>392</v>
      </c>
      <c r="E1870" s="3" t="s">
        <v>385</v>
      </c>
      <c r="F1870" s="16" t="n">
        <v>12</v>
      </c>
      <c r="G1870" s="15" t="n">
        <v>0</v>
      </c>
      <c r="H1870" s="16" t="n">
        <v>7</v>
      </c>
      <c r="I1870" s="33" t="n">
        <v>15146.64</v>
      </c>
      <c r="J1870" s="33" t="n">
        <v>15146.64</v>
      </c>
    </row>
    <row r="1871" customFormat="false" ht="15" hidden="false" customHeight="false" outlineLevel="0" collapsed="false">
      <c r="A1871" s="3" t="s">
        <v>2261</v>
      </c>
      <c r="B1871" s="3" t="s">
        <v>283</v>
      </c>
      <c r="C1871" s="3" t="s">
        <v>380</v>
      </c>
      <c r="D1871" s="3" t="s">
        <v>392</v>
      </c>
      <c r="E1871" s="3" t="s">
        <v>398</v>
      </c>
      <c r="F1871" s="16" t="n">
        <v>1</v>
      </c>
      <c r="G1871" s="15" t="n">
        <v>0</v>
      </c>
      <c r="H1871" s="16" t="n">
        <v>1</v>
      </c>
      <c r="I1871" s="33" t="n">
        <v>15143.16</v>
      </c>
      <c r="J1871" s="33" t="n">
        <v>15143.16</v>
      </c>
    </row>
    <row r="1872" customFormat="false" ht="15" hidden="false" customHeight="false" outlineLevel="0" collapsed="false">
      <c r="A1872" s="3" t="s">
        <v>2262</v>
      </c>
      <c r="B1872" s="3" t="s">
        <v>283</v>
      </c>
      <c r="C1872" s="3" t="s">
        <v>380</v>
      </c>
      <c r="D1872" s="3" t="s">
        <v>392</v>
      </c>
      <c r="E1872" s="3" t="s">
        <v>385</v>
      </c>
      <c r="F1872" s="16" t="n">
        <v>12</v>
      </c>
      <c r="G1872" s="15" t="n">
        <v>0</v>
      </c>
      <c r="H1872" s="16" t="n">
        <v>8</v>
      </c>
      <c r="I1872" s="33" t="n">
        <v>15141.24</v>
      </c>
      <c r="J1872" s="33" t="n">
        <v>15141.24</v>
      </c>
    </row>
    <row r="1873" customFormat="false" ht="15" hidden="false" customHeight="false" outlineLevel="0" collapsed="false">
      <c r="A1873" s="3" t="s">
        <v>2263</v>
      </c>
      <c r="B1873" s="3" t="s">
        <v>283</v>
      </c>
      <c r="C1873" s="3" t="s">
        <v>401</v>
      </c>
      <c r="D1873" s="3" t="s">
        <v>418</v>
      </c>
      <c r="E1873" s="3" t="s">
        <v>385</v>
      </c>
      <c r="F1873" s="16" t="n">
        <v>1</v>
      </c>
      <c r="G1873" s="15" t="n">
        <v>0.05</v>
      </c>
      <c r="H1873" s="16" t="n">
        <v>1</v>
      </c>
      <c r="I1873" s="33" t="n">
        <v>15126.48</v>
      </c>
      <c r="J1873" s="33" t="n">
        <v>15922.56</v>
      </c>
    </row>
    <row r="1874" customFormat="false" ht="15" hidden="false" customHeight="false" outlineLevel="0" collapsed="false">
      <c r="A1874" s="3" t="s">
        <v>2264</v>
      </c>
      <c r="B1874" s="3" t="s">
        <v>283</v>
      </c>
      <c r="C1874" s="3" t="s">
        <v>405</v>
      </c>
      <c r="D1874" s="3" t="s">
        <v>692</v>
      </c>
      <c r="E1874" s="3" t="s">
        <v>398</v>
      </c>
      <c r="F1874" s="16" t="n">
        <v>1</v>
      </c>
      <c r="G1874" s="15" t="n">
        <v>0</v>
      </c>
      <c r="H1874" s="16" t="n">
        <v>1</v>
      </c>
      <c r="I1874" s="33" t="n">
        <v>15113.64</v>
      </c>
      <c r="J1874" s="33" t="n">
        <v>15113.64</v>
      </c>
    </row>
    <row r="1875" customFormat="false" ht="15" hidden="false" customHeight="false" outlineLevel="0" collapsed="false">
      <c r="A1875" s="3" t="s">
        <v>2265</v>
      </c>
      <c r="B1875" s="3" t="s">
        <v>283</v>
      </c>
      <c r="C1875" s="3" t="s">
        <v>384</v>
      </c>
      <c r="D1875" s="3" t="s">
        <v>692</v>
      </c>
      <c r="E1875" s="3" t="s">
        <v>385</v>
      </c>
      <c r="F1875" s="16" t="n">
        <v>1</v>
      </c>
      <c r="G1875" s="15" t="n">
        <v>0.1</v>
      </c>
      <c r="H1875" s="16" t="n">
        <v>1</v>
      </c>
      <c r="I1875" s="33" t="n">
        <v>15076.92</v>
      </c>
      <c r="J1875" s="33" t="n">
        <v>16752.12</v>
      </c>
    </row>
    <row r="1876" customFormat="false" ht="15" hidden="false" customHeight="false" outlineLevel="0" collapsed="false">
      <c r="A1876" s="3" t="s">
        <v>2266</v>
      </c>
      <c r="B1876" s="3" t="s">
        <v>283</v>
      </c>
      <c r="C1876" s="3" t="s">
        <v>387</v>
      </c>
      <c r="D1876" s="3" t="s">
        <v>418</v>
      </c>
      <c r="E1876" s="3" t="s">
        <v>398</v>
      </c>
      <c r="F1876" s="16" t="n">
        <v>1</v>
      </c>
      <c r="G1876" s="15" t="n">
        <v>0.025</v>
      </c>
      <c r="H1876" s="16" t="n">
        <v>1</v>
      </c>
      <c r="I1876" s="33" t="n">
        <v>15076.08</v>
      </c>
      <c r="J1876" s="33" t="n">
        <v>15462.6</v>
      </c>
    </row>
    <row r="1877" customFormat="false" ht="15" hidden="false" customHeight="false" outlineLevel="0" collapsed="false">
      <c r="A1877" s="3" t="s">
        <v>2267</v>
      </c>
      <c r="B1877" s="3" t="s">
        <v>283</v>
      </c>
      <c r="C1877" s="3" t="s">
        <v>403</v>
      </c>
      <c r="D1877" s="3" t="s">
        <v>388</v>
      </c>
      <c r="E1877" s="3" t="s">
        <v>382</v>
      </c>
      <c r="F1877" s="16" t="n">
        <v>1</v>
      </c>
      <c r="G1877" s="15" t="n">
        <v>0</v>
      </c>
      <c r="H1877" s="16" t="n">
        <v>1</v>
      </c>
      <c r="I1877" s="33" t="n">
        <v>15061.92</v>
      </c>
      <c r="J1877" s="33" t="n">
        <v>15061.92</v>
      </c>
    </row>
    <row r="1878" customFormat="false" ht="15" hidden="false" customHeight="false" outlineLevel="0" collapsed="false">
      <c r="A1878" s="3" t="s">
        <v>2268</v>
      </c>
      <c r="B1878" s="3" t="s">
        <v>283</v>
      </c>
      <c r="C1878" s="3" t="s">
        <v>401</v>
      </c>
      <c r="D1878" s="3" t="s">
        <v>692</v>
      </c>
      <c r="E1878" s="3" t="s">
        <v>385</v>
      </c>
      <c r="F1878" s="16" t="n">
        <v>12</v>
      </c>
      <c r="G1878" s="15" t="n">
        <v>0</v>
      </c>
      <c r="H1878" s="16" t="n">
        <v>12</v>
      </c>
      <c r="I1878" s="33" t="n">
        <v>15060.36</v>
      </c>
      <c r="J1878" s="33" t="n">
        <v>15060.36</v>
      </c>
    </row>
    <row r="1879" customFormat="false" ht="15" hidden="false" customHeight="false" outlineLevel="0" collapsed="false">
      <c r="A1879" s="3" t="s">
        <v>2269</v>
      </c>
      <c r="B1879" s="3" t="s">
        <v>283</v>
      </c>
      <c r="C1879" s="3" t="s">
        <v>384</v>
      </c>
      <c r="D1879" s="3" t="s">
        <v>418</v>
      </c>
      <c r="E1879" s="3" t="s">
        <v>385</v>
      </c>
      <c r="F1879" s="16" t="n">
        <v>12</v>
      </c>
      <c r="G1879" s="15" t="n">
        <v>0.25</v>
      </c>
      <c r="H1879" s="16" t="n">
        <v>3</v>
      </c>
      <c r="I1879" s="33" t="n">
        <v>15049.56</v>
      </c>
      <c r="J1879" s="33" t="n">
        <v>20066.16</v>
      </c>
    </row>
    <row r="1880" customFormat="false" ht="15" hidden="false" customHeight="false" outlineLevel="0" collapsed="false">
      <c r="A1880" s="3" t="s">
        <v>2270</v>
      </c>
      <c r="B1880" s="3" t="s">
        <v>283</v>
      </c>
      <c r="C1880" s="3" t="s">
        <v>403</v>
      </c>
      <c r="D1880" s="3" t="s">
        <v>381</v>
      </c>
      <c r="E1880" s="3" t="s">
        <v>398</v>
      </c>
      <c r="F1880" s="16" t="n">
        <v>1</v>
      </c>
      <c r="G1880" s="15" t="n">
        <v>0</v>
      </c>
      <c r="H1880" s="16" t="n">
        <v>1</v>
      </c>
      <c r="I1880" s="33" t="n">
        <v>15036.6</v>
      </c>
      <c r="J1880" s="33" t="n">
        <v>15036.6</v>
      </c>
    </row>
    <row r="1881" customFormat="false" ht="15" hidden="false" customHeight="false" outlineLevel="0" collapsed="false">
      <c r="A1881" s="3" t="s">
        <v>2271</v>
      </c>
      <c r="B1881" s="3" t="s">
        <v>283</v>
      </c>
      <c r="C1881" s="3" t="s">
        <v>384</v>
      </c>
      <c r="D1881" s="3" t="s">
        <v>418</v>
      </c>
      <c r="E1881" s="3" t="s">
        <v>385</v>
      </c>
      <c r="F1881" s="16" t="n">
        <v>12</v>
      </c>
      <c r="G1881" s="15" t="n">
        <v>0</v>
      </c>
      <c r="H1881" s="16" t="n">
        <v>5</v>
      </c>
      <c r="I1881" s="33" t="n">
        <v>15033.48</v>
      </c>
      <c r="J1881" s="33" t="n">
        <v>15033.48</v>
      </c>
    </row>
    <row r="1882" customFormat="false" ht="15" hidden="false" customHeight="false" outlineLevel="0" collapsed="false">
      <c r="A1882" s="3" t="s">
        <v>2272</v>
      </c>
      <c r="B1882" s="3" t="s">
        <v>283</v>
      </c>
      <c r="C1882" s="3" t="s">
        <v>387</v>
      </c>
      <c r="D1882" s="3" t="s">
        <v>418</v>
      </c>
      <c r="E1882" s="3" t="s">
        <v>398</v>
      </c>
      <c r="F1882" s="16" t="n">
        <v>1</v>
      </c>
      <c r="G1882" s="15" t="n">
        <v>0.1</v>
      </c>
      <c r="H1882" s="16" t="n">
        <v>1</v>
      </c>
      <c r="I1882" s="33" t="n">
        <v>15032.04</v>
      </c>
      <c r="J1882" s="33" t="n">
        <v>16702.2</v>
      </c>
    </row>
    <row r="1883" customFormat="false" ht="15" hidden="false" customHeight="false" outlineLevel="0" collapsed="false">
      <c r="A1883" s="3" t="s">
        <v>2273</v>
      </c>
      <c r="B1883" s="3" t="s">
        <v>283</v>
      </c>
      <c r="C1883" s="3" t="s">
        <v>403</v>
      </c>
      <c r="D1883" s="3" t="s">
        <v>392</v>
      </c>
      <c r="E1883" s="3" t="s">
        <v>398</v>
      </c>
      <c r="F1883" s="16" t="n">
        <v>12</v>
      </c>
      <c r="G1883" s="15" t="n">
        <v>0</v>
      </c>
      <c r="H1883" s="16" t="n">
        <v>12</v>
      </c>
      <c r="I1883" s="33" t="n">
        <v>15017.4</v>
      </c>
      <c r="J1883" s="33" t="n">
        <v>15017.4</v>
      </c>
    </row>
    <row r="1884" customFormat="false" ht="15" hidden="false" customHeight="false" outlineLevel="0" collapsed="false">
      <c r="A1884" s="3" t="s">
        <v>2274</v>
      </c>
      <c r="B1884" s="3" t="s">
        <v>283</v>
      </c>
      <c r="C1884" s="3" t="s">
        <v>396</v>
      </c>
      <c r="D1884" s="3" t="s">
        <v>392</v>
      </c>
      <c r="E1884" s="3" t="s">
        <v>382</v>
      </c>
      <c r="F1884" s="16" t="n">
        <v>12</v>
      </c>
      <c r="G1884" s="15" t="n">
        <v>0</v>
      </c>
      <c r="H1884" s="16" t="n">
        <v>7</v>
      </c>
      <c r="I1884" s="33" t="n">
        <v>15012.96</v>
      </c>
      <c r="J1884" s="33" t="n">
        <v>15012.96</v>
      </c>
    </row>
    <row r="1885" customFormat="false" ht="15" hidden="false" customHeight="false" outlineLevel="0" collapsed="false">
      <c r="A1885" s="3" t="s">
        <v>2275</v>
      </c>
      <c r="B1885" s="3" t="s">
        <v>283</v>
      </c>
      <c r="C1885" s="3" t="s">
        <v>387</v>
      </c>
      <c r="D1885" s="3" t="s">
        <v>692</v>
      </c>
      <c r="E1885" s="3" t="s">
        <v>398</v>
      </c>
      <c r="F1885" s="16" t="n">
        <v>1</v>
      </c>
      <c r="G1885" s="15" t="n">
        <v>0</v>
      </c>
      <c r="H1885" s="16" t="n">
        <v>1</v>
      </c>
      <c r="I1885" s="33" t="n">
        <v>15002.64</v>
      </c>
      <c r="J1885" s="33" t="n">
        <v>15002.64</v>
      </c>
    </row>
    <row r="1886" customFormat="false" ht="15" hidden="false" customHeight="false" outlineLevel="0" collapsed="false">
      <c r="A1886" s="3" t="s">
        <v>2276</v>
      </c>
      <c r="B1886" s="3" t="s">
        <v>283</v>
      </c>
      <c r="C1886" s="3" t="s">
        <v>387</v>
      </c>
      <c r="D1886" s="3" t="s">
        <v>418</v>
      </c>
      <c r="E1886" s="3" t="s">
        <v>398</v>
      </c>
      <c r="F1886" s="16" t="n">
        <v>1</v>
      </c>
      <c r="G1886" s="15" t="n">
        <v>0</v>
      </c>
      <c r="H1886" s="16" t="n">
        <v>1</v>
      </c>
      <c r="I1886" s="33" t="n">
        <v>15000.84</v>
      </c>
      <c r="J1886" s="33" t="n">
        <v>15000.84</v>
      </c>
    </row>
    <row r="1887" customFormat="false" ht="15" hidden="false" customHeight="false" outlineLevel="0" collapsed="false">
      <c r="A1887" s="3" t="s">
        <v>2277</v>
      </c>
      <c r="B1887" s="3" t="s">
        <v>283</v>
      </c>
      <c r="C1887" s="3" t="s">
        <v>380</v>
      </c>
      <c r="D1887" s="3" t="s">
        <v>381</v>
      </c>
      <c r="E1887" s="3" t="s">
        <v>398</v>
      </c>
      <c r="F1887" s="16" t="n">
        <v>12</v>
      </c>
      <c r="G1887" s="15" t="n">
        <v>0.15</v>
      </c>
      <c r="H1887" s="16" t="n">
        <v>9</v>
      </c>
      <c r="I1887" s="33" t="n">
        <v>14996.28</v>
      </c>
      <c r="J1887" s="33" t="n">
        <v>17642.64</v>
      </c>
    </row>
    <row r="1888" customFormat="false" ht="15" hidden="false" customHeight="false" outlineLevel="0" collapsed="false">
      <c r="A1888" s="3" t="s">
        <v>2278</v>
      </c>
      <c r="B1888" s="3" t="s">
        <v>283</v>
      </c>
      <c r="C1888" s="3" t="s">
        <v>380</v>
      </c>
      <c r="D1888" s="3" t="s">
        <v>392</v>
      </c>
      <c r="E1888" s="3" t="s">
        <v>398</v>
      </c>
      <c r="F1888" s="16" t="n">
        <v>1</v>
      </c>
      <c r="G1888" s="15" t="n">
        <v>0</v>
      </c>
      <c r="H1888" s="16" t="n">
        <v>1</v>
      </c>
      <c r="I1888" s="33" t="n">
        <v>14991.6</v>
      </c>
      <c r="J1888" s="33" t="n">
        <v>14991.6</v>
      </c>
    </row>
    <row r="1889" customFormat="false" ht="15" hidden="false" customHeight="false" outlineLevel="0" collapsed="false">
      <c r="A1889" s="3" t="s">
        <v>2279</v>
      </c>
      <c r="B1889" s="3" t="s">
        <v>283</v>
      </c>
      <c r="C1889" s="3" t="s">
        <v>403</v>
      </c>
      <c r="D1889" s="3" t="s">
        <v>692</v>
      </c>
      <c r="E1889" s="3" t="s">
        <v>382</v>
      </c>
      <c r="F1889" s="16" t="n">
        <v>12</v>
      </c>
      <c r="G1889" s="15" t="n">
        <v>0</v>
      </c>
      <c r="H1889" s="16" t="n">
        <v>7</v>
      </c>
      <c r="I1889" s="33" t="n">
        <v>14979.48</v>
      </c>
      <c r="J1889" s="33" t="n">
        <v>14979.48</v>
      </c>
    </row>
    <row r="1890" customFormat="false" ht="15" hidden="false" customHeight="false" outlineLevel="0" collapsed="false">
      <c r="A1890" s="3" t="s">
        <v>2280</v>
      </c>
      <c r="B1890" s="3" t="s">
        <v>283</v>
      </c>
      <c r="C1890" s="3" t="s">
        <v>401</v>
      </c>
      <c r="D1890" s="3" t="s">
        <v>388</v>
      </c>
      <c r="E1890" s="3" t="s">
        <v>398</v>
      </c>
      <c r="F1890" s="16" t="n">
        <v>12</v>
      </c>
      <c r="G1890" s="15" t="n">
        <v>0</v>
      </c>
      <c r="H1890" s="16" t="n">
        <v>3</v>
      </c>
      <c r="I1890" s="33" t="n">
        <v>14941.68</v>
      </c>
      <c r="J1890" s="33" t="n">
        <v>14941.68</v>
      </c>
    </row>
    <row r="1891" customFormat="false" ht="15" hidden="false" customHeight="false" outlineLevel="0" collapsed="false">
      <c r="A1891" s="3" t="s">
        <v>2281</v>
      </c>
      <c r="B1891" s="3" t="s">
        <v>283</v>
      </c>
      <c r="C1891" s="3" t="s">
        <v>396</v>
      </c>
      <c r="D1891" s="3" t="s">
        <v>692</v>
      </c>
      <c r="E1891" s="3" t="s">
        <v>382</v>
      </c>
      <c r="F1891" s="16" t="n">
        <v>12</v>
      </c>
      <c r="G1891" s="15" t="n">
        <v>0</v>
      </c>
      <c r="H1891" s="16" t="n">
        <v>12</v>
      </c>
      <c r="I1891" s="33" t="n">
        <v>14935.44</v>
      </c>
      <c r="J1891" s="33" t="n">
        <v>14935.44</v>
      </c>
    </row>
    <row r="1892" customFormat="false" ht="15" hidden="false" customHeight="false" outlineLevel="0" collapsed="false">
      <c r="A1892" s="3" t="s">
        <v>2282</v>
      </c>
      <c r="B1892" s="3" t="s">
        <v>283</v>
      </c>
      <c r="C1892" s="3" t="s">
        <v>387</v>
      </c>
      <c r="D1892" s="3" t="s">
        <v>692</v>
      </c>
      <c r="E1892" s="3" t="s">
        <v>385</v>
      </c>
      <c r="F1892" s="16" t="n">
        <v>12</v>
      </c>
      <c r="G1892" s="15" t="n">
        <v>0</v>
      </c>
      <c r="H1892" s="16" t="n">
        <v>10</v>
      </c>
      <c r="I1892" s="33" t="n">
        <v>14910.84</v>
      </c>
      <c r="J1892" s="33" t="n">
        <v>14910.84</v>
      </c>
    </row>
    <row r="1893" customFormat="false" ht="15" hidden="false" customHeight="false" outlineLevel="0" collapsed="false">
      <c r="A1893" s="3" t="s">
        <v>2283</v>
      </c>
      <c r="B1893" s="3" t="s">
        <v>283</v>
      </c>
      <c r="C1893" s="3" t="s">
        <v>396</v>
      </c>
      <c r="D1893" s="3" t="s">
        <v>692</v>
      </c>
      <c r="E1893" s="3" t="s">
        <v>385</v>
      </c>
      <c r="F1893" s="16" t="n">
        <v>12</v>
      </c>
      <c r="G1893" s="15" t="n">
        <v>0</v>
      </c>
      <c r="H1893" s="16" t="n">
        <v>1</v>
      </c>
      <c r="I1893" s="33" t="n">
        <v>14909.88</v>
      </c>
      <c r="J1893" s="33" t="n">
        <v>14909.88</v>
      </c>
    </row>
    <row r="1894" customFormat="false" ht="15" hidden="false" customHeight="false" outlineLevel="0" collapsed="false">
      <c r="A1894" s="3" t="s">
        <v>2284</v>
      </c>
      <c r="B1894" s="3" t="s">
        <v>283</v>
      </c>
      <c r="C1894" s="3" t="s">
        <v>396</v>
      </c>
      <c r="D1894" s="3" t="s">
        <v>692</v>
      </c>
      <c r="E1894" s="3" t="s">
        <v>382</v>
      </c>
      <c r="F1894" s="16" t="n">
        <v>1</v>
      </c>
      <c r="G1894" s="15" t="n">
        <v>0</v>
      </c>
      <c r="H1894" s="16" t="n">
        <v>1</v>
      </c>
      <c r="I1894" s="33" t="n">
        <v>14904.48</v>
      </c>
      <c r="J1894" s="33" t="n">
        <v>14904.48</v>
      </c>
    </row>
    <row r="1895" customFormat="false" ht="15" hidden="false" customHeight="false" outlineLevel="0" collapsed="false">
      <c r="A1895" s="3" t="s">
        <v>2285</v>
      </c>
      <c r="B1895" s="3" t="s">
        <v>283</v>
      </c>
      <c r="C1895" s="3" t="s">
        <v>401</v>
      </c>
      <c r="D1895" s="3" t="s">
        <v>418</v>
      </c>
      <c r="E1895" s="3" t="s">
        <v>398</v>
      </c>
      <c r="F1895" s="16" t="n">
        <v>1</v>
      </c>
      <c r="G1895" s="15" t="n">
        <v>0.05</v>
      </c>
      <c r="H1895" s="16" t="n">
        <v>1</v>
      </c>
      <c r="I1895" s="33" t="n">
        <v>14903.88</v>
      </c>
      <c r="J1895" s="33" t="n">
        <v>15688.32</v>
      </c>
    </row>
    <row r="1896" customFormat="false" ht="15" hidden="false" customHeight="false" outlineLevel="0" collapsed="false">
      <c r="A1896" s="3" t="s">
        <v>2286</v>
      </c>
      <c r="B1896" s="3" t="s">
        <v>283</v>
      </c>
      <c r="C1896" s="3" t="s">
        <v>387</v>
      </c>
      <c r="D1896" s="3" t="s">
        <v>381</v>
      </c>
      <c r="E1896" s="3" t="s">
        <v>385</v>
      </c>
      <c r="F1896" s="16" t="n">
        <v>1</v>
      </c>
      <c r="G1896" s="15" t="n">
        <v>0</v>
      </c>
      <c r="H1896" s="16" t="n">
        <v>1</v>
      </c>
      <c r="I1896" s="33" t="n">
        <v>14895</v>
      </c>
      <c r="J1896" s="33" t="n">
        <v>14895</v>
      </c>
    </row>
    <row r="1897" customFormat="false" ht="15" hidden="false" customHeight="false" outlineLevel="0" collapsed="false">
      <c r="A1897" s="3" t="s">
        <v>2287</v>
      </c>
      <c r="B1897" s="3" t="s">
        <v>283</v>
      </c>
      <c r="C1897" s="3" t="s">
        <v>401</v>
      </c>
      <c r="D1897" s="3" t="s">
        <v>692</v>
      </c>
      <c r="E1897" s="3" t="s">
        <v>398</v>
      </c>
      <c r="F1897" s="16" t="n">
        <v>1</v>
      </c>
      <c r="G1897" s="15" t="n">
        <v>0</v>
      </c>
      <c r="H1897" s="16" t="n">
        <v>1</v>
      </c>
      <c r="I1897" s="33" t="n">
        <v>14859.24</v>
      </c>
      <c r="J1897" s="33" t="n">
        <v>14859.24</v>
      </c>
    </row>
    <row r="1898" customFormat="false" ht="15" hidden="false" customHeight="false" outlineLevel="0" collapsed="false">
      <c r="A1898" s="3" t="s">
        <v>2288</v>
      </c>
      <c r="B1898" s="3" t="s">
        <v>283</v>
      </c>
      <c r="C1898" s="3" t="s">
        <v>401</v>
      </c>
      <c r="D1898" s="3" t="s">
        <v>692</v>
      </c>
      <c r="E1898" s="3" t="s">
        <v>398</v>
      </c>
      <c r="F1898" s="16" t="n">
        <v>12</v>
      </c>
      <c r="G1898" s="15" t="n">
        <v>0</v>
      </c>
      <c r="H1898" s="16" t="n">
        <v>2</v>
      </c>
      <c r="I1898" s="33" t="n">
        <v>14850.24</v>
      </c>
      <c r="J1898" s="33" t="n">
        <v>14850.24</v>
      </c>
    </row>
    <row r="1899" customFormat="false" ht="15" hidden="false" customHeight="false" outlineLevel="0" collapsed="false">
      <c r="A1899" s="3" t="s">
        <v>2289</v>
      </c>
      <c r="B1899" s="3" t="s">
        <v>283</v>
      </c>
      <c r="C1899" s="3" t="s">
        <v>401</v>
      </c>
      <c r="D1899" s="3" t="s">
        <v>392</v>
      </c>
      <c r="E1899" s="3" t="s">
        <v>398</v>
      </c>
      <c r="F1899" s="16" t="n">
        <v>12</v>
      </c>
      <c r="G1899" s="15" t="n">
        <v>0</v>
      </c>
      <c r="H1899" s="16" t="n">
        <v>11</v>
      </c>
      <c r="I1899" s="33" t="n">
        <v>14834.4</v>
      </c>
      <c r="J1899" s="33" t="n">
        <v>14834.4</v>
      </c>
    </row>
    <row r="1900" customFormat="false" ht="15" hidden="false" customHeight="false" outlineLevel="0" collapsed="false">
      <c r="A1900" s="3" t="s">
        <v>2290</v>
      </c>
      <c r="B1900" s="3" t="s">
        <v>283</v>
      </c>
      <c r="C1900" s="3" t="s">
        <v>387</v>
      </c>
      <c r="D1900" s="3" t="s">
        <v>392</v>
      </c>
      <c r="E1900" s="3" t="s">
        <v>382</v>
      </c>
      <c r="F1900" s="16" t="n">
        <v>1</v>
      </c>
      <c r="G1900" s="15" t="n">
        <v>0</v>
      </c>
      <c r="H1900" s="16" t="n">
        <v>1</v>
      </c>
      <c r="I1900" s="33" t="n">
        <v>14820.96</v>
      </c>
      <c r="J1900" s="33" t="n">
        <v>14820.96</v>
      </c>
    </row>
    <row r="1901" customFormat="false" ht="15" hidden="false" customHeight="false" outlineLevel="0" collapsed="false">
      <c r="A1901" s="3" t="s">
        <v>2291</v>
      </c>
      <c r="B1901" s="3" t="s">
        <v>283</v>
      </c>
      <c r="C1901" s="3" t="s">
        <v>384</v>
      </c>
      <c r="D1901" s="3" t="s">
        <v>418</v>
      </c>
      <c r="E1901" s="3" t="s">
        <v>398</v>
      </c>
      <c r="F1901" s="16" t="n">
        <v>1</v>
      </c>
      <c r="G1901" s="15" t="n">
        <v>0.2</v>
      </c>
      <c r="H1901" s="16" t="n">
        <v>1</v>
      </c>
      <c r="I1901" s="33" t="n">
        <v>14814.12</v>
      </c>
      <c r="J1901" s="33" t="n">
        <v>18517.68</v>
      </c>
    </row>
    <row r="1902" customFormat="false" ht="15" hidden="false" customHeight="false" outlineLevel="0" collapsed="false">
      <c r="A1902" s="3" t="s">
        <v>2292</v>
      </c>
      <c r="B1902" s="3" t="s">
        <v>283</v>
      </c>
      <c r="C1902" s="3" t="s">
        <v>396</v>
      </c>
      <c r="D1902" s="3" t="s">
        <v>418</v>
      </c>
      <c r="E1902" s="3" t="s">
        <v>385</v>
      </c>
      <c r="F1902" s="16" t="n">
        <v>12</v>
      </c>
      <c r="G1902" s="15" t="n">
        <v>0</v>
      </c>
      <c r="H1902" s="16" t="n">
        <v>7</v>
      </c>
      <c r="I1902" s="33" t="n">
        <v>14807.64</v>
      </c>
      <c r="J1902" s="33" t="n">
        <v>14807.64</v>
      </c>
    </row>
    <row r="1903" customFormat="false" ht="15" hidden="false" customHeight="false" outlineLevel="0" collapsed="false">
      <c r="A1903" s="3" t="s">
        <v>2293</v>
      </c>
      <c r="B1903" s="3" t="s">
        <v>283</v>
      </c>
      <c r="C1903" s="3" t="s">
        <v>384</v>
      </c>
      <c r="D1903" s="3" t="s">
        <v>392</v>
      </c>
      <c r="E1903" s="3" t="s">
        <v>398</v>
      </c>
      <c r="F1903" s="16" t="n">
        <v>1</v>
      </c>
      <c r="G1903" s="15" t="n">
        <v>0</v>
      </c>
      <c r="H1903" s="16" t="n">
        <v>1</v>
      </c>
      <c r="I1903" s="33" t="n">
        <v>14801.04</v>
      </c>
      <c r="J1903" s="33" t="n">
        <v>14801.04</v>
      </c>
    </row>
    <row r="1904" customFormat="false" ht="15" hidden="false" customHeight="false" outlineLevel="0" collapsed="false">
      <c r="A1904" s="3" t="s">
        <v>2294</v>
      </c>
      <c r="B1904" s="3" t="s">
        <v>283</v>
      </c>
      <c r="C1904" s="3" t="s">
        <v>384</v>
      </c>
      <c r="D1904" s="3" t="s">
        <v>692</v>
      </c>
      <c r="E1904" s="3" t="s">
        <v>398</v>
      </c>
      <c r="F1904" s="16" t="n">
        <v>1</v>
      </c>
      <c r="G1904" s="15" t="n">
        <v>0</v>
      </c>
      <c r="H1904" s="16" t="n">
        <v>1</v>
      </c>
      <c r="I1904" s="33" t="n">
        <v>14799.12</v>
      </c>
      <c r="J1904" s="33" t="n">
        <v>14799.12</v>
      </c>
    </row>
    <row r="1905" customFormat="false" ht="15" hidden="false" customHeight="false" outlineLevel="0" collapsed="false">
      <c r="A1905" s="3" t="s">
        <v>2295</v>
      </c>
      <c r="B1905" s="3" t="s">
        <v>283</v>
      </c>
      <c r="C1905" s="3" t="s">
        <v>405</v>
      </c>
      <c r="D1905" s="3" t="s">
        <v>381</v>
      </c>
      <c r="E1905" s="3" t="s">
        <v>398</v>
      </c>
      <c r="F1905" s="16" t="n">
        <v>1</v>
      </c>
      <c r="G1905" s="15" t="n">
        <v>0</v>
      </c>
      <c r="H1905" s="16" t="n">
        <v>1</v>
      </c>
      <c r="I1905" s="33" t="n">
        <v>14792.4</v>
      </c>
      <c r="J1905" s="33" t="n">
        <v>14792.4</v>
      </c>
    </row>
    <row r="1906" customFormat="false" ht="15" hidden="false" customHeight="false" outlineLevel="0" collapsed="false">
      <c r="A1906" s="3" t="s">
        <v>2296</v>
      </c>
      <c r="B1906" s="3" t="s">
        <v>283</v>
      </c>
      <c r="C1906" s="3" t="s">
        <v>403</v>
      </c>
      <c r="D1906" s="3" t="s">
        <v>418</v>
      </c>
      <c r="E1906" s="3" t="s">
        <v>398</v>
      </c>
      <c r="F1906" s="16" t="n">
        <v>12</v>
      </c>
      <c r="G1906" s="15" t="n">
        <v>0</v>
      </c>
      <c r="H1906" s="16" t="n">
        <v>6</v>
      </c>
      <c r="I1906" s="33" t="n">
        <v>14791.8</v>
      </c>
      <c r="J1906" s="33" t="n">
        <v>14791.8</v>
      </c>
    </row>
    <row r="1907" customFormat="false" ht="15" hidden="false" customHeight="false" outlineLevel="0" collapsed="false">
      <c r="A1907" s="3" t="s">
        <v>2297</v>
      </c>
      <c r="B1907" s="3" t="s">
        <v>283</v>
      </c>
      <c r="C1907" s="3" t="s">
        <v>403</v>
      </c>
      <c r="D1907" s="3" t="s">
        <v>392</v>
      </c>
      <c r="E1907" s="3" t="s">
        <v>385</v>
      </c>
      <c r="F1907" s="16" t="n">
        <v>1</v>
      </c>
      <c r="G1907" s="15" t="n">
        <v>0</v>
      </c>
      <c r="H1907" s="16" t="n">
        <v>1</v>
      </c>
      <c r="I1907" s="33" t="n">
        <v>14743.56</v>
      </c>
      <c r="J1907" s="33" t="n">
        <v>14743.56</v>
      </c>
    </row>
    <row r="1908" customFormat="false" ht="15" hidden="false" customHeight="false" outlineLevel="0" collapsed="false">
      <c r="A1908" s="3" t="s">
        <v>2298</v>
      </c>
      <c r="B1908" s="3" t="s">
        <v>283</v>
      </c>
      <c r="C1908" s="3" t="s">
        <v>387</v>
      </c>
      <c r="D1908" s="3" t="s">
        <v>692</v>
      </c>
      <c r="E1908" s="3" t="s">
        <v>398</v>
      </c>
      <c r="F1908" s="16" t="n">
        <v>1</v>
      </c>
      <c r="G1908" s="15" t="n">
        <v>0.05</v>
      </c>
      <c r="H1908" s="16" t="n">
        <v>1</v>
      </c>
      <c r="I1908" s="33" t="n">
        <v>14717.04</v>
      </c>
      <c r="J1908" s="33" t="n">
        <v>15491.52</v>
      </c>
    </row>
    <row r="1909" customFormat="false" ht="15" hidden="false" customHeight="false" outlineLevel="0" collapsed="false">
      <c r="A1909" s="3" t="s">
        <v>2299</v>
      </c>
      <c r="B1909" s="3" t="s">
        <v>283</v>
      </c>
      <c r="C1909" s="3" t="s">
        <v>403</v>
      </c>
      <c r="D1909" s="3" t="s">
        <v>392</v>
      </c>
      <c r="E1909" s="3" t="s">
        <v>398</v>
      </c>
      <c r="F1909" s="16" t="n">
        <v>12</v>
      </c>
      <c r="G1909" s="15" t="n">
        <v>0.2</v>
      </c>
      <c r="H1909" s="16" t="n">
        <v>9</v>
      </c>
      <c r="I1909" s="33" t="n">
        <v>14699.88</v>
      </c>
      <c r="J1909" s="33" t="n">
        <v>18374.76</v>
      </c>
    </row>
    <row r="1910" customFormat="false" ht="15" hidden="false" customHeight="false" outlineLevel="0" collapsed="false">
      <c r="A1910" s="3" t="s">
        <v>2300</v>
      </c>
      <c r="B1910" s="3" t="s">
        <v>283</v>
      </c>
      <c r="C1910" s="3" t="s">
        <v>384</v>
      </c>
      <c r="D1910" s="3" t="s">
        <v>692</v>
      </c>
      <c r="E1910" s="3" t="s">
        <v>398</v>
      </c>
      <c r="F1910" s="16" t="n">
        <v>12</v>
      </c>
      <c r="G1910" s="15" t="n">
        <v>0</v>
      </c>
      <c r="H1910" s="16" t="n">
        <v>7</v>
      </c>
      <c r="I1910" s="33" t="n">
        <v>14696.88</v>
      </c>
      <c r="J1910" s="33" t="n">
        <v>14696.88</v>
      </c>
    </row>
    <row r="1911" customFormat="false" ht="15" hidden="false" customHeight="false" outlineLevel="0" collapsed="false">
      <c r="A1911" s="3" t="s">
        <v>2301</v>
      </c>
      <c r="B1911" s="3" t="s">
        <v>283</v>
      </c>
      <c r="C1911" s="3" t="s">
        <v>384</v>
      </c>
      <c r="D1911" s="3" t="s">
        <v>418</v>
      </c>
      <c r="E1911" s="3" t="s">
        <v>385</v>
      </c>
      <c r="F1911" s="16" t="n">
        <v>1</v>
      </c>
      <c r="G1911" s="15" t="n">
        <v>0</v>
      </c>
      <c r="H1911" s="16" t="n">
        <v>1</v>
      </c>
      <c r="I1911" s="33" t="n">
        <v>14679.24</v>
      </c>
      <c r="J1911" s="33" t="n">
        <v>14679.24</v>
      </c>
    </row>
    <row r="1912" customFormat="false" ht="15" hidden="false" customHeight="false" outlineLevel="0" collapsed="false">
      <c r="A1912" s="3" t="s">
        <v>2302</v>
      </c>
      <c r="B1912" s="3" t="s">
        <v>283</v>
      </c>
      <c r="C1912" s="3" t="s">
        <v>396</v>
      </c>
      <c r="D1912" s="3" t="s">
        <v>392</v>
      </c>
      <c r="E1912" s="3" t="s">
        <v>385</v>
      </c>
      <c r="F1912" s="16" t="n">
        <v>1</v>
      </c>
      <c r="G1912" s="15" t="n">
        <v>0</v>
      </c>
      <c r="H1912" s="16" t="n">
        <v>1</v>
      </c>
      <c r="I1912" s="33" t="n">
        <v>14678.16</v>
      </c>
      <c r="J1912" s="33" t="n">
        <v>14678.16</v>
      </c>
    </row>
    <row r="1913" customFormat="false" ht="15" hidden="false" customHeight="false" outlineLevel="0" collapsed="false">
      <c r="A1913" s="3" t="s">
        <v>2303</v>
      </c>
      <c r="B1913" s="3" t="s">
        <v>283</v>
      </c>
      <c r="C1913" s="3" t="s">
        <v>405</v>
      </c>
      <c r="D1913" s="3" t="s">
        <v>392</v>
      </c>
      <c r="E1913" s="3" t="s">
        <v>398</v>
      </c>
      <c r="F1913" s="16" t="n">
        <v>1</v>
      </c>
      <c r="G1913" s="15" t="n">
        <v>0</v>
      </c>
      <c r="H1913" s="16" t="n">
        <v>1</v>
      </c>
      <c r="I1913" s="33" t="n">
        <v>14649.24</v>
      </c>
      <c r="J1913" s="33" t="n">
        <v>14649.24</v>
      </c>
    </row>
    <row r="1914" customFormat="false" ht="15" hidden="false" customHeight="false" outlineLevel="0" collapsed="false">
      <c r="A1914" s="3" t="s">
        <v>2304</v>
      </c>
      <c r="B1914" s="3" t="s">
        <v>283</v>
      </c>
      <c r="C1914" s="3" t="s">
        <v>403</v>
      </c>
      <c r="D1914" s="3" t="s">
        <v>388</v>
      </c>
      <c r="E1914" s="3" t="s">
        <v>385</v>
      </c>
      <c r="F1914" s="16" t="n">
        <v>1</v>
      </c>
      <c r="G1914" s="15" t="n">
        <v>0</v>
      </c>
      <c r="H1914" s="16" t="n">
        <v>1</v>
      </c>
      <c r="I1914" s="33" t="n">
        <v>14648.4</v>
      </c>
      <c r="J1914" s="33" t="n">
        <v>14648.4</v>
      </c>
    </row>
    <row r="1915" customFormat="false" ht="15" hidden="false" customHeight="false" outlineLevel="0" collapsed="false">
      <c r="A1915" s="3" t="s">
        <v>2305</v>
      </c>
      <c r="B1915" s="3" t="s">
        <v>283</v>
      </c>
      <c r="C1915" s="3" t="s">
        <v>403</v>
      </c>
      <c r="D1915" s="3" t="s">
        <v>392</v>
      </c>
      <c r="E1915" s="3" t="s">
        <v>385</v>
      </c>
      <c r="F1915" s="16" t="n">
        <v>1</v>
      </c>
      <c r="G1915" s="15" t="n">
        <v>0</v>
      </c>
      <c r="H1915" s="16" t="n">
        <v>1</v>
      </c>
      <c r="I1915" s="33" t="n">
        <v>14646.12</v>
      </c>
      <c r="J1915" s="33" t="n">
        <v>14646.12</v>
      </c>
    </row>
    <row r="1916" customFormat="false" ht="15" hidden="false" customHeight="false" outlineLevel="0" collapsed="false">
      <c r="A1916" s="3" t="s">
        <v>2306</v>
      </c>
      <c r="B1916" s="3" t="s">
        <v>283</v>
      </c>
      <c r="C1916" s="3" t="s">
        <v>384</v>
      </c>
      <c r="D1916" s="3" t="s">
        <v>418</v>
      </c>
      <c r="E1916" s="3" t="s">
        <v>382</v>
      </c>
      <c r="F1916" s="16" t="n">
        <v>1</v>
      </c>
      <c r="G1916" s="15" t="n">
        <v>0</v>
      </c>
      <c r="H1916" s="16" t="n">
        <v>1</v>
      </c>
      <c r="I1916" s="33" t="n">
        <v>14635.68</v>
      </c>
      <c r="J1916" s="33" t="n">
        <v>14635.68</v>
      </c>
    </row>
    <row r="1917" customFormat="false" ht="15" hidden="false" customHeight="false" outlineLevel="0" collapsed="false">
      <c r="A1917" s="3" t="s">
        <v>2307</v>
      </c>
      <c r="B1917" s="3" t="s">
        <v>283</v>
      </c>
      <c r="C1917" s="3" t="s">
        <v>403</v>
      </c>
      <c r="D1917" s="3" t="s">
        <v>692</v>
      </c>
      <c r="E1917" s="3" t="s">
        <v>385</v>
      </c>
      <c r="F1917" s="16" t="n">
        <v>1</v>
      </c>
      <c r="G1917" s="15" t="n">
        <v>0</v>
      </c>
      <c r="H1917" s="16" t="n">
        <v>1</v>
      </c>
      <c r="I1917" s="33" t="n">
        <v>14623.2</v>
      </c>
      <c r="J1917" s="33" t="n">
        <v>14623.2</v>
      </c>
    </row>
    <row r="1918" customFormat="false" ht="15" hidden="false" customHeight="false" outlineLevel="0" collapsed="false">
      <c r="A1918" s="3" t="s">
        <v>2308</v>
      </c>
      <c r="B1918" s="3" t="s">
        <v>283</v>
      </c>
      <c r="C1918" s="3" t="s">
        <v>405</v>
      </c>
      <c r="D1918" s="3" t="s">
        <v>692</v>
      </c>
      <c r="E1918" s="3" t="s">
        <v>398</v>
      </c>
      <c r="F1918" s="16" t="n">
        <v>1</v>
      </c>
      <c r="G1918" s="15" t="n">
        <v>0.125</v>
      </c>
      <c r="H1918" s="16" t="n">
        <v>1</v>
      </c>
      <c r="I1918" s="33" t="n">
        <v>14618.16</v>
      </c>
      <c r="J1918" s="33" t="n">
        <v>16706.52</v>
      </c>
    </row>
    <row r="1919" customFormat="false" ht="15" hidden="false" customHeight="false" outlineLevel="0" collapsed="false">
      <c r="A1919" s="3" t="s">
        <v>2309</v>
      </c>
      <c r="B1919" s="3" t="s">
        <v>283</v>
      </c>
      <c r="C1919" s="3" t="s">
        <v>380</v>
      </c>
      <c r="D1919" s="3" t="s">
        <v>388</v>
      </c>
      <c r="E1919" s="3" t="s">
        <v>385</v>
      </c>
      <c r="F1919" s="16" t="n">
        <v>1</v>
      </c>
      <c r="G1919" s="15" t="n">
        <v>0.15</v>
      </c>
      <c r="H1919" s="16" t="n">
        <v>1</v>
      </c>
      <c r="I1919" s="33" t="n">
        <v>14617.44</v>
      </c>
      <c r="J1919" s="33" t="n">
        <v>17196.96</v>
      </c>
    </row>
    <row r="1920" customFormat="false" ht="15" hidden="false" customHeight="false" outlineLevel="0" collapsed="false">
      <c r="A1920" s="3" t="s">
        <v>2310</v>
      </c>
      <c r="B1920" s="3" t="s">
        <v>283</v>
      </c>
      <c r="C1920" s="3" t="s">
        <v>403</v>
      </c>
      <c r="D1920" s="3" t="s">
        <v>381</v>
      </c>
      <c r="E1920" s="3" t="s">
        <v>398</v>
      </c>
      <c r="F1920" s="16" t="n">
        <v>1</v>
      </c>
      <c r="G1920" s="15" t="n">
        <v>0</v>
      </c>
      <c r="H1920" s="16" t="n">
        <v>1</v>
      </c>
      <c r="I1920" s="33" t="n">
        <v>14615.4</v>
      </c>
      <c r="J1920" s="33" t="n">
        <v>14615.4</v>
      </c>
    </row>
    <row r="1921" customFormat="false" ht="15" hidden="false" customHeight="false" outlineLevel="0" collapsed="false">
      <c r="A1921" s="3" t="s">
        <v>2311</v>
      </c>
      <c r="B1921" s="3" t="s">
        <v>283</v>
      </c>
      <c r="C1921" s="3" t="s">
        <v>396</v>
      </c>
      <c r="D1921" s="3" t="s">
        <v>388</v>
      </c>
      <c r="E1921" s="3" t="s">
        <v>398</v>
      </c>
      <c r="F1921" s="16" t="n">
        <v>1</v>
      </c>
      <c r="G1921" s="15" t="n">
        <v>0.1</v>
      </c>
      <c r="H1921" s="16" t="n">
        <v>1</v>
      </c>
      <c r="I1921" s="33" t="n">
        <v>14609.4</v>
      </c>
      <c r="J1921" s="33" t="n">
        <v>16232.64</v>
      </c>
    </row>
    <row r="1922" customFormat="false" ht="15" hidden="false" customHeight="false" outlineLevel="0" collapsed="false">
      <c r="A1922" s="3" t="s">
        <v>2312</v>
      </c>
      <c r="B1922" s="3" t="s">
        <v>283</v>
      </c>
      <c r="C1922" s="3" t="s">
        <v>405</v>
      </c>
      <c r="D1922" s="3" t="s">
        <v>692</v>
      </c>
      <c r="E1922" s="3" t="s">
        <v>382</v>
      </c>
      <c r="F1922" s="16" t="n">
        <v>1</v>
      </c>
      <c r="G1922" s="15" t="n">
        <v>0</v>
      </c>
      <c r="H1922" s="16" t="n">
        <v>1</v>
      </c>
      <c r="I1922" s="33" t="n">
        <v>14574.84</v>
      </c>
      <c r="J1922" s="33" t="n">
        <v>14574.84</v>
      </c>
    </row>
    <row r="1923" customFormat="false" ht="15" hidden="false" customHeight="false" outlineLevel="0" collapsed="false">
      <c r="A1923" s="3" t="s">
        <v>2313</v>
      </c>
      <c r="B1923" s="3" t="s">
        <v>283</v>
      </c>
      <c r="C1923" s="3" t="s">
        <v>405</v>
      </c>
      <c r="D1923" s="3" t="s">
        <v>692</v>
      </c>
      <c r="E1923" s="3" t="s">
        <v>382</v>
      </c>
      <c r="F1923" s="16" t="n">
        <v>1</v>
      </c>
      <c r="G1923" s="15" t="n">
        <v>0</v>
      </c>
      <c r="H1923" s="16" t="n">
        <v>1</v>
      </c>
      <c r="I1923" s="33" t="n">
        <v>14570.64</v>
      </c>
      <c r="J1923" s="33" t="n">
        <v>14570.64</v>
      </c>
    </row>
    <row r="1924" customFormat="false" ht="15" hidden="false" customHeight="false" outlineLevel="0" collapsed="false">
      <c r="A1924" s="3" t="s">
        <v>2314</v>
      </c>
      <c r="B1924" s="3" t="s">
        <v>282</v>
      </c>
      <c r="C1924" s="3" t="s">
        <v>396</v>
      </c>
      <c r="D1924" s="3" t="s">
        <v>388</v>
      </c>
      <c r="E1924" s="3" t="s">
        <v>398</v>
      </c>
      <c r="F1924" s="16" t="n">
        <v>12</v>
      </c>
      <c r="G1924" s="15" t="n">
        <v>0</v>
      </c>
      <c r="H1924" s="16" t="n">
        <v>5</v>
      </c>
      <c r="I1924" s="33" t="n">
        <v>14562.84</v>
      </c>
      <c r="J1924" s="33" t="n">
        <v>14562.84</v>
      </c>
    </row>
    <row r="1925" customFormat="false" ht="15" hidden="false" customHeight="false" outlineLevel="0" collapsed="false">
      <c r="A1925" s="3" t="s">
        <v>2315</v>
      </c>
      <c r="B1925" s="3" t="s">
        <v>283</v>
      </c>
      <c r="C1925" s="3" t="s">
        <v>384</v>
      </c>
      <c r="D1925" s="3" t="s">
        <v>692</v>
      </c>
      <c r="E1925" s="3" t="s">
        <v>398</v>
      </c>
      <c r="F1925" s="16" t="n">
        <v>1</v>
      </c>
      <c r="G1925" s="15" t="n">
        <v>0</v>
      </c>
      <c r="H1925" s="16" t="n">
        <v>1</v>
      </c>
      <c r="I1925" s="33" t="n">
        <v>14559.6</v>
      </c>
      <c r="J1925" s="33" t="n">
        <v>14559.6</v>
      </c>
    </row>
    <row r="1926" customFormat="false" ht="15" hidden="false" customHeight="false" outlineLevel="0" collapsed="false">
      <c r="A1926" s="3" t="s">
        <v>2316</v>
      </c>
      <c r="B1926" s="3" t="s">
        <v>283</v>
      </c>
      <c r="C1926" s="3" t="s">
        <v>405</v>
      </c>
      <c r="D1926" s="3" t="s">
        <v>692</v>
      </c>
      <c r="E1926" s="3" t="s">
        <v>398</v>
      </c>
      <c r="F1926" s="16" t="n">
        <v>1</v>
      </c>
      <c r="G1926" s="15" t="n">
        <v>0.2</v>
      </c>
      <c r="H1926" s="16" t="n">
        <v>1</v>
      </c>
      <c r="I1926" s="33" t="n">
        <v>14549.76</v>
      </c>
      <c r="J1926" s="33" t="n">
        <v>18187.2</v>
      </c>
    </row>
    <row r="1927" customFormat="false" ht="15" hidden="false" customHeight="false" outlineLevel="0" collapsed="false">
      <c r="A1927" s="3" t="s">
        <v>2317</v>
      </c>
      <c r="B1927" s="3" t="s">
        <v>283</v>
      </c>
      <c r="C1927" s="3" t="s">
        <v>396</v>
      </c>
      <c r="D1927" s="3" t="s">
        <v>692</v>
      </c>
      <c r="E1927" s="3" t="s">
        <v>398</v>
      </c>
      <c r="F1927" s="16" t="n">
        <v>1</v>
      </c>
      <c r="G1927" s="15" t="n">
        <v>0</v>
      </c>
      <c r="H1927" s="16" t="n">
        <v>1</v>
      </c>
      <c r="I1927" s="33" t="n">
        <v>14546.76</v>
      </c>
      <c r="J1927" s="33" t="n">
        <v>14546.76</v>
      </c>
    </row>
    <row r="1928" customFormat="false" ht="15" hidden="false" customHeight="false" outlineLevel="0" collapsed="false">
      <c r="A1928" s="3" t="s">
        <v>2318</v>
      </c>
      <c r="B1928" s="3" t="s">
        <v>283</v>
      </c>
      <c r="C1928" s="3" t="s">
        <v>405</v>
      </c>
      <c r="D1928" s="3" t="s">
        <v>692</v>
      </c>
      <c r="E1928" s="3" t="s">
        <v>398</v>
      </c>
      <c r="F1928" s="16" t="n">
        <v>12</v>
      </c>
      <c r="G1928" s="15" t="n">
        <v>0</v>
      </c>
      <c r="H1928" s="16" t="n">
        <v>5</v>
      </c>
      <c r="I1928" s="33" t="n">
        <v>14542.44</v>
      </c>
      <c r="J1928" s="33" t="n">
        <v>14542.44</v>
      </c>
    </row>
    <row r="1929" customFormat="false" ht="15" hidden="false" customHeight="false" outlineLevel="0" collapsed="false">
      <c r="A1929" s="3" t="s">
        <v>2319</v>
      </c>
      <c r="B1929" s="3" t="s">
        <v>283</v>
      </c>
      <c r="C1929" s="3" t="s">
        <v>401</v>
      </c>
      <c r="D1929" s="3" t="s">
        <v>692</v>
      </c>
      <c r="E1929" s="3" t="s">
        <v>398</v>
      </c>
      <c r="F1929" s="16" t="n">
        <v>1</v>
      </c>
      <c r="G1929" s="15" t="n">
        <v>0</v>
      </c>
      <c r="H1929" s="16" t="n">
        <v>1</v>
      </c>
      <c r="I1929" s="33" t="n">
        <v>14530.56</v>
      </c>
      <c r="J1929" s="33" t="n">
        <v>14530.56</v>
      </c>
    </row>
    <row r="1930" customFormat="false" ht="15" hidden="false" customHeight="false" outlineLevel="0" collapsed="false">
      <c r="A1930" s="3" t="s">
        <v>2320</v>
      </c>
      <c r="B1930" s="3" t="s">
        <v>283</v>
      </c>
      <c r="C1930" s="3" t="s">
        <v>396</v>
      </c>
      <c r="D1930" s="3" t="s">
        <v>692</v>
      </c>
      <c r="E1930" s="3" t="s">
        <v>398</v>
      </c>
      <c r="F1930" s="16" t="n">
        <v>12</v>
      </c>
      <c r="G1930" s="15" t="n">
        <v>0</v>
      </c>
      <c r="H1930" s="16" t="n">
        <v>7</v>
      </c>
      <c r="I1930" s="33" t="n">
        <v>14517.48</v>
      </c>
      <c r="J1930" s="33" t="n">
        <v>14517.48</v>
      </c>
    </row>
    <row r="1931" customFormat="false" ht="15" hidden="false" customHeight="false" outlineLevel="0" collapsed="false">
      <c r="A1931" s="3" t="s">
        <v>2321</v>
      </c>
      <c r="B1931" s="3" t="s">
        <v>283</v>
      </c>
      <c r="C1931" s="3" t="s">
        <v>380</v>
      </c>
      <c r="D1931" s="3" t="s">
        <v>418</v>
      </c>
      <c r="E1931" s="3" t="s">
        <v>385</v>
      </c>
      <c r="F1931" s="16" t="n">
        <v>12</v>
      </c>
      <c r="G1931" s="15" t="n">
        <v>0</v>
      </c>
      <c r="H1931" s="16" t="n">
        <v>10</v>
      </c>
      <c r="I1931" s="33" t="n">
        <v>14512.44</v>
      </c>
      <c r="J1931" s="33" t="n">
        <v>14512.44</v>
      </c>
    </row>
    <row r="1932" customFormat="false" ht="15" hidden="false" customHeight="false" outlineLevel="0" collapsed="false">
      <c r="A1932" s="3" t="s">
        <v>2322</v>
      </c>
      <c r="B1932" s="3" t="s">
        <v>283</v>
      </c>
      <c r="C1932" s="3" t="s">
        <v>401</v>
      </c>
      <c r="D1932" s="3" t="s">
        <v>392</v>
      </c>
      <c r="E1932" s="3" t="s">
        <v>398</v>
      </c>
      <c r="F1932" s="16" t="n">
        <v>12</v>
      </c>
      <c r="G1932" s="15" t="n">
        <v>0</v>
      </c>
      <c r="H1932" s="16" t="n">
        <v>7</v>
      </c>
      <c r="I1932" s="33" t="n">
        <v>14502.24</v>
      </c>
      <c r="J1932" s="33" t="n">
        <v>14502.24</v>
      </c>
    </row>
    <row r="1933" customFormat="false" ht="15" hidden="false" customHeight="false" outlineLevel="0" collapsed="false">
      <c r="A1933" s="3" t="s">
        <v>2323</v>
      </c>
      <c r="B1933" s="3" t="s">
        <v>282</v>
      </c>
      <c r="C1933" s="3" t="s">
        <v>403</v>
      </c>
      <c r="D1933" s="3" t="s">
        <v>381</v>
      </c>
      <c r="E1933" s="3" t="s">
        <v>398</v>
      </c>
      <c r="F1933" s="16" t="n">
        <v>24</v>
      </c>
      <c r="G1933" s="15" t="n">
        <v>0.025</v>
      </c>
      <c r="H1933" s="16" t="n">
        <v>22</v>
      </c>
      <c r="I1933" s="33" t="n">
        <v>14491.08</v>
      </c>
      <c r="J1933" s="33" t="n">
        <v>14862.6</v>
      </c>
    </row>
    <row r="1934" customFormat="false" ht="15" hidden="false" customHeight="false" outlineLevel="0" collapsed="false">
      <c r="A1934" s="3" t="s">
        <v>2324</v>
      </c>
      <c r="B1934" s="3" t="s">
        <v>283</v>
      </c>
      <c r="C1934" s="3" t="s">
        <v>401</v>
      </c>
      <c r="D1934" s="3" t="s">
        <v>392</v>
      </c>
      <c r="E1934" s="3" t="s">
        <v>385</v>
      </c>
      <c r="F1934" s="16" t="n">
        <v>12</v>
      </c>
      <c r="G1934" s="15" t="n">
        <v>0.1</v>
      </c>
      <c r="H1934" s="16" t="n">
        <v>9</v>
      </c>
      <c r="I1934" s="33" t="n">
        <v>14484</v>
      </c>
      <c r="J1934" s="33" t="n">
        <v>16093.32</v>
      </c>
    </row>
    <row r="1935" customFormat="false" ht="15" hidden="false" customHeight="false" outlineLevel="0" collapsed="false">
      <c r="A1935" s="3" t="s">
        <v>2325</v>
      </c>
      <c r="B1935" s="3" t="s">
        <v>283</v>
      </c>
      <c r="C1935" s="3" t="s">
        <v>401</v>
      </c>
      <c r="D1935" s="3" t="s">
        <v>692</v>
      </c>
      <c r="E1935" s="3" t="s">
        <v>398</v>
      </c>
      <c r="F1935" s="16" t="n">
        <v>1</v>
      </c>
      <c r="G1935" s="15" t="n">
        <v>0</v>
      </c>
      <c r="H1935" s="16" t="n">
        <v>1</v>
      </c>
      <c r="I1935" s="33" t="n">
        <v>14457.24</v>
      </c>
      <c r="J1935" s="33" t="n">
        <v>14457.24</v>
      </c>
    </row>
    <row r="1936" customFormat="false" ht="15" hidden="false" customHeight="false" outlineLevel="0" collapsed="false">
      <c r="A1936" s="3" t="s">
        <v>2326</v>
      </c>
      <c r="B1936" s="3" t="s">
        <v>283</v>
      </c>
      <c r="C1936" s="3" t="s">
        <v>380</v>
      </c>
      <c r="D1936" s="3" t="s">
        <v>692</v>
      </c>
      <c r="E1936" s="3" t="s">
        <v>398</v>
      </c>
      <c r="F1936" s="16" t="n">
        <v>12</v>
      </c>
      <c r="G1936" s="15" t="n">
        <v>0</v>
      </c>
      <c r="H1936" s="16" t="n">
        <v>1</v>
      </c>
      <c r="I1936" s="33" t="n">
        <v>14454.72</v>
      </c>
      <c r="J1936" s="33" t="n">
        <v>14454.72</v>
      </c>
    </row>
    <row r="1937" customFormat="false" ht="15" hidden="false" customHeight="false" outlineLevel="0" collapsed="false">
      <c r="A1937" s="3" t="s">
        <v>2327</v>
      </c>
      <c r="B1937" s="3" t="s">
        <v>283</v>
      </c>
      <c r="C1937" s="3" t="s">
        <v>387</v>
      </c>
      <c r="D1937" s="3" t="s">
        <v>692</v>
      </c>
      <c r="E1937" s="3" t="s">
        <v>385</v>
      </c>
      <c r="F1937" s="16" t="n">
        <v>1</v>
      </c>
      <c r="G1937" s="15" t="n">
        <v>0</v>
      </c>
      <c r="H1937" s="16" t="n">
        <v>1</v>
      </c>
      <c r="I1937" s="33" t="n">
        <v>14439.12</v>
      </c>
      <c r="J1937" s="33" t="n">
        <v>14439.12</v>
      </c>
    </row>
    <row r="1938" customFormat="false" ht="15" hidden="false" customHeight="false" outlineLevel="0" collapsed="false">
      <c r="A1938" s="3" t="s">
        <v>2328</v>
      </c>
      <c r="B1938" s="3" t="s">
        <v>283</v>
      </c>
      <c r="C1938" s="3" t="s">
        <v>380</v>
      </c>
      <c r="D1938" s="3" t="s">
        <v>381</v>
      </c>
      <c r="E1938" s="3" t="s">
        <v>398</v>
      </c>
      <c r="F1938" s="16" t="n">
        <v>12</v>
      </c>
      <c r="G1938" s="15" t="n">
        <v>0</v>
      </c>
      <c r="H1938" s="16" t="n">
        <v>1</v>
      </c>
      <c r="I1938" s="33" t="n">
        <v>14430.6</v>
      </c>
      <c r="J1938" s="33" t="n">
        <v>14430.6</v>
      </c>
    </row>
    <row r="1939" customFormat="false" ht="15" hidden="false" customHeight="false" outlineLevel="0" collapsed="false">
      <c r="A1939" s="3" t="s">
        <v>2329</v>
      </c>
      <c r="B1939" s="3" t="s">
        <v>283</v>
      </c>
      <c r="C1939" s="3" t="s">
        <v>384</v>
      </c>
      <c r="D1939" s="3" t="s">
        <v>392</v>
      </c>
      <c r="E1939" s="3" t="s">
        <v>385</v>
      </c>
      <c r="F1939" s="16" t="n">
        <v>12</v>
      </c>
      <c r="G1939" s="15" t="n">
        <v>0</v>
      </c>
      <c r="H1939" s="16" t="n">
        <v>12</v>
      </c>
      <c r="I1939" s="33" t="n">
        <v>14420.76</v>
      </c>
      <c r="J1939" s="33" t="n">
        <v>14420.76</v>
      </c>
    </row>
    <row r="1940" customFormat="false" ht="15" hidden="false" customHeight="false" outlineLevel="0" collapsed="false">
      <c r="A1940" s="3" t="s">
        <v>2330</v>
      </c>
      <c r="B1940" s="3" t="s">
        <v>283</v>
      </c>
      <c r="C1940" s="3" t="s">
        <v>396</v>
      </c>
      <c r="D1940" s="3" t="s">
        <v>388</v>
      </c>
      <c r="E1940" s="3" t="s">
        <v>398</v>
      </c>
      <c r="F1940" s="16" t="n">
        <v>1</v>
      </c>
      <c r="G1940" s="15" t="n">
        <v>0</v>
      </c>
      <c r="H1940" s="16" t="n">
        <v>1</v>
      </c>
      <c r="I1940" s="33" t="n">
        <v>14397.12</v>
      </c>
      <c r="J1940" s="33" t="n">
        <v>14397.12</v>
      </c>
    </row>
    <row r="1941" customFormat="false" ht="15" hidden="false" customHeight="false" outlineLevel="0" collapsed="false">
      <c r="A1941" s="3" t="s">
        <v>2331</v>
      </c>
      <c r="B1941" s="3" t="s">
        <v>283</v>
      </c>
      <c r="C1941" s="3" t="s">
        <v>384</v>
      </c>
      <c r="D1941" s="3" t="s">
        <v>392</v>
      </c>
      <c r="E1941" s="3" t="s">
        <v>398</v>
      </c>
      <c r="F1941" s="16" t="n">
        <v>1</v>
      </c>
      <c r="G1941" s="15" t="n">
        <v>0</v>
      </c>
      <c r="H1941" s="16" t="n">
        <v>1</v>
      </c>
      <c r="I1941" s="33" t="n">
        <v>14393.4</v>
      </c>
      <c r="J1941" s="33" t="n">
        <v>14393.4</v>
      </c>
    </row>
    <row r="1942" customFormat="false" ht="15" hidden="false" customHeight="false" outlineLevel="0" collapsed="false">
      <c r="A1942" s="3" t="s">
        <v>2332</v>
      </c>
      <c r="B1942" s="3" t="s">
        <v>283</v>
      </c>
      <c r="C1942" s="3" t="s">
        <v>396</v>
      </c>
      <c r="D1942" s="3" t="s">
        <v>418</v>
      </c>
      <c r="E1942" s="3" t="s">
        <v>382</v>
      </c>
      <c r="F1942" s="16" t="n">
        <v>1</v>
      </c>
      <c r="G1942" s="15" t="n">
        <v>0.125</v>
      </c>
      <c r="H1942" s="16" t="n">
        <v>1</v>
      </c>
      <c r="I1942" s="33" t="n">
        <v>14382.48</v>
      </c>
      <c r="J1942" s="33" t="n">
        <v>16437.12</v>
      </c>
    </row>
    <row r="1943" customFormat="false" ht="15" hidden="false" customHeight="false" outlineLevel="0" collapsed="false">
      <c r="A1943" s="3" t="s">
        <v>2333</v>
      </c>
      <c r="B1943" s="3" t="s">
        <v>283</v>
      </c>
      <c r="C1943" s="3" t="s">
        <v>405</v>
      </c>
      <c r="D1943" s="3" t="s">
        <v>692</v>
      </c>
      <c r="E1943" s="3" t="s">
        <v>398</v>
      </c>
      <c r="F1943" s="16" t="n">
        <v>12</v>
      </c>
      <c r="G1943" s="15" t="n">
        <v>0</v>
      </c>
      <c r="H1943" s="16" t="n">
        <v>10</v>
      </c>
      <c r="I1943" s="33" t="n">
        <v>14373.84</v>
      </c>
      <c r="J1943" s="33" t="n">
        <v>14373.84</v>
      </c>
    </row>
    <row r="1944" customFormat="false" ht="15" hidden="false" customHeight="false" outlineLevel="0" collapsed="false">
      <c r="A1944" s="3" t="s">
        <v>2334</v>
      </c>
      <c r="B1944" s="3" t="s">
        <v>283</v>
      </c>
      <c r="C1944" s="3" t="s">
        <v>403</v>
      </c>
      <c r="D1944" s="3" t="s">
        <v>392</v>
      </c>
      <c r="E1944" s="3" t="s">
        <v>398</v>
      </c>
      <c r="F1944" s="16" t="n">
        <v>1</v>
      </c>
      <c r="G1944" s="15" t="n">
        <v>0</v>
      </c>
      <c r="H1944" s="16" t="n">
        <v>1</v>
      </c>
      <c r="I1944" s="33" t="n">
        <v>14358.6</v>
      </c>
      <c r="J1944" s="33" t="n">
        <v>14358.6</v>
      </c>
    </row>
    <row r="1945" customFormat="false" ht="15" hidden="false" customHeight="false" outlineLevel="0" collapsed="false">
      <c r="A1945" s="3" t="s">
        <v>2335</v>
      </c>
      <c r="B1945" s="3" t="s">
        <v>283</v>
      </c>
      <c r="C1945" s="3" t="s">
        <v>405</v>
      </c>
      <c r="D1945" s="3" t="s">
        <v>392</v>
      </c>
      <c r="E1945" s="3" t="s">
        <v>398</v>
      </c>
      <c r="F1945" s="16" t="n">
        <v>12</v>
      </c>
      <c r="G1945" s="15" t="n">
        <v>0</v>
      </c>
      <c r="H1945" s="16" t="n">
        <v>11</v>
      </c>
      <c r="I1945" s="33" t="n">
        <v>14354.64</v>
      </c>
      <c r="J1945" s="33" t="n">
        <v>14354.64</v>
      </c>
    </row>
    <row r="1946" customFormat="false" ht="15" hidden="false" customHeight="false" outlineLevel="0" collapsed="false">
      <c r="A1946" s="3" t="s">
        <v>2336</v>
      </c>
      <c r="B1946" s="3" t="s">
        <v>283</v>
      </c>
      <c r="C1946" s="3" t="s">
        <v>387</v>
      </c>
      <c r="D1946" s="3" t="s">
        <v>418</v>
      </c>
      <c r="E1946" s="3" t="s">
        <v>385</v>
      </c>
      <c r="F1946" s="16" t="n">
        <v>1</v>
      </c>
      <c r="G1946" s="15" t="n">
        <v>0.25</v>
      </c>
      <c r="H1946" s="16" t="n">
        <v>1</v>
      </c>
      <c r="I1946" s="33" t="n">
        <v>14347.2</v>
      </c>
      <c r="J1946" s="33" t="n">
        <v>19129.56</v>
      </c>
    </row>
    <row r="1947" customFormat="false" ht="15" hidden="false" customHeight="false" outlineLevel="0" collapsed="false">
      <c r="A1947" s="3" t="s">
        <v>2337</v>
      </c>
      <c r="B1947" s="3" t="s">
        <v>283</v>
      </c>
      <c r="C1947" s="3" t="s">
        <v>396</v>
      </c>
      <c r="D1947" s="3" t="s">
        <v>388</v>
      </c>
      <c r="E1947" s="3" t="s">
        <v>398</v>
      </c>
      <c r="F1947" s="16" t="n">
        <v>1</v>
      </c>
      <c r="G1947" s="15" t="n">
        <v>0</v>
      </c>
      <c r="H1947" s="16" t="n">
        <v>1</v>
      </c>
      <c r="I1947" s="33" t="n">
        <v>14331.6</v>
      </c>
      <c r="J1947" s="33" t="n">
        <v>14331.6</v>
      </c>
    </row>
    <row r="1948" customFormat="false" ht="15" hidden="false" customHeight="false" outlineLevel="0" collapsed="false">
      <c r="A1948" s="3" t="s">
        <v>2338</v>
      </c>
      <c r="B1948" s="3" t="s">
        <v>283</v>
      </c>
      <c r="C1948" s="3" t="s">
        <v>380</v>
      </c>
      <c r="D1948" s="3" t="s">
        <v>392</v>
      </c>
      <c r="E1948" s="3" t="s">
        <v>398</v>
      </c>
      <c r="F1948" s="16" t="n">
        <v>12</v>
      </c>
      <c r="G1948" s="15" t="n">
        <v>0</v>
      </c>
      <c r="H1948" s="16" t="n">
        <v>8</v>
      </c>
      <c r="I1948" s="33" t="n">
        <v>14327.04</v>
      </c>
      <c r="J1948" s="33" t="n">
        <v>14327.04</v>
      </c>
    </row>
    <row r="1949" customFormat="false" ht="15" hidden="false" customHeight="false" outlineLevel="0" collapsed="false">
      <c r="A1949" s="3" t="s">
        <v>2339</v>
      </c>
      <c r="B1949" s="3" t="s">
        <v>283</v>
      </c>
      <c r="C1949" s="3" t="s">
        <v>403</v>
      </c>
      <c r="D1949" s="3" t="s">
        <v>692</v>
      </c>
      <c r="E1949" s="3" t="s">
        <v>398</v>
      </c>
      <c r="F1949" s="16" t="n">
        <v>12</v>
      </c>
      <c r="G1949" s="15" t="n">
        <v>0</v>
      </c>
      <c r="H1949" s="16" t="n">
        <v>6</v>
      </c>
      <c r="I1949" s="33" t="n">
        <v>14324.28</v>
      </c>
      <c r="J1949" s="33" t="n">
        <v>14324.28</v>
      </c>
    </row>
    <row r="1950" customFormat="false" ht="15" hidden="false" customHeight="false" outlineLevel="0" collapsed="false">
      <c r="A1950" s="3" t="s">
        <v>2340</v>
      </c>
      <c r="B1950" s="3" t="s">
        <v>283</v>
      </c>
      <c r="C1950" s="3" t="s">
        <v>401</v>
      </c>
      <c r="D1950" s="3" t="s">
        <v>418</v>
      </c>
      <c r="E1950" s="3" t="s">
        <v>382</v>
      </c>
      <c r="F1950" s="16" t="n">
        <v>1</v>
      </c>
      <c r="G1950" s="15" t="n">
        <v>0.1</v>
      </c>
      <c r="H1950" s="16" t="n">
        <v>1</v>
      </c>
      <c r="I1950" s="33" t="n">
        <v>14324.28</v>
      </c>
      <c r="J1950" s="33" t="n">
        <v>15915.84</v>
      </c>
    </row>
    <row r="1951" customFormat="false" ht="15" hidden="false" customHeight="false" outlineLevel="0" collapsed="false">
      <c r="A1951" s="3" t="s">
        <v>2341</v>
      </c>
      <c r="B1951" s="3" t="s">
        <v>283</v>
      </c>
      <c r="C1951" s="3" t="s">
        <v>396</v>
      </c>
      <c r="D1951" s="3" t="s">
        <v>418</v>
      </c>
      <c r="E1951" s="3" t="s">
        <v>382</v>
      </c>
      <c r="F1951" s="16" t="n">
        <v>1</v>
      </c>
      <c r="G1951" s="15" t="n">
        <v>0</v>
      </c>
      <c r="H1951" s="16" t="n">
        <v>1</v>
      </c>
      <c r="I1951" s="33" t="n">
        <v>14289.6</v>
      </c>
      <c r="J1951" s="33" t="n">
        <v>14289.6</v>
      </c>
    </row>
    <row r="1952" customFormat="false" ht="15" hidden="false" customHeight="false" outlineLevel="0" collapsed="false">
      <c r="A1952" s="3" t="s">
        <v>2342</v>
      </c>
      <c r="B1952" s="3" t="s">
        <v>283</v>
      </c>
      <c r="C1952" s="3" t="s">
        <v>380</v>
      </c>
      <c r="D1952" s="3" t="s">
        <v>692</v>
      </c>
      <c r="E1952" s="3" t="s">
        <v>398</v>
      </c>
      <c r="F1952" s="16" t="n">
        <v>1</v>
      </c>
      <c r="G1952" s="15" t="n">
        <v>0</v>
      </c>
      <c r="H1952" s="16" t="n">
        <v>1</v>
      </c>
      <c r="I1952" s="33" t="n">
        <v>14275.32</v>
      </c>
      <c r="J1952" s="33" t="n">
        <v>14275.32</v>
      </c>
    </row>
    <row r="1953" customFormat="false" ht="15" hidden="false" customHeight="false" outlineLevel="0" collapsed="false">
      <c r="A1953" s="3" t="s">
        <v>2343</v>
      </c>
      <c r="B1953" s="3" t="s">
        <v>283</v>
      </c>
      <c r="C1953" s="3" t="s">
        <v>401</v>
      </c>
      <c r="D1953" s="3" t="s">
        <v>692</v>
      </c>
      <c r="E1953" s="3" t="s">
        <v>398</v>
      </c>
      <c r="F1953" s="16" t="n">
        <v>12</v>
      </c>
      <c r="G1953" s="15" t="n">
        <v>0</v>
      </c>
      <c r="H1953" s="16" t="n">
        <v>7</v>
      </c>
      <c r="I1953" s="33" t="n">
        <v>14262.84</v>
      </c>
      <c r="J1953" s="33" t="n">
        <v>14262.84</v>
      </c>
    </row>
    <row r="1954" customFormat="false" ht="15" hidden="false" customHeight="false" outlineLevel="0" collapsed="false">
      <c r="A1954" s="3" t="s">
        <v>2344</v>
      </c>
      <c r="B1954" s="3" t="s">
        <v>283</v>
      </c>
      <c r="C1954" s="3" t="s">
        <v>396</v>
      </c>
      <c r="D1954" s="3" t="s">
        <v>692</v>
      </c>
      <c r="E1954" s="3" t="s">
        <v>398</v>
      </c>
      <c r="F1954" s="16" t="n">
        <v>1</v>
      </c>
      <c r="G1954" s="15" t="n">
        <v>0</v>
      </c>
      <c r="H1954" s="16" t="n">
        <v>1</v>
      </c>
      <c r="I1954" s="33" t="n">
        <v>14253.6</v>
      </c>
      <c r="J1954" s="33" t="n">
        <v>14253.6</v>
      </c>
    </row>
    <row r="1955" customFormat="false" ht="15" hidden="false" customHeight="false" outlineLevel="0" collapsed="false">
      <c r="A1955" s="3" t="s">
        <v>2345</v>
      </c>
      <c r="B1955" s="3" t="s">
        <v>283</v>
      </c>
      <c r="C1955" s="3" t="s">
        <v>401</v>
      </c>
      <c r="D1955" s="3" t="s">
        <v>692</v>
      </c>
      <c r="E1955" s="3" t="s">
        <v>398</v>
      </c>
      <c r="F1955" s="16" t="n">
        <v>1</v>
      </c>
      <c r="G1955" s="15" t="n">
        <v>0.05</v>
      </c>
      <c r="H1955" s="16" t="n">
        <v>1</v>
      </c>
      <c r="I1955" s="33" t="n">
        <v>14248.08</v>
      </c>
      <c r="J1955" s="33" t="n">
        <v>14997.96</v>
      </c>
    </row>
    <row r="1956" customFormat="false" ht="15" hidden="false" customHeight="false" outlineLevel="0" collapsed="false">
      <c r="A1956" s="3" t="s">
        <v>2346</v>
      </c>
      <c r="B1956" s="3" t="s">
        <v>283</v>
      </c>
      <c r="C1956" s="3" t="s">
        <v>387</v>
      </c>
      <c r="D1956" s="3" t="s">
        <v>418</v>
      </c>
      <c r="E1956" s="3" t="s">
        <v>398</v>
      </c>
      <c r="F1956" s="16" t="n">
        <v>1</v>
      </c>
      <c r="G1956" s="15" t="n">
        <v>0</v>
      </c>
      <c r="H1956" s="16" t="n">
        <v>1</v>
      </c>
      <c r="I1956" s="33" t="n">
        <v>14246.4</v>
      </c>
      <c r="J1956" s="33" t="n">
        <v>14246.4</v>
      </c>
    </row>
    <row r="1957" customFormat="false" ht="15" hidden="false" customHeight="false" outlineLevel="0" collapsed="false">
      <c r="A1957" s="3" t="s">
        <v>2347</v>
      </c>
      <c r="B1957" s="3" t="s">
        <v>283</v>
      </c>
      <c r="C1957" s="3" t="s">
        <v>387</v>
      </c>
      <c r="D1957" s="3" t="s">
        <v>692</v>
      </c>
      <c r="E1957" s="3" t="s">
        <v>398</v>
      </c>
      <c r="F1957" s="16" t="n">
        <v>1</v>
      </c>
      <c r="G1957" s="15" t="n">
        <v>0</v>
      </c>
      <c r="H1957" s="16" t="n">
        <v>1</v>
      </c>
      <c r="I1957" s="33" t="n">
        <v>14236.92</v>
      </c>
      <c r="J1957" s="33" t="n">
        <v>14236.92</v>
      </c>
    </row>
    <row r="1958" customFormat="false" ht="15" hidden="false" customHeight="false" outlineLevel="0" collapsed="false">
      <c r="A1958" s="3" t="s">
        <v>2348</v>
      </c>
      <c r="B1958" s="3" t="s">
        <v>283</v>
      </c>
      <c r="C1958" s="3" t="s">
        <v>380</v>
      </c>
      <c r="D1958" s="3" t="s">
        <v>692</v>
      </c>
      <c r="E1958" s="3" t="s">
        <v>398</v>
      </c>
      <c r="F1958" s="16" t="n">
        <v>1</v>
      </c>
      <c r="G1958" s="15" t="n">
        <v>0.1</v>
      </c>
      <c r="H1958" s="16" t="n">
        <v>1</v>
      </c>
      <c r="I1958" s="33" t="n">
        <v>14213.64</v>
      </c>
      <c r="J1958" s="33" t="n">
        <v>15792.96</v>
      </c>
    </row>
    <row r="1959" customFormat="false" ht="15" hidden="false" customHeight="false" outlineLevel="0" collapsed="false">
      <c r="A1959" s="3" t="s">
        <v>2349</v>
      </c>
      <c r="B1959" s="3" t="s">
        <v>283</v>
      </c>
      <c r="C1959" s="3" t="s">
        <v>380</v>
      </c>
      <c r="D1959" s="3" t="s">
        <v>692</v>
      </c>
      <c r="E1959" s="3" t="s">
        <v>398</v>
      </c>
      <c r="F1959" s="16" t="n">
        <v>12</v>
      </c>
      <c r="G1959" s="15" t="n">
        <v>0</v>
      </c>
      <c r="H1959" s="16" t="n">
        <v>1</v>
      </c>
      <c r="I1959" s="33" t="n">
        <v>14200.32</v>
      </c>
      <c r="J1959" s="33" t="n">
        <v>14200.32</v>
      </c>
    </row>
    <row r="1960" customFormat="false" ht="15" hidden="false" customHeight="false" outlineLevel="0" collapsed="false">
      <c r="A1960" s="3" t="s">
        <v>2350</v>
      </c>
      <c r="B1960" s="3" t="s">
        <v>283</v>
      </c>
      <c r="C1960" s="3" t="s">
        <v>380</v>
      </c>
      <c r="D1960" s="3" t="s">
        <v>692</v>
      </c>
      <c r="E1960" s="3" t="s">
        <v>398</v>
      </c>
      <c r="F1960" s="16" t="n">
        <v>1</v>
      </c>
      <c r="G1960" s="15" t="n">
        <v>0</v>
      </c>
      <c r="H1960" s="16" t="n">
        <v>1</v>
      </c>
      <c r="I1960" s="33" t="n">
        <v>14200.32</v>
      </c>
      <c r="J1960" s="33" t="n">
        <v>14200.32</v>
      </c>
    </row>
    <row r="1961" customFormat="false" ht="15" hidden="false" customHeight="false" outlineLevel="0" collapsed="false">
      <c r="A1961" s="3" t="s">
        <v>2351</v>
      </c>
      <c r="B1961" s="3" t="s">
        <v>283</v>
      </c>
      <c r="C1961" s="3" t="s">
        <v>396</v>
      </c>
      <c r="D1961" s="3" t="s">
        <v>418</v>
      </c>
      <c r="E1961" s="3" t="s">
        <v>398</v>
      </c>
      <c r="F1961" s="16" t="n">
        <v>1</v>
      </c>
      <c r="G1961" s="15" t="n">
        <v>0</v>
      </c>
      <c r="H1961" s="16" t="n">
        <v>1</v>
      </c>
      <c r="I1961" s="33" t="n">
        <v>14181.48</v>
      </c>
      <c r="J1961" s="33" t="n">
        <v>14181.48</v>
      </c>
    </row>
    <row r="1962" customFormat="false" ht="15" hidden="false" customHeight="false" outlineLevel="0" collapsed="false">
      <c r="A1962" s="3" t="s">
        <v>2352</v>
      </c>
      <c r="B1962" s="3" t="s">
        <v>283</v>
      </c>
      <c r="C1962" s="3" t="s">
        <v>380</v>
      </c>
      <c r="D1962" s="3" t="s">
        <v>418</v>
      </c>
      <c r="E1962" s="3" t="s">
        <v>398</v>
      </c>
      <c r="F1962" s="16" t="n">
        <v>1</v>
      </c>
      <c r="G1962" s="15" t="n">
        <v>0.1</v>
      </c>
      <c r="H1962" s="16" t="n">
        <v>1</v>
      </c>
      <c r="I1962" s="33" t="n">
        <v>14179.2</v>
      </c>
      <c r="J1962" s="33" t="n">
        <v>15754.68</v>
      </c>
    </row>
    <row r="1963" customFormat="false" ht="15" hidden="false" customHeight="false" outlineLevel="0" collapsed="false">
      <c r="A1963" s="3" t="s">
        <v>2353</v>
      </c>
      <c r="B1963" s="3" t="s">
        <v>283</v>
      </c>
      <c r="C1963" s="3" t="s">
        <v>384</v>
      </c>
      <c r="D1963" s="3" t="s">
        <v>692</v>
      </c>
      <c r="E1963" s="3" t="s">
        <v>398</v>
      </c>
      <c r="F1963" s="16" t="n">
        <v>1</v>
      </c>
      <c r="G1963" s="15" t="n">
        <v>0</v>
      </c>
      <c r="H1963" s="16" t="n">
        <v>1</v>
      </c>
      <c r="I1963" s="33" t="n">
        <v>14165.64</v>
      </c>
      <c r="J1963" s="33" t="n">
        <v>14165.64</v>
      </c>
    </row>
    <row r="1964" customFormat="false" ht="15" hidden="false" customHeight="false" outlineLevel="0" collapsed="false">
      <c r="A1964" s="3" t="s">
        <v>2354</v>
      </c>
      <c r="B1964" s="3" t="s">
        <v>283</v>
      </c>
      <c r="C1964" s="3" t="s">
        <v>396</v>
      </c>
      <c r="D1964" s="3" t="s">
        <v>388</v>
      </c>
      <c r="E1964" s="3" t="s">
        <v>382</v>
      </c>
      <c r="F1964" s="16" t="n">
        <v>1</v>
      </c>
      <c r="G1964" s="15" t="n">
        <v>0</v>
      </c>
      <c r="H1964" s="16" t="n">
        <v>1</v>
      </c>
      <c r="I1964" s="33" t="n">
        <v>14161.56</v>
      </c>
      <c r="J1964" s="33" t="n">
        <v>14161.56</v>
      </c>
    </row>
    <row r="1965" customFormat="false" ht="15" hidden="false" customHeight="false" outlineLevel="0" collapsed="false">
      <c r="A1965" s="3" t="s">
        <v>2355</v>
      </c>
      <c r="B1965" s="3" t="s">
        <v>283</v>
      </c>
      <c r="C1965" s="3" t="s">
        <v>403</v>
      </c>
      <c r="D1965" s="3" t="s">
        <v>418</v>
      </c>
      <c r="E1965" s="3" t="s">
        <v>398</v>
      </c>
      <c r="F1965" s="16" t="n">
        <v>1</v>
      </c>
      <c r="G1965" s="15" t="n">
        <v>0</v>
      </c>
      <c r="H1965" s="16" t="n">
        <v>1</v>
      </c>
      <c r="I1965" s="33" t="n">
        <v>14153.4</v>
      </c>
      <c r="J1965" s="33" t="n">
        <v>14153.4</v>
      </c>
    </row>
    <row r="1966" customFormat="false" ht="15" hidden="false" customHeight="false" outlineLevel="0" collapsed="false">
      <c r="A1966" s="3" t="s">
        <v>2356</v>
      </c>
      <c r="B1966" s="3" t="s">
        <v>283</v>
      </c>
      <c r="C1966" s="3" t="s">
        <v>380</v>
      </c>
      <c r="D1966" s="3" t="s">
        <v>418</v>
      </c>
      <c r="E1966" s="3" t="s">
        <v>398</v>
      </c>
      <c r="F1966" s="16" t="n">
        <v>1</v>
      </c>
      <c r="G1966" s="15" t="n">
        <v>0</v>
      </c>
      <c r="H1966" s="16" t="n">
        <v>1</v>
      </c>
      <c r="I1966" s="33" t="n">
        <v>14129.4</v>
      </c>
      <c r="J1966" s="33" t="n">
        <v>14129.4</v>
      </c>
    </row>
    <row r="1967" customFormat="false" ht="15" hidden="false" customHeight="false" outlineLevel="0" collapsed="false">
      <c r="A1967" s="3" t="s">
        <v>2357</v>
      </c>
      <c r="B1967" s="3" t="s">
        <v>283</v>
      </c>
      <c r="C1967" s="3" t="s">
        <v>396</v>
      </c>
      <c r="D1967" s="3" t="s">
        <v>392</v>
      </c>
      <c r="E1967" s="3" t="s">
        <v>398</v>
      </c>
      <c r="F1967" s="16" t="n">
        <v>12</v>
      </c>
      <c r="G1967" s="15" t="n">
        <v>0</v>
      </c>
      <c r="H1967" s="16" t="n">
        <v>5</v>
      </c>
      <c r="I1967" s="33" t="n">
        <v>14117.4</v>
      </c>
      <c r="J1967" s="33" t="n">
        <v>14117.4</v>
      </c>
    </row>
    <row r="1968" customFormat="false" ht="15" hidden="false" customHeight="false" outlineLevel="0" collapsed="false">
      <c r="A1968" s="3" t="s">
        <v>2358</v>
      </c>
      <c r="B1968" s="3" t="s">
        <v>283</v>
      </c>
      <c r="C1968" s="3" t="s">
        <v>387</v>
      </c>
      <c r="D1968" s="3" t="s">
        <v>392</v>
      </c>
      <c r="E1968" s="3" t="s">
        <v>398</v>
      </c>
      <c r="F1968" s="16" t="n">
        <v>12</v>
      </c>
      <c r="G1968" s="15" t="n">
        <v>0.1</v>
      </c>
      <c r="H1968" s="16" t="n">
        <v>5</v>
      </c>
      <c r="I1968" s="33" t="n">
        <v>14114.64</v>
      </c>
      <c r="J1968" s="33" t="n">
        <v>15682.92</v>
      </c>
    </row>
    <row r="1969" customFormat="false" ht="15" hidden="false" customHeight="false" outlineLevel="0" collapsed="false">
      <c r="A1969" s="3" t="s">
        <v>2359</v>
      </c>
      <c r="B1969" s="3" t="s">
        <v>283</v>
      </c>
      <c r="C1969" s="3" t="s">
        <v>401</v>
      </c>
      <c r="D1969" s="3" t="s">
        <v>418</v>
      </c>
      <c r="E1969" s="3" t="s">
        <v>385</v>
      </c>
      <c r="F1969" s="16" t="n">
        <v>12</v>
      </c>
      <c r="G1969" s="15" t="n">
        <v>0</v>
      </c>
      <c r="H1969" s="16" t="n">
        <v>3</v>
      </c>
      <c r="I1969" s="33" t="n">
        <v>14100.24</v>
      </c>
      <c r="J1969" s="33" t="n">
        <v>14100.24</v>
      </c>
    </row>
    <row r="1970" customFormat="false" ht="15" hidden="false" customHeight="false" outlineLevel="0" collapsed="false">
      <c r="A1970" s="3" t="s">
        <v>2360</v>
      </c>
      <c r="B1970" s="3" t="s">
        <v>283</v>
      </c>
      <c r="C1970" s="3" t="s">
        <v>396</v>
      </c>
      <c r="D1970" s="3" t="s">
        <v>392</v>
      </c>
      <c r="E1970" s="3" t="s">
        <v>398</v>
      </c>
      <c r="F1970" s="16" t="n">
        <v>1</v>
      </c>
      <c r="G1970" s="15" t="n">
        <v>0.3</v>
      </c>
      <c r="H1970" s="16" t="n">
        <v>1</v>
      </c>
      <c r="I1970" s="33" t="n">
        <v>14088.72</v>
      </c>
      <c r="J1970" s="33" t="n">
        <v>20126.64</v>
      </c>
    </row>
    <row r="1971" customFormat="false" ht="15" hidden="false" customHeight="false" outlineLevel="0" collapsed="false">
      <c r="A1971" s="3" t="s">
        <v>2361</v>
      </c>
      <c r="B1971" s="3" t="s">
        <v>283</v>
      </c>
      <c r="C1971" s="3" t="s">
        <v>403</v>
      </c>
      <c r="D1971" s="3" t="s">
        <v>381</v>
      </c>
      <c r="E1971" s="3" t="s">
        <v>382</v>
      </c>
      <c r="F1971" s="16" t="n">
        <v>1</v>
      </c>
      <c r="G1971" s="15" t="n">
        <v>0</v>
      </c>
      <c r="H1971" s="16" t="n">
        <v>1</v>
      </c>
      <c r="I1971" s="33" t="n">
        <v>14073.36</v>
      </c>
      <c r="J1971" s="33" t="n">
        <v>14073.36</v>
      </c>
    </row>
    <row r="1972" customFormat="false" ht="15" hidden="false" customHeight="false" outlineLevel="0" collapsed="false">
      <c r="A1972" s="3" t="s">
        <v>2362</v>
      </c>
      <c r="B1972" s="3" t="s">
        <v>283</v>
      </c>
      <c r="C1972" s="3" t="s">
        <v>396</v>
      </c>
      <c r="D1972" s="3" t="s">
        <v>692</v>
      </c>
      <c r="E1972" s="3" t="s">
        <v>398</v>
      </c>
      <c r="F1972" s="16" t="n">
        <v>12</v>
      </c>
      <c r="G1972" s="15" t="n">
        <v>0</v>
      </c>
      <c r="H1972" s="16" t="n">
        <v>7</v>
      </c>
      <c r="I1972" s="33" t="n">
        <v>14070.48</v>
      </c>
      <c r="J1972" s="33" t="n">
        <v>14070.48</v>
      </c>
    </row>
    <row r="1973" customFormat="false" ht="15" hidden="false" customHeight="false" outlineLevel="0" collapsed="false">
      <c r="A1973" s="3" t="s">
        <v>2363</v>
      </c>
      <c r="B1973" s="3" t="s">
        <v>283</v>
      </c>
      <c r="C1973" s="3" t="s">
        <v>396</v>
      </c>
      <c r="D1973" s="3" t="s">
        <v>388</v>
      </c>
      <c r="E1973" s="3" t="s">
        <v>382</v>
      </c>
      <c r="F1973" s="16" t="n">
        <v>12</v>
      </c>
      <c r="G1973" s="15" t="n">
        <v>0.1</v>
      </c>
      <c r="H1973" s="16" t="n">
        <v>2</v>
      </c>
      <c r="I1973" s="33" t="n">
        <v>14058.6</v>
      </c>
      <c r="J1973" s="33" t="n">
        <v>15620.64</v>
      </c>
    </row>
    <row r="1974" customFormat="false" ht="15" hidden="false" customHeight="false" outlineLevel="0" collapsed="false">
      <c r="A1974" s="3" t="s">
        <v>2364</v>
      </c>
      <c r="B1974" s="3" t="s">
        <v>283</v>
      </c>
      <c r="C1974" s="3" t="s">
        <v>380</v>
      </c>
      <c r="D1974" s="3" t="s">
        <v>692</v>
      </c>
      <c r="E1974" s="3" t="s">
        <v>398</v>
      </c>
      <c r="F1974" s="16" t="n">
        <v>1</v>
      </c>
      <c r="G1974" s="15" t="n">
        <v>0</v>
      </c>
      <c r="H1974" s="16" t="n">
        <v>1</v>
      </c>
      <c r="I1974" s="33" t="n">
        <v>14048.04</v>
      </c>
      <c r="J1974" s="33" t="n">
        <v>14048.04</v>
      </c>
    </row>
    <row r="1975" customFormat="false" ht="15" hidden="false" customHeight="false" outlineLevel="0" collapsed="false">
      <c r="A1975" s="3" t="s">
        <v>2365</v>
      </c>
      <c r="B1975" s="3" t="s">
        <v>283</v>
      </c>
      <c r="C1975" s="3" t="s">
        <v>401</v>
      </c>
      <c r="D1975" s="3" t="s">
        <v>692</v>
      </c>
      <c r="E1975" s="3" t="s">
        <v>385</v>
      </c>
      <c r="F1975" s="16" t="n">
        <v>12</v>
      </c>
      <c r="G1975" s="15" t="n">
        <v>0</v>
      </c>
      <c r="H1975" s="16" t="n">
        <v>9</v>
      </c>
      <c r="I1975" s="33" t="n">
        <v>14041.32</v>
      </c>
      <c r="J1975" s="33" t="n">
        <v>14041.32</v>
      </c>
    </row>
    <row r="1976" customFormat="false" ht="15" hidden="false" customHeight="false" outlineLevel="0" collapsed="false">
      <c r="A1976" s="3" t="s">
        <v>2366</v>
      </c>
      <c r="B1976" s="3" t="s">
        <v>283</v>
      </c>
      <c r="C1976" s="3" t="s">
        <v>380</v>
      </c>
      <c r="D1976" s="3" t="s">
        <v>392</v>
      </c>
      <c r="E1976" s="3" t="s">
        <v>398</v>
      </c>
      <c r="F1976" s="16" t="n">
        <v>12</v>
      </c>
      <c r="G1976" s="15" t="n">
        <v>0</v>
      </c>
      <c r="H1976" s="16" t="n">
        <v>7</v>
      </c>
      <c r="I1976" s="33" t="n">
        <v>14022.96</v>
      </c>
      <c r="J1976" s="33" t="n">
        <v>14022.96</v>
      </c>
    </row>
    <row r="1977" customFormat="false" ht="15" hidden="false" customHeight="false" outlineLevel="0" collapsed="false">
      <c r="A1977" s="3" t="s">
        <v>2367</v>
      </c>
      <c r="B1977" s="3" t="s">
        <v>283</v>
      </c>
      <c r="C1977" s="3" t="s">
        <v>384</v>
      </c>
      <c r="D1977" s="3" t="s">
        <v>692</v>
      </c>
      <c r="E1977" s="3" t="s">
        <v>398</v>
      </c>
      <c r="F1977" s="16" t="n">
        <v>1</v>
      </c>
      <c r="G1977" s="15" t="n">
        <v>0</v>
      </c>
      <c r="H1977" s="16" t="n">
        <v>1</v>
      </c>
      <c r="I1977" s="33" t="n">
        <v>14019</v>
      </c>
      <c r="J1977" s="33" t="n">
        <v>14019</v>
      </c>
    </row>
    <row r="1978" customFormat="false" ht="15" hidden="false" customHeight="false" outlineLevel="0" collapsed="false">
      <c r="A1978" s="3" t="s">
        <v>2368</v>
      </c>
      <c r="B1978" s="3" t="s">
        <v>283</v>
      </c>
      <c r="C1978" s="3" t="s">
        <v>403</v>
      </c>
      <c r="D1978" s="3" t="s">
        <v>392</v>
      </c>
      <c r="E1978" s="3" t="s">
        <v>398</v>
      </c>
      <c r="F1978" s="16" t="n">
        <v>12</v>
      </c>
      <c r="G1978" s="15" t="n">
        <v>0</v>
      </c>
      <c r="H1978" s="16" t="n">
        <v>1</v>
      </c>
      <c r="I1978" s="33" t="n">
        <v>14017.8</v>
      </c>
      <c r="J1978" s="33" t="n">
        <v>14017.8</v>
      </c>
    </row>
    <row r="1979" customFormat="false" ht="15" hidden="false" customHeight="false" outlineLevel="0" collapsed="false">
      <c r="A1979" s="3" t="s">
        <v>2369</v>
      </c>
      <c r="B1979" s="3" t="s">
        <v>283</v>
      </c>
      <c r="C1979" s="3" t="s">
        <v>405</v>
      </c>
      <c r="D1979" s="3" t="s">
        <v>692</v>
      </c>
      <c r="E1979" s="3" t="s">
        <v>382</v>
      </c>
      <c r="F1979" s="16" t="n">
        <v>1</v>
      </c>
      <c r="G1979" s="15" t="n">
        <v>0.1</v>
      </c>
      <c r="H1979" s="16" t="n">
        <v>1</v>
      </c>
      <c r="I1979" s="33" t="n">
        <v>14012.76</v>
      </c>
      <c r="J1979" s="33" t="n">
        <v>15569.76</v>
      </c>
    </row>
    <row r="1980" customFormat="false" ht="15" hidden="false" customHeight="false" outlineLevel="0" collapsed="false">
      <c r="A1980" s="3" t="s">
        <v>2370</v>
      </c>
      <c r="B1980" s="3" t="s">
        <v>283</v>
      </c>
      <c r="C1980" s="3" t="s">
        <v>380</v>
      </c>
      <c r="D1980" s="3" t="s">
        <v>692</v>
      </c>
      <c r="E1980" s="3" t="s">
        <v>398</v>
      </c>
      <c r="F1980" s="16" t="n">
        <v>1</v>
      </c>
      <c r="G1980" s="15" t="n">
        <v>0</v>
      </c>
      <c r="H1980" s="16" t="n">
        <v>1</v>
      </c>
      <c r="I1980" s="33" t="n">
        <v>14007.48</v>
      </c>
      <c r="J1980" s="33" t="n">
        <v>14007.48</v>
      </c>
    </row>
    <row r="1981" customFormat="false" ht="15" hidden="false" customHeight="false" outlineLevel="0" collapsed="false">
      <c r="A1981" s="3" t="s">
        <v>2371</v>
      </c>
      <c r="B1981" s="3" t="s">
        <v>283</v>
      </c>
      <c r="C1981" s="3" t="s">
        <v>384</v>
      </c>
      <c r="D1981" s="3" t="s">
        <v>692</v>
      </c>
      <c r="E1981" s="3" t="s">
        <v>398</v>
      </c>
      <c r="F1981" s="16" t="n">
        <v>1</v>
      </c>
      <c r="G1981" s="15" t="n">
        <v>0</v>
      </c>
      <c r="H1981" s="16" t="n">
        <v>1</v>
      </c>
      <c r="I1981" s="33" t="n">
        <v>13973.52</v>
      </c>
      <c r="J1981" s="33" t="n">
        <v>13973.52</v>
      </c>
    </row>
    <row r="1982" customFormat="false" ht="15" hidden="false" customHeight="false" outlineLevel="0" collapsed="false">
      <c r="A1982" s="3" t="s">
        <v>2372</v>
      </c>
      <c r="B1982" s="3" t="s">
        <v>283</v>
      </c>
      <c r="C1982" s="3" t="s">
        <v>387</v>
      </c>
      <c r="D1982" s="3" t="s">
        <v>692</v>
      </c>
      <c r="E1982" s="3" t="s">
        <v>398</v>
      </c>
      <c r="F1982" s="16" t="n">
        <v>12</v>
      </c>
      <c r="G1982" s="15" t="n">
        <v>0</v>
      </c>
      <c r="H1982" s="16" t="n">
        <v>10</v>
      </c>
      <c r="I1982" s="33" t="n">
        <v>13929.72</v>
      </c>
      <c r="J1982" s="33" t="n">
        <v>13929.72</v>
      </c>
    </row>
    <row r="1983" customFormat="false" ht="15" hidden="false" customHeight="false" outlineLevel="0" collapsed="false">
      <c r="A1983" s="3" t="s">
        <v>2373</v>
      </c>
      <c r="B1983" s="3" t="s">
        <v>283</v>
      </c>
      <c r="C1983" s="3" t="s">
        <v>396</v>
      </c>
      <c r="D1983" s="3" t="s">
        <v>381</v>
      </c>
      <c r="E1983" s="3" t="s">
        <v>398</v>
      </c>
      <c r="F1983" s="16" t="n">
        <v>1</v>
      </c>
      <c r="G1983" s="15" t="n">
        <v>0.1</v>
      </c>
      <c r="H1983" s="16" t="n">
        <v>1</v>
      </c>
      <c r="I1983" s="33" t="n">
        <v>13924.32</v>
      </c>
      <c r="J1983" s="33" t="n">
        <v>15471.48</v>
      </c>
    </row>
    <row r="1984" customFormat="false" ht="15" hidden="false" customHeight="false" outlineLevel="0" collapsed="false">
      <c r="A1984" s="3" t="s">
        <v>2374</v>
      </c>
      <c r="B1984" s="3" t="s">
        <v>283</v>
      </c>
      <c r="C1984" s="3" t="s">
        <v>387</v>
      </c>
      <c r="D1984" s="3" t="s">
        <v>392</v>
      </c>
      <c r="E1984" s="3" t="s">
        <v>382</v>
      </c>
      <c r="F1984" s="16" t="n">
        <v>12</v>
      </c>
      <c r="G1984" s="15" t="n">
        <v>0</v>
      </c>
      <c r="H1984" s="16" t="n">
        <v>6</v>
      </c>
      <c r="I1984" s="33" t="n">
        <v>13919.4</v>
      </c>
      <c r="J1984" s="33" t="n">
        <v>13919.4</v>
      </c>
    </row>
    <row r="1985" customFormat="false" ht="15" hidden="false" customHeight="false" outlineLevel="0" collapsed="false">
      <c r="A1985" s="3" t="s">
        <v>2375</v>
      </c>
      <c r="B1985" s="3" t="s">
        <v>283</v>
      </c>
      <c r="C1985" s="3" t="s">
        <v>401</v>
      </c>
      <c r="D1985" s="3" t="s">
        <v>418</v>
      </c>
      <c r="E1985" s="3" t="s">
        <v>398</v>
      </c>
      <c r="F1985" s="16" t="n">
        <v>1</v>
      </c>
      <c r="G1985" s="15" t="n">
        <v>0</v>
      </c>
      <c r="H1985" s="16" t="n">
        <v>1</v>
      </c>
      <c r="I1985" s="33" t="n">
        <v>13918.92</v>
      </c>
      <c r="J1985" s="33" t="n">
        <v>13918.92</v>
      </c>
    </row>
    <row r="1986" customFormat="false" ht="15" hidden="false" customHeight="false" outlineLevel="0" collapsed="false">
      <c r="A1986" s="3" t="s">
        <v>2376</v>
      </c>
      <c r="B1986" s="3" t="s">
        <v>283</v>
      </c>
      <c r="C1986" s="3" t="s">
        <v>396</v>
      </c>
      <c r="D1986" s="3" t="s">
        <v>692</v>
      </c>
      <c r="E1986" s="3" t="s">
        <v>385</v>
      </c>
      <c r="F1986" s="16" t="n">
        <v>1</v>
      </c>
      <c r="G1986" s="15" t="n">
        <v>0</v>
      </c>
      <c r="H1986" s="16" t="n">
        <v>1</v>
      </c>
      <c r="I1986" s="33" t="n">
        <v>13918.56</v>
      </c>
      <c r="J1986" s="33" t="n">
        <v>13918.56</v>
      </c>
    </row>
    <row r="1987" customFormat="false" ht="15" hidden="false" customHeight="false" outlineLevel="0" collapsed="false">
      <c r="A1987" s="3" t="s">
        <v>2377</v>
      </c>
      <c r="B1987" s="3" t="s">
        <v>283</v>
      </c>
      <c r="C1987" s="3" t="s">
        <v>380</v>
      </c>
      <c r="D1987" s="3" t="s">
        <v>392</v>
      </c>
      <c r="E1987" s="3" t="s">
        <v>382</v>
      </c>
      <c r="F1987" s="16" t="n">
        <v>1</v>
      </c>
      <c r="G1987" s="15" t="n">
        <v>0</v>
      </c>
      <c r="H1987" s="16" t="n">
        <v>1</v>
      </c>
      <c r="I1987" s="33" t="n">
        <v>13916.04</v>
      </c>
      <c r="J1987" s="33" t="n">
        <v>13916.04</v>
      </c>
    </row>
    <row r="1988" customFormat="false" ht="15" hidden="false" customHeight="false" outlineLevel="0" collapsed="false">
      <c r="A1988" s="3" t="s">
        <v>2378</v>
      </c>
      <c r="B1988" s="3" t="s">
        <v>283</v>
      </c>
      <c r="C1988" s="3" t="s">
        <v>384</v>
      </c>
      <c r="D1988" s="3" t="s">
        <v>388</v>
      </c>
      <c r="E1988" s="3" t="s">
        <v>398</v>
      </c>
      <c r="F1988" s="16" t="n">
        <v>1</v>
      </c>
      <c r="G1988" s="15" t="n">
        <v>0</v>
      </c>
      <c r="H1988" s="16" t="n">
        <v>1</v>
      </c>
      <c r="I1988" s="33" t="n">
        <v>13914.84</v>
      </c>
      <c r="J1988" s="33" t="n">
        <v>13914.84</v>
      </c>
    </row>
    <row r="1989" customFormat="false" ht="15" hidden="false" customHeight="false" outlineLevel="0" collapsed="false">
      <c r="A1989" s="3" t="s">
        <v>2379</v>
      </c>
      <c r="B1989" s="3" t="s">
        <v>283</v>
      </c>
      <c r="C1989" s="3" t="s">
        <v>403</v>
      </c>
      <c r="D1989" s="3" t="s">
        <v>392</v>
      </c>
      <c r="E1989" s="3" t="s">
        <v>382</v>
      </c>
      <c r="F1989" s="16" t="n">
        <v>1</v>
      </c>
      <c r="G1989" s="15" t="n">
        <v>0</v>
      </c>
      <c r="H1989" s="16" t="n">
        <v>1</v>
      </c>
      <c r="I1989" s="33" t="n">
        <v>13906.32</v>
      </c>
      <c r="J1989" s="33" t="n">
        <v>13906.32</v>
      </c>
    </row>
    <row r="1990" customFormat="false" ht="15" hidden="false" customHeight="false" outlineLevel="0" collapsed="false">
      <c r="A1990" s="3" t="s">
        <v>2380</v>
      </c>
      <c r="B1990" s="3" t="s">
        <v>283</v>
      </c>
      <c r="C1990" s="3" t="s">
        <v>384</v>
      </c>
      <c r="D1990" s="3" t="s">
        <v>692</v>
      </c>
      <c r="E1990" s="3" t="s">
        <v>398</v>
      </c>
      <c r="F1990" s="16" t="n">
        <v>12</v>
      </c>
      <c r="G1990" s="15" t="n">
        <v>0</v>
      </c>
      <c r="H1990" s="16" t="n">
        <v>3</v>
      </c>
      <c r="I1990" s="33" t="n">
        <v>13896.48</v>
      </c>
      <c r="J1990" s="33" t="n">
        <v>13896.48</v>
      </c>
    </row>
    <row r="1991" customFormat="false" ht="15" hidden="false" customHeight="false" outlineLevel="0" collapsed="false">
      <c r="A1991" s="3" t="s">
        <v>2381</v>
      </c>
      <c r="B1991" s="3" t="s">
        <v>283</v>
      </c>
      <c r="C1991" s="3" t="s">
        <v>384</v>
      </c>
      <c r="D1991" s="3" t="s">
        <v>388</v>
      </c>
      <c r="E1991" s="3" t="s">
        <v>382</v>
      </c>
      <c r="F1991" s="16" t="n">
        <v>1</v>
      </c>
      <c r="G1991" s="15" t="n">
        <v>0</v>
      </c>
      <c r="H1991" s="16" t="n">
        <v>1</v>
      </c>
      <c r="I1991" s="33" t="n">
        <v>13868.4</v>
      </c>
      <c r="J1991" s="33" t="n">
        <v>13868.4</v>
      </c>
    </row>
    <row r="1992" customFormat="false" ht="15" hidden="false" customHeight="false" outlineLevel="0" collapsed="false">
      <c r="A1992" s="3" t="s">
        <v>2382</v>
      </c>
      <c r="B1992" s="3" t="s">
        <v>283</v>
      </c>
      <c r="C1992" s="3" t="s">
        <v>396</v>
      </c>
      <c r="D1992" s="3" t="s">
        <v>392</v>
      </c>
      <c r="E1992" s="3" t="s">
        <v>385</v>
      </c>
      <c r="F1992" s="16" t="n">
        <v>12</v>
      </c>
      <c r="G1992" s="15" t="n">
        <v>0</v>
      </c>
      <c r="H1992" s="16" t="n">
        <v>3</v>
      </c>
      <c r="I1992" s="33" t="n">
        <v>13867.8</v>
      </c>
      <c r="J1992" s="33" t="n">
        <v>13867.8</v>
      </c>
    </row>
    <row r="1993" customFormat="false" ht="15" hidden="false" customHeight="false" outlineLevel="0" collapsed="false">
      <c r="A1993" s="3" t="s">
        <v>2383</v>
      </c>
      <c r="B1993" s="3" t="s">
        <v>283</v>
      </c>
      <c r="C1993" s="3" t="s">
        <v>401</v>
      </c>
      <c r="D1993" s="3" t="s">
        <v>381</v>
      </c>
      <c r="E1993" s="3" t="s">
        <v>385</v>
      </c>
      <c r="F1993" s="16" t="n">
        <v>1</v>
      </c>
      <c r="G1993" s="15" t="n">
        <v>0</v>
      </c>
      <c r="H1993" s="16" t="n">
        <v>1</v>
      </c>
      <c r="I1993" s="33" t="n">
        <v>13865.64</v>
      </c>
      <c r="J1993" s="33" t="n">
        <v>13865.64</v>
      </c>
    </row>
    <row r="1994" customFormat="false" ht="15" hidden="false" customHeight="false" outlineLevel="0" collapsed="false">
      <c r="A1994" s="3" t="s">
        <v>2384</v>
      </c>
      <c r="B1994" s="3" t="s">
        <v>283</v>
      </c>
      <c r="C1994" s="3" t="s">
        <v>396</v>
      </c>
      <c r="D1994" s="3" t="s">
        <v>418</v>
      </c>
      <c r="E1994" s="3" t="s">
        <v>385</v>
      </c>
      <c r="F1994" s="16" t="n">
        <v>1</v>
      </c>
      <c r="G1994" s="15" t="n">
        <v>0</v>
      </c>
      <c r="H1994" s="16" t="n">
        <v>1</v>
      </c>
      <c r="I1994" s="33" t="n">
        <v>13849.2</v>
      </c>
      <c r="J1994" s="33" t="n">
        <v>13849.2</v>
      </c>
    </row>
    <row r="1995" customFormat="false" ht="15" hidden="false" customHeight="false" outlineLevel="0" collapsed="false">
      <c r="A1995" s="3" t="s">
        <v>2385</v>
      </c>
      <c r="B1995" s="3" t="s">
        <v>283</v>
      </c>
      <c r="C1995" s="3" t="s">
        <v>403</v>
      </c>
      <c r="D1995" s="3" t="s">
        <v>692</v>
      </c>
      <c r="E1995" s="3" t="s">
        <v>398</v>
      </c>
      <c r="F1995" s="16" t="n">
        <v>1</v>
      </c>
      <c r="G1995" s="15" t="n">
        <v>0.3</v>
      </c>
      <c r="H1995" s="16" t="n">
        <v>1</v>
      </c>
      <c r="I1995" s="33" t="n">
        <v>13836.36</v>
      </c>
      <c r="J1995" s="33" t="n">
        <v>19766.28</v>
      </c>
    </row>
    <row r="1996" customFormat="false" ht="15" hidden="false" customHeight="false" outlineLevel="0" collapsed="false">
      <c r="A1996" s="3" t="s">
        <v>2386</v>
      </c>
      <c r="B1996" s="3" t="s">
        <v>283</v>
      </c>
      <c r="C1996" s="3" t="s">
        <v>384</v>
      </c>
      <c r="D1996" s="3" t="s">
        <v>392</v>
      </c>
      <c r="E1996" s="3" t="s">
        <v>398</v>
      </c>
      <c r="F1996" s="16" t="n">
        <v>12</v>
      </c>
      <c r="G1996" s="15" t="n">
        <v>0</v>
      </c>
      <c r="H1996" s="16" t="n">
        <v>1</v>
      </c>
      <c r="I1996" s="33" t="n">
        <v>13831.56</v>
      </c>
      <c r="J1996" s="33" t="n">
        <v>13831.56</v>
      </c>
    </row>
    <row r="1997" customFormat="false" ht="15" hidden="false" customHeight="false" outlineLevel="0" collapsed="false">
      <c r="A1997" s="3" t="s">
        <v>2387</v>
      </c>
      <c r="B1997" s="3" t="s">
        <v>282</v>
      </c>
      <c r="C1997" s="3" t="s">
        <v>380</v>
      </c>
      <c r="D1997" s="3" t="s">
        <v>418</v>
      </c>
      <c r="E1997" s="3" t="s">
        <v>398</v>
      </c>
      <c r="F1997" s="16" t="n">
        <v>12</v>
      </c>
      <c r="G1997" s="15" t="n">
        <v>0.35</v>
      </c>
      <c r="H1997" s="16" t="n">
        <v>3</v>
      </c>
      <c r="I1997" s="33" t="n">
        <v>13821.72</v>
      </c>
      <c r="J1997" s="33" t="n">
        <v>21264.12</v>
      </c>
    </row>
    <row r="1998" customFormat="false" ht="15" hidden="false" customHeight="false" outlineLevel="0" collapsed="false">
      <c r="A1998" s="3" t="s">
        <v>2388</v>
      </c>
      <c r="B1998" s="3" t="s">
        <v>283</v>
      </c>
      <c r="C1998" s="3" t="s">
        <v>403</v>
      </c>
      <c r="D1998" s="3" t="s">
        <v>381</v>
      </c>
      <c r="E1998" s="3" t="s">
        <v>398</v>
      </c>
      <c r="F1998" s="16" t="n">
        <v>1</v>
      </c>
      <c r="G1998" s="15" t="n">
        <v>0</v>
      </c>
      <c r="H1998" s="16" t="n">
        <v>1</v>
      </c>
      <c r="I1998" s="33" t="n">
        <v>13799.52</v>
      </c>
      <c r="J1998" s="33" t="n">
        <v>13799.52</v>
      </c>
    </row>
    <row r="1999" customFormat="false" ht="15" hidden="false" customHeight="false" outlineLevel="0" collapsed="false">
      <c r="A1999" s="3" t="s">
        <v>2389</v>
      </c>
      <c r="B1999" s="3" t="s">
        <v>283</v>
      </c>
      <c r="C1999" s="3" t="s">
        <v>396</v>
      </c>
      <c r="D1999" s="3" t="s">
        <v>418</v>
      </c>
      <c r="E1999" s="3" t="s">
        <v>398</v>
      </c>
      <c r="F1999" s="16" t="n">
        <v>12</v>
      </c>
      <c r="G1999" s="15" t="n">
        <v>0</v>
      </c>
      <c r="H1999" s="16" t="n">
        <v>4</v>
      </c>
      <c r="I1999" s="33" t="n">
        <v>13790.76</v>
      </c>
      <c r="J1999" s="33" t="n">
        <v>13790.76</v>
      </c>
    </row>
    <row r="2000" customFormat="false" ht="15" hidden="false" customHeight="false" outlineLevel="0" collapsed="false">
      <c r="A2000" s="3" t="s">
        <v>2390</v>
      </c>
      <c r="B2000" s="3" t="s">
        <v>283</v>
      </c>
      <c r="C2000" s="3" t="s">
        <v>405</v>
      </c>
      <c r="D2000" s="3" t="s">
        <v>418</v>
      </c>
      <c r="E2000" s="3" t="s">
        <v>382</v>
      </c>
      <c r="F2000" s="16" t="n">
        <v>1</v>
      </c>
      <c r="G2000" s="15" t="n">
        <v>0.1</v>
      </c>
      <c r="H2000" s="16" t="n">
        <v>1</v>
      </c>
      <c r="I2000" s="33" t="n">
        <v>13788.96</v>
      </c>
      <c r="J2000" s="33" t="n">
        <v>15321.12</v>
      </c>
    </row>
    <row r="2001" customFormat="false" ht="15" hidden="false" customHeight="false" outlineLevel="0" collapsed="false">
      <c r="A2001" s="3" t="s">
        <v>2391</v>
      </c>
      <c r="B2001" s="3" t="s">
        <v>283</v>
      </c>
      <c r="C2001" s="3" t="s">
        <v>405</v>
      </c>
      <c r="D2001" s="3" t="s">
        <v>692</v>
      </c>
      <c r="E2001" s="3" t="s">
        <v>398</v>
      </c>
      <c r="F2001" s="16" t="n">
        <v>1</v>
      </c>
      <c r="G2001" s="15" t="n">
        <v>0</v>
      </c>
      <c r="H2001" s="16" t="n">
        <v>1</v>
      </c>
      <c r="I2001" s="33" t="n">
        <v>13788.84</v>
      </c>
      <c r="J2001" s="33" t="n">
        <v>13788.84</v>
      </c>
    </row>
    <row r="2002" customFormat="false" ht="15" hidden="false" customHeight="false" outlineLevel="0" collapsed="false">
      <c r="A2002" s="3" t="s">
        <v>2392</v>
      </c>
      <c r="B2002" s="3" t="s">
        <v>283</v>
      </c>
      <c r="C2002" s="3" t="s">
        <v>384</v>
      </c>
      <c r="D2002" s="3" t="s">
        <v>392</v>
      </c>
      <c r="E2002" s="3" t="s">
        <v>385</v>
      </c>
      <c r="F2002" s="16" t="n">
        <v>12</v>
      </c>
      <c r="G2002" s="15" t="n">
        <v>0.1</v>
      </c>
      <c r="H2002" s="16" t="n">
        <v>8</v>
      </c>
      <c r="I2002" s="33" t="n">
        <v>13787.28</v>
      </c>
      <c r="J2002" s="33" t="n">
        <v>15319.2</v>
      </c>
    </row>
    <row r="2003" customFormat="false" ht="15" hidden="false" customHeight="false" outlineLevel="0" collapsed="false">
      <c r="A2003" s="3" t="s">
        <v>2393</v>
      </c>
      <c r="B2003" s="3" t="s">
        <v>283</v>
      </c>
      <c r="C2003" s="3" t="s">
        <v>401</v>
      </c>
      <c r="D2003" s="3" t="s">
        <v>388</v>
      </c>
      <c r="E2003" s="3" t="s">
        <v>385</v>
      </c>
      <c r="F2003" s="16" t="n">
        <v>12</v>
      </c>
      <c r="G2003" s="15" t="n">
        <v>0</v>
      </c>
      <c r="H2003" s="16" t="n">
        <v>6</v>
      </c>
      <c r="I2003" s="33" t="n">
        <v>13752</v>
      </c>
      <c r="J2003" s="33" t="n">
        <v>13752</v>
      </c>
    </row>
    <row r="2004" customFormat="false" ht="15" hidden="false" customHeight="false" outlineLevel="0" collapsed="false">
      <c r="A2004" s="3" t="s">
        <v>2394</v>
      </c>
      <c r="B2004" s="3" t="s">
        <v>283</v>
      </c>
      <c r="C2004" s="3" t="s">
        <v>405</v>
      </c>
      <c r="D2004" s="3" t="s">
        <v>692</v>
      </c>
      <c r="E2004" s="3" t="s">
        <v>398</v>
      </c>
      <c r="F2004" s="16" t="n">
        <v>12</v>
      </c>
      <c r="G2004" s="15" t="n">
        <v>0.35</v>
      </c>
      <c r="H2004" s="16" t="n">
        <v>9</v>
      </c>
      <c r="I2004" s="33" t="n">
        <v>13710.96</v>
      </c>
      <c r="J2004" s="33" t="n">
        <v>21093.72</v>
      </c>
    </row>
    <row r="2005" customFormat="false" ht="15" hidden="false" customHeight="false" outlineLevel="0" collapsed="false">
      <c r="A2005" s="3" t="s">
        <v>2395</v>
      </c>
      <c r="B2005" s="3" t="s">
        <v>283</v>
      </c>
      <c r="C2005" s="3" t="s">
        <v>401</v>
      </c>
      <c r="D2005" s="3" t="s">
        <v>418</v>
      </c>
      <c r="E2005" s="3" t="s">
        <v>385</v>
      </c>
      <c r="F2005" s="16" t="n">
        <v>1</v>
      </c>
      <c r="G2005" s="15" t="n">
        <v>0</v>
      </c>
      <c r="H2005" s="16" t="n">
        <v>1</v>
      </c>
      <c r="I2005" s="33" t="n">
        <v>13708.44</v>
      </c>
      <c r="J2005" s="33" t="n">
        <v>13708.44</v>
      </c>
    </row>
    <row r="2006" customFormat="false" ht="15" hidden="false" customHeight="false" outlineLevel="0" collapsed="false">
      <c r="A2006" s="3" t="s">
        <v>2396</v>
      </c>
      <c r="B2006" s="3" t="s">
        <v>283</v>
      </c>
      <c r="C2006" s="3" t="s">
        <v>405</v>
      </c>
      <c r="D2006" s="3" t="s">
        <v>381</v>
      </c>
      <c r="E2006" s="3" t="s">
        <v>385</v>
      </c>
      <c r="F2006" s="16" t="n">
        <v>1</v>
      </c>
      <c r="G2006" s="15" t="n">
        <v>0</v>
      </c>
      <c r="H2006" s="16" t="n">
        <v>1</v>
      </c>
      <c r="I2006" s="33" t="n">
        <v>13708.2</v>
      </c>
      <c r="J2006" s="33" t="n">
        <v>13708.2</v>
      </c>
    </row>
    <row r="2007" customFormat="false" ht="15" hidden="false" customHeight="false" outlineLevel="0" collapsed="false">
      <c r="A2007" s="3" t="s">
        <v>2397</v>
      </c>
      <c r="B2007" s="3" t="s">
        <v>283</v>
      </c>
      <c r="C2007" s="3" t="s">
        <v>396</v>
      </c>
      <c r="D2007" s="3" t="s">
        <v>418</v>
      </c>
      <c r="E2007" s="3" t="s">
        <v>398</v>
      </c>
      <c r="F2007" s="16" t="n">
        <v>12</v>
      </c>
      <c r="G2007" s="15" t="n">
        <v>0</v>
      </c>
      <c r="H2007" s="16" t="n">
        <v>10</v>
      </c>
      <c r="I2007" s="33" t="n">
        <v>13697.4</v>
      </c>
      <c r="J2007" s="33" t="n">
        <v>13697.4</v>
      </c>
    </row>
    <row r="2008" customFormat="false" ht="15" hidden="false" customHeight="false" outlineLevel="0" collapsed="false">
      <c r="A2008" s="3" t="s">
        <v>2398</v>
      </c>
      <c r="B2008" s="3" t="s">
        <v>283</v>
      </c>
      <c r="C2008" s="3" t="s">
        <v>387</v>
      </c>
      <c r="D2008" s="3" t="s">
        <v>418</v>
      </c>
      <c r="E2008" s="3" t="s">
        <v>382</v>
      </c>
      <c r="F2008" s="16" t="n">
        <v>12</v>
      </c>
      <c r="G2008" s="15" t="n">
        <v>0.1</v>
      </c>
      <c r="H2008" s="16" t="n">
        <v>11</v>
      </c>
      <c r="I2008" s="33" t="n">
        <v>13687.44</v>
      </c>
      <c r="J2008" s="33" t="n">
        <v>15208.32</v>
      </c>
    </row>
    <row r="2009" customFormat="false" ht="15" hidden="false" customHeight="false" outlineLevel="0" collapsed="false">
      <c r="A2009" s="3" t="s">
        <v>2399</v>
      </c>
      <c r="B2009" s="3" t="s">
        <v>283</v>
      </c>
      <c r="C2009" s="3" t="s">
        <v>396</v>
      </c>
      <c r="D2009" s="3" t="s">
        <v>392</v>
      </c>
      <c r="E2009" s="3" t="s">
        <v>398</v>
      </c>
      <c r="F2009" s="16" t="n">
        <v>1</v>
      </c>
      <c r="G2009" s="15" t="n">
        <v>0.2</v>
      </c>
      <c r="H2009" s="16" t="n">
        <v>1</v>
      </c>
      <c r="I2009" s="33" t="n">
        <v>13687.2</v>
      </c>
      <c r="J2009" s="33" t="n">
        <v>17109</v>
      </c>
    </row>
    <row r="2010" customFormat="false" ht="15" hidden="false" customHeight="false" outlineLevel="0" collapsed="false">
      <c r="A2010" s="3" t="s">
        <v>2400</v>
      </c>
      <c r="B2010" s="3" t="s">
        <v>283</v>
      </c>
      <c r="C2010" s="3" t="s">
        <v>384</v>
      </c>
      <c r="D2010" s="3" t="s">
        <v>392</v>
      </c>
      <c r="E2010" s="3" t="s">
        <v>398</v>
      </c>
      <c r="F2010" s="16" t="n">
        <v>12</v>
      </c>
      <c r="G2010" s="15" t="n">
        <v>0</v>
      </c>
      <c r="H2010" s="16" t="n">
        <v>8</v>
      </c>
      <c r="I2010" s="33" t="n">
        <v>13676.4</v>
      </c>
      <c r="J2010" s="33" t="n">
        <v>13676.4</v>
      </c>
    </row>
    <row r="2011" customFormat="false" ht="15" hidden="false" customHeight="false" outlineLevel="0" collapsed="false">
      <c r="A2011" s="3" t="s">
        <v>2401</v>
      </c>
      <c r="B2011" s="3" t="s">
        <v>283</v>
      </c>
      <c r="C2011" s="3" t="s">
        <v>384</v>
      </c>
      <c r="D2011" s="3" t="s">
        <v>392</v>
      </c>
      <c r="E2011" s="3" t="s">
        <v>385</v>
      </c>
      <c r="F2011" s="16" t="n">
        <v>1</v>
      </c>
      <c r="G2011" s="15" t="n">
        <v>0</v>
      </c>
      <c r="H2011" s="16" t="n">
        <v>1</v>
      </c>
      <c r="I2011" s="33" t="n">
        <v>13666.08</v>
      </c>
      <c r="J2011" s="33" t="n">
        <v>13666.08</v>
      </c>
    </row>
    <row r="2012" customFormat="false" ht="15" hidden="false" customHeight="false" outlineLevel="0" collapsed="false">
      <c r="A2012" s="3" t="s">
        <v>2402</v>
      </c>
      <c r="B2012" s="3" t="s">
        <v>282</v>
      </c>
      <c r="C2012" s="3" t="s">
        <v>403</v>
      </c>
      <c r="D2012" s="3" t="s">
        <v>381</v>
      </c>
      <c r="E2012" s="3" t="s">
        <v>385</v>
      </c>
      <c r="F2012" s="16" t="n">
        <v>12</v>
      </c>
      <c r="G2012" s="15" t="n">
        <v>0.4</v>
      </c>
      <c r="H2012" s="16" t="n">
        <v>7</v>
      </c>
      <c r="I2012" s="33" t="n">
        <v>13646.52</v>
      </c>
      <c r="J2012" s="33" t="n">
        <v>22744.2</v>
      </c>
    </row>
    <row r="2013" customFormat="false" ht="15" hidden="false" customHeight="false" outlineLevel="0" collapsed="false">
      <c r="A2013" s="3" t="s">
        <v>2403</v>
      </c>
      <c r="B2013" s="3" t="s">
        <v>283</v>
      </c>
      <c r="C2013" s="3" t="s">
        <v>403</v>
      </c>
      <c r="D2013" s="3" t="s">
        <v>692</v>
      </c>
      <c r="E2013" s="3" t="s">
        <v>398</v>
      </c>
      <c r="F2013" s="16" t="n">
        <v>12</v>
      </c>
      <c r="G2013" s="15" t="n">
        <v>0.1</v>
      </c>
      <c r="H2013" s="16" t="n">
        <v>6</v>
      </c>
      <c r="I2013" s="33" t="n">
        <v>13633.44</v>
      </c>
      <c r="J2013" s="33" t="n">
        <v>15148.32</v>
      </c>
    </row>
    <row r="2014" customFormat="false" ht="15" hidden="false" customHeight="false" outlineLevel="0" collapsed="false">
      <c r="A2014" s="3" t="s">
        <v>2404</v>
      </c>
      <c r="B2014" s="3" t="s">
        <v>283</v>
      </c>
      <c r="C2014" s="3" t="s">
        <v>387</v>
      </c>
      <c r="D2014" s="3" t="s">
        <v>381</v>
      </c>
      <c r="E2014" s="3" t="s">
        <v>398</v>
      </c>
      <c r="F2014" s="16" t="n">
        <v>1</v>
      </c>
      <c r="G2014" s="15" t="n">
        <v>0.1</v>
      </c>
      <c r="H2014" s="16" t="n">
        <v>1</v>
      </c>
      <c r="I2014" s="33" t="n">
        <v>13611</v>
      </c>
      <c r="J2014" s="33" t="n">
        <v>15123.36</v>
      </c>
    </row>
    <row r="2015" customFormat="false" ht="15" hidden="false" customHeight="false" outlineLevel="0" collapsed="false">
      <c r="A2015" s="3" t="s">
        <v>2405</v>
      </c>
      <c r="B2015" s="3" t="s">
        <v>283</v>
      </c>
      <c r="C2015" s="3" t="s">
        <v>384</v>
      </c>
      <c r="D2015" s="3" t="s">
        <v>692</v>
      </c>
      <c r="E2015" s="3" t="s">
        <v>398</v>
      </c>
      <c r="F2015" s="16" t="n">
        <v>1</v>
      </c>
      <c r="G2015" s="15" t="n">
        <v>0.2</v>
      </c>
      <c r="H2015" s="16" t="n">
        <v>1</v>
      </c>
      <c r="I2015" s="33" t="n">
        <v>13598.64</v>
      </c>
      <c r="J2015" s="33" t="n">
        <v>16998.36</v>
      </c>
    </row>
    <row r="2016" customFormat="false" ht="15" hidden="false" customHeight="false" outlineLevel="0" collapsed="false">
      <c r="A2016" s="3" t="s">
        <v>2406</v>
      </c>
      <c r="B2016" s="3" t="s">
        <v>283</v>
      </c>
      <c r="C2016" s="3" t="s">
        <v>401</v>
      </c>
      <c r="D2016" s="3" t="s">
        <v>418</v>
      </c>
      <c r="E2016" s="3" t="s">
        <v>398</v>
      </c>
      <c r="F2016" s="16" t="n">
        <v>1</v>
      </c>
      <c r="G2016" s="15" t="n">
        <v>0.15</v>
      </c>
      <c r="H2016" s="16" t="n">
        <v>1</v>
      </c>
      <c r="I2016" s="33" t="n">
        <v>13593.48</v>
      </c>
      <c r="J2016" s="33" t="n">
        <v>15992.4</v>
      </c>
    </row>
    <row r="2017" customFormat="false" ht="15" hidden="false" customHeight="false" outlineLevel="0" collapsed="false">
      <c r="A2017" s="3" t="s">
        <v>2407</v>
      </c>
      <c r="B2017" s="3" t="s">
        <v>283</v>
      </c>
      <c r="C2017" s="3" t="s">
        <v>384</v>
      </c>
      <c r="D2017" s="3" t="s">
        <v>381</v>
      </c>
      <c r="E2017" s="3" t="s">
        <v>398</v>
      </c>
      <c r="F2017" s="16" t="n">
        <v>12</v>
      </c>
      <c r="G2017" s="15" t="n">
        <v>0</v>
      </c>
      <c r="H2017" s="16" t="n">
        <v>7</v>
      </c>
      <c r="I2017" s="33" t="n">
        <v>13574.88</v>
      </c>
      <c r="J2017" s="33" t="n">
        <v>13574.88</v>
      </c>
    </row>
    <row r="2018" customFormat="false" ht="15" hidden="false" customHeight="false" outlineLevel="0" collapsed="false">
      <c r="A2018" s="3" t="s">
        <v>2408</v>
      </c>
      <c r="B2018" s="3" t="s">
        <v>283</v>
      </c>
      <c r="C2018" s="3" t="s">
        <v>396</v>
      </c>
      <c r="D2018" s="3" t="s">
        <v>692</v>
      </c>
      <c r="E2018" s="3" t="s">
        <v>398</v>
      </c>
      <c r="F2018" s="16" t="n">
        <v>12</v>
      </c>
      <c r="G2018" s="15" t="n">
        <v>0</v>
      </c>
      <c r="H2018" s="16" t="n">
        <v>12</v>
      </c>
      <c r="I2018" s="33" t="n">
        <v>13567.92</v>
      </c>
      <c r="J2018" s="33" t="n">
        <v>13567.92</v>
      </c>
    </row>
    <row r="2019" customFormat="false" ht="15" hidden="false" customHeight="false" outlineLevel="0" collapsed="false">
      <c r="A2019" s="3" t="s">
        <v>2409</v>
      </c>
      <c r="B2019" s="3" t="s">
        <v>283</v>
      </c>
      <c r="C2019" s="3" t="s">
        <v>405</v>
      </c>
      <c r="D2019" s="3" t="s">
        <v>692</v>
      </c>
      <c r="E2019" s="3" t="s">
        <v>382</v>
      </c>
      <c r="F2019" s="16" t="n">
        <v>12</v>
      </c>
      <c r="G2019" s="15" t="n">
        <v>0.1</v>
      </c>
      <c r="H2019" s="16" t="n">
        <v>12</v>
      </c>
      <c r="I2019" s="33" t="n">
        <v>13559.76</v>
      </c>
      <c r="J2019" s="33" t="n">
        <v>15066.36</v>
      </c>
    </row>
    <row r="2020" customFormat="false" ht="15" hidden="false" customHeight="false" outlineLevel="0" collapsed="false">
      <c r="A2020" s="3" t="s">
        <v>2410</v>
      </c>
      <c r="B2020" s="3" t="s">
        <v>283</v>
      </c>
      <c r="C2020" s="3" t="s">
        <v>396</v>
      </c>
      <c r="D2020" s="3" t="s">
        <v>418</v>
      </c>
      <c r="E2020" s="3" t="s">
        <v>382</v>
      </c>
      <c r="F2020" s="16" t="n">
        <v>12</v>
      </c>
      <c r="G2020" s="15" t="n">
        <v>0.1</v>
      </c>
      <c r="H2020" s="16" t="n">
        <v>1</v>
      </c>
      <c r="I2020" s="33" t="n">
        <v>13553.88</v>
      </c>
      <c r="J2020" s="33" t="n">
        <v>15059.88</v>
      </c>
    </row>
    <row r="2021" customFormat="false" ht="15" hidden="false" customHeight="false" outlineLevel="0" collapsed="false">
      <c r="A2021" s="3" t="s">
        <v>2411</v>
      </c>
      <c r="B2021" s="3" t="s">
        <v>283</v>
      </c>
      <c r="C2021" s="3" t="s">
        <v>403</v>
      </c>
      <c r="D2021" s="3" t="s">
        <v>418</v>
      </c>
      <c r="E2021" s="3" t="s">
        <v>398</v>
      </c>
      <c r="F2021" s="16" t="n">
        <v>1</v>
      </c>
      <c r="G2021" s="15" t="n">
        <v>0</v>
      </c>
      <c r="H2021" s="16" t="n">
        <v>1</v>
      </c>
      <c r="I2021" s="33" t="n">
        <v>13489.44</v>
      </c>
      <c r="J2021" s="33" t="n">
        <v>13489.44</v>
      </c>
    </row>
    <row r="2022" customFormat="false" ht="15" hidden="false" customHeight="false" outlineLevel="0" collapsed="false">
      <c r="A2022" s="3" t="s">
        <v>2412</v>
      </c>
      <c r="B2022" s="3" t="s">
        <v>283</v>
      </c>
      <c r="C2022" s="3" t="s">
        <v>403</v>
      </c>
      <c r="D2022" s="3" t="s">
        <v>692</v>
      </c>
      <c r="E2022" s="3" t="s">
        <v>398</v>
      </c>
      <c r="F2022" s="16" t="n">
        <v>12</v>
      </c>
      <c r="G2022" s="15" t="n">
        <v>0</v>
      </c>
      <c r="H2022" s="16" t="n">
        <v>11</v>
      </c>
      <c r="I2022" s="33" t="n">
        <v>13483.68</v>
      </c>
      <c r="J2022" s="33" t="n">
        <v>13483.68</v>
      </c>
    </row>
    <row r="2023" customFormat="false" ht="15" hidden="false" customHeight="false" outlineLevel="0" collapsed="false">
      <c r="A2023" s="3" t="s">
        <v>2413</v>
      </c>
      <c r="B2023" s="3" t="s">
        <v>283</v>
      </c>
      <c r="C2023" s="3" t="s">
        <v>384</v>
      </c>
      <c r="D2023" s="3" t="s">
        <v>692</v>
      </c>
      <c r="E2023" s="3" t="s">
        <v>385</v>
      </c>
      <c r="F2023" s="16" t="n">
        <v>12</v>
      </c>
      <c r="G2023" s="15" t="n">
        <v>0</v>
      </c>
      <c r="H2023" s="16" t="n">
        <v>9</v>
      </c>
      <c r="I2023" s="33" t="n">
        <v>13480.56</v>
      </c>
      <c r="J2023" s="33" t="n">
        <v>13480.56</v>
      </c>
    </row>
    <row r="2024" customFormat="false" ht="15" hidden="false" customHeight="false" outlineLevel="0" collapsed="false">
      <c r="A2024" s="3" t="s">
        <v>2414</v>
      </c>
      <c r="B2024" s="3" t="s">
        <v>283</v>
      </c>
      <c r="C2024" s="3" t="s">
        <v>405</v>
      </c>
      <c r="D2024" s="3" t="s">
        <v>388</v>
      </c>
      <c r="E2024" s="3" t="s">
        <v>385</v>
      </c>
      <c r="F2024" s="16" t="n">
        <v>12</v>
      </c>
      <c r="G2024" s="15" t="n">
        <v>0.25</v>
      </c>
      <c r="H2024" s="16" t="n">
        <v>3</v>
      </c>
      <c r="I2024" s="33" t="n">
        <v>13467.48</v>
      </c>
      <c r="J2024" s="33" t="n">
        <v>17956.68</v>
      </c>
    </row>
    <row r="2025" customFormat="false" ht="15" hidden="false" customHeight="false" outlineLevel="0" collapsed="false">
      <c r="A2025" s="3" t="s">
        <v>2415</v>
      </c>
      <c r="B2025" s="3" t="s">
        <v>283</v>
      </c>
      <c r="C2025" s="3" t="s">
        <v>387</v>
      </c>
      <c r="D2025" s="3" t="s">
        <v>692</v>
      </c>
      <c r="E2025" s="3" t="s">
        <v>398</v>
      </c>
      <c r="F2025" s="16" t="n">
        <v>12</v>
      </c>
      <c r="G2025" s="15" t="n">
        <v>0</v>
      </c>
      <c r="H2025" s="16" t="n">
        <v>4</v>
      </c>
      <c r="I2025" s="33" t="n">
        <v>13466.88</v>
      </c>
      <c r="J2025" s="33" t="n">
        <v>13466.88</v>
      </c>
    </row>
    <row r="2026" customFormat="false" ht="15" hidden="false" customHeight="false" outlineLevel="0" collapsed="false">
      <c r="A2026" s="3" t="s">
        <v>2416</v>
      </c>
      <c r="B2026" s="3" t="s">
        <v>283</v>
      </c>
      <c r="C2026" s="3" t="s">
        <v>384</v>
      </c>
      <c r="D2026" s="3" t="s">
        <v>392</v>
      </c>
      <c r="E2026" s="3" t="s">
        <v>398</v>
      </c>
      <c r="F2026" s="16" t="n">
        <v>12</v>
      </c>
      <c r="G2026" s="15" t="n">
        <v>0</v>
      </c>
      <c r="H2026" s="16" t="n">
        <v>2</v>
      </c>
      <c r="I2026" s="33" t="n">
        <v>13461.96</v>
      </c>
      <c r="J2026" s="33" t="n">
        <v>13461.96</v>
      </c>
    </row>
    <row r="2027" customFormat="false" ht="15" hidden="false" customHeight="false" outlineLevel="0" collapsed="false">
      <c r="A2027" s="3" t="s">
        <v>2417</v>
      </c>
      <c r="B2027" s="3" t="s">
        <v>283</v>
      </c>
      <c r="C2027" s="3" t="s">
        <v>401</v>
      </c>
      <c r="D2027" s="3" t="s">
        <v>418</v>
      </c>
      <c r="E2027" s="3" t="s">
        <v>398</v>
      </c>
      <c r="F2027" s="16" t="n">
        <v>12</v>
      </c>
      <c r="G2027" s="15" t="n">
        <v>0</v>
      </c>
      <c r="H2027" s="16" t="n">
        <v>2</v>
      </c>
      <c r="I2027" s="33" t="n">
        <v>13457.64</v>
      </c>
      <c r="J2027" s="33" t="n">
        <v>13457.64</v>
      </c>
    </row>
    <row r="2028" customFormat="false" ht="15" hidden="false" customHeight="false" outlineLevel="0" collapsed="false">
      <c r="A2028" s="3" t="s">
        <v>2418</v>
      </c>
      <c r="B2028" s="3" t="s">
        <v>283</v>
      </c>
      <c r="C2028" s="3" t="s">
        <v>387</v>
      </c>
      <c r="D2028" s="3" t="s">
        <v>692</v>
      </c>
      <c r="E2028" s="3" t="s">
        <v>398</v>
      </c>
      <c r="F2028" s="16" t="n">
        <v>1</v>
      </c>
      <c r="G2028" s="15" t="n">
        <v>0</v>
      </c>
      <c r="H2028" s="16" t="n">
        <v>1</v>
      </c>
      <c r="I2028" s="33" t="n">
        <v>13442.28</v>
      </c>
      <c r="J2028" s="33" t="n">
        <v>13442.28</v>
      </c>
    </row>
    <row r="2029" customFormat="false" ht="15" hidden="false" customHeight="false" outlineLevel="0" collapsed="false">
      <c r="A2029" s="3" t="s">
        <v>2419</v>
      </c>
      <c r="B2029" s="3" t="s">
        <v>283</v>
      </c>
      <c r="C2029" s="3" t="s">
        <v>401</v>
      </c>
      <c r="D2029" s="3" t="s">
        <v>381</v>
      </c>
      <c r="E2029" s="3" t="s">
        <v>398</v>
      </c>
      <c r="F2029" s="16" t="n">
        <v>12</v>
      </c>
      <c r="G2029" s="15" t="n">
        <v>0</v>
      </c>
      <c r="H2029" s="16" t="n">
        <v>10</v>
      </c>
      <c r="I2029" s="33" t="n">
        <v>13441.92</v>
      </c>
      <c r="J2029" s="33" t="n">
        <v>13441.92</v>
      </c>
    </row>
    <row r="2030" customFormat="false" ht="15" hidden="false" customHeight="false" outlineLevel="0" collapsed="false">
      <c r="A2030" s="3" t="s">
        <v>2420</v>
      </c>
      <c r="B2030" s="3" t="s">
        <v>283</v>
      </c>
      <c r="C2030" s="3" t="s">
        <v>396</v>
      </c>
      <c r="D2030" s="3" t="s">
        <v>692</v>
      </c>
      <c r="E2030" s="3" t="s">
        <v>385</v>
      </c>
      <c r="F2030" s="16" t="n">
        <v>12</v>
      </c>
      <c r="G2030" s="15" t="n">
        <v>0.2</v>
      </c>
      <c r="H2030" s="16" t="n">
        <v>10</v>
      </c>
      <c r="I2030" s="33" t="n">
        <v>13431</v>
      </c>
      <c r="J2030" s="33" t="n">
        <v>16788.72</v>
      </c>
    </row>
    <row r="2031" customFormat="false" ht="15" hidden="false" customHeight="false" outlineLevel="0" collapsed="false">
      <c r="A2031" s="3" t="s">
        <v>2421</v>
      </c>
      <c r="B2031" s="3" t="s">
        <v>283</v>
      </c>
      <c r="C2031" s="3" t="s">
        <v>396</v>
      </c>
      <c r="D2031" s="3" t="s">
        <v>418</v>
      </c>
      <c r="E2031" s="3" t="s">
        <v>398</v>
      </c>
      <c r="F2031" s="16" t="n">
        <v>1</v>
      </c>
      <c r="G2031" s="15" t="n">
        <v>0.4</v>
      </c>
      <c r="H2031" s="16" t="n">
        <v>1</v>
      </c>
      <c r="I2031" s="33" t="n">
        <v>13416.72</v>
      </c>
      <c r="J2031" s="33" t="n">
        <v>22361.16</v>
      </c>
    </row>
    <row r="2032" customFormat="false" ht="15" hidden="false" customHeight="false" outlineLevel="0" collapsed="false">
      <c r="A2032" s="3" t="s">
        <v>2422</v>
      </c>
      <c r="B2032" s="3" t="s">
        <v>283</v>
      </c>
      <c r="C2032" s="3" t="s">
        <v>405</v>
      </c>
      <c r="D2032" s="3" t="s">
        <v>692</v>
      </c>
      <c r="E2032" s="3" t="s">
        <v>398</v>
      </c>
      <c r="F2032" s="16" t="n">
        <v>12</v>
      </c>
      <c r="G2032" s="15" t="n">
        <v>0</v>
      </c>
      <c r="H2032" s="16" t="n">
        <v>5</v>
      </c>
      <c r="I2032" s="33" t="n">
        <v>13414.8</v>
      </c>
      <c r="J2032" s="33" t="n">
        <v>13414.8</v>
      </c>
    </row>
    <row r="2033" customFormat="false" ht="15" hidden="false" customHeight="false" outlineLevel="0" collapsed="false">
      <c r="A2033" s="3" t="s">
        <v>2423</v>
      </c>
      <c r="B2033" s="3" t="s">
        <v>283</v>
      </c>
      <c r="C2033" s="3" t="s">
        <v>403</v>
      </c>
      <c r="D2033" s="3" t="s">
        <v>418</v>
      </c>
      <c r="E2033" s="3" t="s">
        <v>398</v>
      </c>
      <c r="F2033" s="16" t="n">
        <v>12</v>
      </c>
      <c r="G2033" s="15" t="n">
        <v>0.05</v>
      </c>
      <c r="H2033" s="16" t="n">
        <v>5</v>
      </c>
      <c r="I2033" s="33" t="n">
        <v>13408.8</v>
      </c>
      <c r="J2033" s="33" t="n">
        <v>14114.52</v>
      </c>
    </row>
    <row r="2034" customFormat="false" ht="15" hidden="false" customHeight="false" outlineLevel="0" collapsed="false">
      <c r="A2034" s="3" t="s">
        <v>2424</v>
      </c>
      <c r="B2034" s="3" t="s">
        <v>283</v>
      </c>
      <c r="C2034" s="3" t="s">
        <v>380</v>
      </c>
      <c r="D2034" s="3" t="s">
        <v>418</v>
      </c>
      <c r="E2034" s="3" t="s">
        <v>382</v>
      </c>
      <c r="F2034" s="16" t="n">
        <v>12</v>
      </c>
      <c r="G2034" s="15" t="n">
        <v>0.25</v>
      </c>
      <c r="H2034" s="16" t="n">
        <v>3</v>
      </c>
      <c r="I2034" s="33" t="n">
        <v>13398.72</v>
      </c>
      <c r="J2034" s="33" t="n">
        <v>17864.88</v>
      </c>
    </row>
    <row r="2035" customFormat="false" ht="15" hidden="false" customHeight="false" outlineLevel="0" collapsed="false">
      <c r="A2035" s="3" t="s">
        <v>2425</v>
      </c>
      <c r="B2035" s="3" t="s">
        <v>283</v>
      </c>
      <c r="C2035" s="3" t="s">
        <v>387</v>
      </c>
      <c r="D2035" s="3" t="s">
        <v>692</v>
      </c>
      <c r="E2035" s="3" t="s">
        <v>398</v>
      </c>
      <c r="F2035" s="16" t="n">
        <v>12</v>
      </c>
      <c r="G2035" s="15" t="n">
        <v>0.1</v>
      </c>
      <c r="H2035" s="16" t="n">
        <v>1</v>
      </c>
      <c r="I2035" s="33" t="n">
        <v>13395.72</v>
      </c>
      <c r="J2035" s="33" t="n">
        <v>14884.2</v>
      </c>
    </row>
    <row r="2036" customFormat="false" ht="15" hidden="false" customHeight="false" outlineLevel="0" collapsed="false">
      <c r="A2036" s="3" t="s">
        <v>2426</v>
      </c>
      <c r="B2036" s="3" t="s">
        <v>283</v>
      </c>
      <c r="C2036" s="3" t="s">
        <v>405</v>
      </c>
      <c r="D2036" s="3" t="s">
        <v>392</v>
      </c>
      <c r="E2036" s="3" t="s">
        <v>398</v>
      </c>
      <c r="F2036" s="16" t="n">
        <v>1</v>
      </c>
      <c r="G2036" s="15" t="n">
        <v>0</v>
      </c>
      <c r="H2036" s="16" t="n">
        <v>1</v>
      </c>
      <c r="I2036" s="33" t="n">
        <v>13378.92</v>
      </c>
      <c r="J2036" s="33" t="n">
        <v>13378.92</v>
      </c>
    </row>
    <row r="2037" customFormat="false" ht="15" hidden="false" customHeight="false" outlineLevel="0" collapsed="false">
      <c r="A2037" s="3" t="s">
        <v>2427</v>
      </c>
      <c r="B2037" s="3" t="s">
        <v>283</v>
      </c>
      <c r="C2037" s="3" t="s">
        <v>405</v>
      </c>
      <c r="D2037" s="3" t="s">
        <v>692</v>
      </c>
      <c r="E2037" s="3" t="s">
        <v>382</v>
      </c>
      <c r="F2037" s="16" t="n">
        <v>12</v>
      </c>
      <c r="G2037" s="15" t="n">
        <v>0</v>
      </c>
      <c r="H2037" s="16" t="n">
        <v>8</v>
      </c>
      <c r="I2037" s="33" t="n">
        <v>13378.44</v>
      </c>
      <c r="J2037" s="33" t="n">
        <v>13378.44</v>
      </c>
    </row>
    <row r="2038" customFormat="false" ht="15" hidden="false" customHeight="false" outlineLevel="0" collapsed="false">
      <c r="A2038" s="3" t="s">
        <v>2428</v>
      </c>
      <c r="B2038" s="3" t="s">
        <v>283</v>
      </c>
      <c r="C2038" s="3" t="s">
        <v>401</v>
      </c>
      <c r="D2038" s="3" t="s">
        <v>692</v>
      </c>
      <c r="E2038" s="3" t="s">
        <v>398</v>
      </c>
      <c r="F2038" s="16" t="n">
        <v>12</v>
      </c>
      <c r="G2038" s="15" t="n">
        <v>0</v>
      </c>
      <c r="H2038" s="16" t="n">
        <v>1</v>
      </c>
      <c r="I2038" s="33" t="n">
        <v>13366.32</v>
      </c>
      <c r="J2038" s="33" t="n">
        <v>13366.32</v>
      </c>
    </row>
    <row r="2039" customFormat="false" ht="15" hidden="false" customHeight="false" outlineLevel="0" collapsed="false">
      <c r="A2039" s="3" t="s">
        <v>2429</v>
      </c>
      <c r="B2039" s="3" t="s">
        <v>283</v>
      </c>
      <c r="C2039" s="3" t="s">
        <v>405</v>
      </c>
      <c r="D2039" s="3" t="s">
        <v>692</v>
      </c>
      <c r="E2039" s="3" t="s">
        <v>398</v>
      </c>
      <c r="F2039" s="16" t="n">
        <v>12</v>
      </c>
      <c r="G2039" s="15" t="n">
        <v>0</v>
      </c>
      <c r="H2039" s="16" t="n">
        <v>12</v>
      </c>
      <c r="I2039" s="33" t="n">
        <v>13364.16</v>
      </c>
      <c r="J2039" s="33" t="n">
        <v>13364.16</v>
      </c>
    </row>
    <row r="2040" customFormat="false" ht="15" hidden="false" customHeight="false" outlineLevel="0" collapsed="false">
      <c r="A2040" s="3" t="s">
        <v>2430</v>
      </c>
      <c r="B2040" s="3" t="s">
        <v>283</v>
      </c>
      <c r="C2040" s="3" t="s">
        <v>405</v>
      </c>
      <c r="D2040" s="3" t="s">
        <v>392</v>
      </c>
      <c r="E2040" s="3" t="s">
        <v>398</v>
      </c>
      <c r="F2040" s="16" t="n">
        <v>1</v>
      </c>
      <c r="G2040" s="15" t="n">
        <v>0</v>
      </c>
      <c r="H2040" s="16" t="n">
        <v>1</v>
      </c>
      <c r="I2040" s="33" t="n">
        <v>13346.88</v>
      </c>
      <c r="J2040" s="33" t="n">
        <v>13346.88</v>
      </c>
    </row>
    <row r="2041" customFormat="false" ht="15" hidden="false" customHeight="false" outlineLevel="0" collapsed="false">
      <c r="A2041" s="3" t="s">
        <v>2431</v>
      </c>
      <c r="B2041" s="3" t="s">
        <v>283</v>
      </c>
      <c r="C2041" s="3" t="s">
        <v>401</v>
      </c>
      <c r="D2041" s="3" t="s">
        <v>418</v>
      </c>
      <c r="E2041" s="3" t="s">
        <v>398</v>
      </c>
      <c r="F2041" s="16" t="n">
        <v>12</v>
      </c>
      <c r="G2041" s="15" t="n">
        <v>0.1</v>
      </c>
      <c r="H2041" s="16" t="n">
        <v>11</v>
      </c>
      <c r="I2041" s="33" t="n">
        <v>13343.16</v>
      </c>
      <c r="J2041" s="33" t="n">
        <v>14825.76</v>
      </c>
    </row>
    <row r="2042" customFormat="false" ht="15" hidden="false" customHeight="false" outlineLevel="0" collapsed="false">
      <c r="A2042" s="3" t="s">
        <v>2432</v>
      </c>
      <c r="B2042" s="3" t="s">
        <v>283</v>
      </c>
      <c r="C2042" s="3" t="s">
        <v>403</v>
      </c>
      <c r="D2042" s="3" t="s">
        <v>692</v>
      </c>
      <c r="E2042" s="3" t="s">
        <v>398</v>
      </c>
      <c r="F2042" s="16" t="n">
        <v>1</v>
      </c>
      <c r="G2042" s="15" t="n">
        <v>0</v>
      </c>
      <c r="H2042" s="16" t="n">
        <v>1</v>
      </c>
      <c r="I2042" s="33" t="n">
        <v>13322.76</v>
      </c>
      <c r="J2042" s="33" t="n">
        <v>13322.76</v>
      </c>
    </row>
    <row r="2043" customFormat="false" ht="15" hidden="false" customHeight="false" outlineLevel="0" collapsed="false">
      <c r="A2043" s="3" t="s">
        <v>2433</v>
      </c>
      <c r="B2043" s="3" t="s">
        <v>283</v>
      </c>
      <c r="C2043" s="3" t="s">
        <v>403</v>
      </c>
      <c r="D2043" s="3" t="s">
        <v>418</v>
      </c>
      <c r="E2043" s="3" t="s">
        <v>398</v>
      </c>
      <c r="F2043" s="16" t="n">
        <v>12</v>
      </c>
      <c r="G2043" s="15" t="n">
        <v>0.1</v>
      </c>
      <c r="H2043" s="16" t="n">
        <v>10</v>
      </c>
      <c r="I2043" s="33" t="n">
        <v>13315.08</v>
      </c>
      <c r="J2043" s="33" t="n">
        <v>14794.56</v>
      </c>
    </row>
    <row r="2044" customFormat="false" ht="15" hidden="false" customHeight="false" outlineLevel="0" collapsed="false">
      <c r="A2044" s="3" t="s">
        <v>2434</v>
      </c>
      <c r="B2044" s="3" t="s">
        <v>283</v>
      </c>
      <c r="C2044" s="3" t="s">
        <v>401</v>
      </c>
      <c r="D2044" s="3" t="s">
        <v>692</v>
      </c>
      <c r="E2044" s="3" t="s">
        <v>382</v>
      </c>
      <c r="F2044" s="16" t="n">
        <v>1</v>
      </c>
      <c r="G2044" s="15" t="n">
        <v>0</v>
      </c>
      <c r="H2044" s="16" t="n">
        <v>1</v>
      </c>
      <c r="I2044" s="33" t="n">
        <v>13301.52</v>
      </c>
      <c r="J2044" s="33" t="n">
        <v>13301.52</v>
      </c>
    </row>
    <row r="2045" customFormat="false" ht="15" hidden="false" customHeight="false" outlineLevel="0" collapsed="false">
      <c r="A2045" s="3" t="s">
        <v>2435</v>
      </c>
      <c r="B2045" s="3" t="s">
        <v>283</v>
      </c>
      <c r="C2045" s="3" t="s">
        <v>401</v>
      </c>
      <c r="D2045" s="3" t="s">
        <v>388</v>
      </c>
      <c r="E2045" s="3" t="s">
        <v>398</v>
      </c>
      <c r="F2045" s="16" t="n">
        <v>12</v>
      </c>
      <c r="G2045" s="15" t="n">
        <v>0</v>
      </c>
      <c r="H2045" s="16" t="n">
        <v>5</v>
      </c>
      <c r="I2045" s="33" t="n">
        <v>13301.16</v>
      </c>
      <c r="J2045" s="33" t="n">
        <v>13301.16</v>
      </c>
    </row>
    <row r="2046" customFormat="false" ht="15" hidden="false" customHeight="false" outlineLevel="0" collapsed="false">
      <c r="A2046" s="3" t="s">
        <v>2436</v>
      </c>
      <c r="B2046" s="3" t="s">
        <v>283</v>
      </c>
      <c r="C2046" s="3" t="s">
        <v>403</v>
      </c>
      <c r="D2046" s="3" t="s">
        <v>418</v>
      </c>
      <c r="E2046" s="3" t="s">
        <v>382</v>
      </c>
      <c r="F2046" s="16" t="n">
        <v>12</v>
      </c>
      <c r="G2046" s="15" t="n">
        <v>0.2</v>
      </c>
      <c r="H2046" s="16" t="n">
        <v>9</v>
      </c>
      <c r="I2046" s="33" t="n">
        <v>13300.2</v>
      </c>
      <c r="J2046" s="33" t="n">
        <v>16625.16</v>
      </c>
    </row>
    <row r="2047" customFormat="false" ht="15" hidden="false" customHeight="false" outlineLevel="0" collapsed="false">
      <c r="A2047" s="3" t="s">
        <v>2437</v>
      </c>
      <c r="B2047" s="3" t="s">
        <v>283</v>
      </c>
      <c r="C2047" s="3" t="s">
        <v>387</v>
      </c>
      <c r="D2047" s="3" t="s">
        <v>392</v>
      </c>
      <c r="E2047" s="3" t="s">
        <v>398</v>
      </c>
      <c r="F2047" s="16" t="n">
        <v>1</v>
      </c>
      <c r="G2047" s="15" t="n">
        <v>0</v>
      </c>
      <c r="H2047" s="16" t="n">
        <v>1</v>
      </c>
      <c r="I2047" s="33" t="n">
        <v>13299.12</v>
      </c>
      <c r="J2047" s="33" t="n">
        <v>13299.12</v>
      </c>
    </row>
    <row r="2048" customFormat="false" ht="15" hidden="false" customHeight="false" outlineLevel="0" collapsed="false">
      <c r="A2048" s="3" t="s">
        <v>2438</v>
      </c>
      <c r="B2048" s="3" t="s">
        <v>282</v>
      </c>
      <c r="C2048" s="3" t="s">
        <v>403</v>
      </c>
      <c r="D2048" s="3" t="s">
        <v>392</v>
      </c>
      <c r="E2048" s="3" t="s">
        <v>398</v>
      </c>
      <c r="F2048" s="16" t="n">
        <v>12</v>
      </c>
      <c r="G2048" s="15" t="n">
        <v>0.15</v>
      </c>
      <c r="H2048" s="16" t="n">
        <v>11</v>
      </c>
      <c r="I2048" s="33" t="n">
        <v>13291.44</v>
      </c>
      <c r="J2048" s="33" t="n">
        <v>15637.08</v>
      </c>
    </row>
    <row r="2049" customFormat="false" ht="15" hidden="false" customHeight="false" outlineLevel="0" collapsed="false">
      <c r="A2049" s="3" t="s">
        <v>2439</v>
      </c>
      <c r="B2049" s="3" t="s">
        <v>283</v>
      </c>
      <c r="C2049" s="3" t="s">
        <v>403</v>
      </c>
      <c r="D2049" s="3" t="s">
        <v>418</v>
      </c>
      <c r="E2049" s="3" t="s">
        <v>398</v>
      </c>
      <c r="F2049" s="16" t="n">
        <v>1</v>
      </c>
      <c r="G2049" s="15" t="n">
        <v>0</v>
      </c>
      <c r="H2049" s="16" t="n">
        <v>1</v>
      </c>
      <c r="I2049" s="33" t="n">
        <v>13287.24</v>
      </c>
      <c r="J2049" s="33" t="n">
        <v>13287.24</v>
      </c>
    </row>
    <row r="2050" customFormat="false" ht="15" hidden="false" customHeight="false" outlineLevel="0" collapsed="false">
      <c r="A2050" s="3" t="s">
        <v>2440</v>
      </c>
      <c r="B2050" s="3" t="s">
        <v>283</v>
      </c>
      <c r="C2050" s="3" t="s">
        <v>403</v>
      </c>
      <c r="D2050" s="3" t="s">
        <v>692</v>
      </c>
      <c r="E2050" s="3" t="s">
        <v>398</v>
      </c>
      <c r="F2050" s="16" t="n">
        <v>12</v>
      </c>
      <c r="G2050" s="15" t="n">
        <v>0.05</v>
      </c>
      <c r="H2050" s="16" t="n">
        <v>7</v>
      </c>
      <c r="I2050" s="33" t="n">
        <v>13285.8</v>
      </c>
      <c r="J2050" s="33" t="n">
        <v>13985.04</v>
      </c>
    </row>
    <row r="2051" customFormat="false" ht="15" hidden="false" customHeight="false" outlineLevel="0" collapsed="false">
      <c r="A2051" s="3" t="s">
        <v>2441</v>
      </c>
      <c r="B2051" s="3" t="s">
        <v>283</v>
      </c>
      <c r="C2051" s="3" t="s">
        <v>387</v>
      </c>
      <c r="D2051" s="3" t="s">
        <v>692</v>
      </c>
      <c r="E2051" s="3" t="s">
        <v>398</v>
      </c>
      <c r="F2051" s="16" t="n">
        <v>1</v>
      </c>
      <c r="G2051" s="15" t="n">
        <v>0</v>
      </c>
      <c r="H2051" s="16" t="n">
        <v>1</v>
      </c>
      <c r="I2051" s="33" t="n">
        <v>13266.6</v>
      </c>
      <c r="J2051" s="33" t="n">
        <v>13266.6</v>
      </c>
    </row>
    <row r="2052" customFormat="false" ht="15" hidden="false" customHeight="false" outlineLevel="0" collapsed="false">
      <c r="A2052" s="3" t="s">
        <v>2442</v>
      </c>
      <c r="B2052" s="3" t="s">
        <v>283</v>
      </c>
      <c r="C2052" s="3" t="s">
        <v>405</v>
      </c>
      <c r="D2052" s="3" t="s">
        <v>692</v>
      </c>
      <c r="E2052" s="3" t="s">
        <v>382</v>
      </c>
      <c r="F2052" s="16" t="n">
        <v>1</v>
      </c>
      <c r="G2052" s="15" t="n">
        <v>0</v>
      </c>
      <c r="H2052" s="16" t="n">
        <v>1</v>
      </c>
      <c r="I2052" s="33" t="n">
        <v>13265.16</v>
      </c>
      <c r="J2052" s="33" t="n">
        <v>13265.16</v>
      </c>
    </row>
    <row r="2053" customFormat="false" ht="15" hidden="false" customHeight="false" outlineLevel="0" collapsed="false">
      <c r="A2053" s="3" t="s">
        <v>2443</v>
      </c>
      <c r="B2053" s="3" t="s">
        <v>283</v>
      </c>
      <c r="C2053" s="3" t="s">
        <v>387</v>
      </c>
      <c r="D2053" s="3" t="s">
        <v>392</v>
      </c>
      <c r="E2053" s="3" t="s">
        <v>385</v>
      </c>
      <c r="F2053" s="16" t="n">
        <v>12</v>
      </c>
      <c r="G2053" s="15" t="n">
        <v>0</v>
      </c>
      <c r="H2053" s="16" t="n">
        <v>10</v>
      </c>
      <c r="I2053" s="33" t="n">
        <v>13238.76</v>
      </c>
      <c r="J2053" s="33" t="n">
        <v>13238.76</v>
      </c>
    </row>
    <row r="2054" customFormat="false" ht="15" hidden="false" customHeight="false" outlineLevel="0" collapsed="false">
      <c r="A2054" s="3" t="s">
        <v>2444</v>
      </c>
      <c r="B2054" s="3" t="s">
        <v>283</v>
      </c>
      <c r="C2054" s="3" t="s">
        <v>380</v>
      </c>
      <c r="D2054" s="3" t="s">
        <v>418</v>
      </c>
      <c r="E2054" s="3" t="s">
        <v>398</v>
      </c>
      <c r="F2054" s="16" t="n">
        <v>1</v>
      </c>
      <c r="G2054" s="15" t="n">
        <v>0.1</v>
      </c>
      <c r="H2054" s="16" t="n">
        <v>1</v>
      </c>
      <c r="I2054" s="33" t="n">
        <v>13213.44</v>
      </c>
      <c r="J2054" s="33" t="n">
        <v>14681.64</v>
      </c>
    </row>
    <row r="2055" customFormat="false" ht="15" hidden="false" customHeight="false" outlineLevel="0" collapsed="false">
      <c r="A2055" s="3" t="s">
        <v>2445</v>
      </c>
      <c r="B2055" s="3" t="s">
        <v>283</v>
      </c>
      <c r="C2055" s="3" t="s">
        <v>401</v>
      </c>
      <c r="D2055" s="3" t="s">
        <v>692</v>
      </c>
      <c r="E2055" s="3" t="s">
        <v>398</v>
      </c>
      <c r="F2055" s="16" t="n">
        <v>1</v>
      </c>
      <c r="G2055" s="15" t="n">
        <v>0</v>
      </c>
      <c r="H2055" s="16" t="n">
        <v>1</v>
      </c>
      <c r="I2055" s="33" t="n">
        <v>13193.88</v>
      </c>
      <c r="J2055" s="33" t="n">
        <v>13193.88</v>
      </c>
    </row>
    <row r="2056" customFormat="false" ht="15" hidden="false" customHeight="false" outlineLevel="0" collapsed="false">
      <c r="A2056" s="3" t="s">
        <v>2446</v>
      </c>
      <c r="B2056" s="3" t="s">
        <v>283</v>
      </c>
      <c r="C2056" s="3" t="s">
        <v>384</v>
      </c>
      <c r="D2056" s="3" t="s">
        <v>392</v>
      </c>
      <c r="E2056" s="3" t="s">
        <v>398</v>
      </c>
      <c r="F2056" s="16" t="n">
        <v>1</v>
      </c>
      <c r="G2056" s="15" t="n">
        <v>0</v>
      </c>
      <c r="H2056" s="16" t="n">
        <v>1</v>
      </c>
      <c r="I2056" s="33" t="n">
        <v>13187.88</v>
      </c>
      <c r="J2056" s="33" t="n">
        <v>13187.88</v>
      </c>
    </row>
    <row r="2057" customFormat="false" ht="15" hidden="false" customHeight="false" outlineLevel="0" collapsed="false">
      <c r="A2057" s="3" t="s">
        <v>2447</v>
      </c>
      <c r="B2057" s="3" t="s">
        <v>283</v>
      </c>
      <c r="C2057" s="3" t="s">
        <v>401</v>
      </c>
      <c r="D2057" s="3" t="s">
        <v>692</v>
      </c>
      <c r="E2057" s="3" t="s">
        <v>398</v>
      </c>
      <c r="F2057" s="16" t="n">
        <v>12</v>
      </c>
      <c r="G2057" s="15" t="n">
        <v>0</v>
      </c>
      <c r="H2057" s="16" t="n">
        <v>3</v>
      </c>
      <c r="I2057" s="33" t="n">
        <v>13165.08</v>
      </c>
      <c r="J2057" s="33" t="n">
        <v>13165.08</v>
      </c>
    </row>
    <row r="2058" customFormat="false" ht="15" hidden="false" customHeight="false" outlineLevel="0" collapsed="false">
      <c r="A2058" s="3" t="s">
        <v>2448</v>
      </c>
      <c r="B2058" s="3" t="s">
        <v>283</v>
      </c>
      <c r="C2058" s="3" t="s">
        <v>403</v>
      </c>
      <c r="D2058" s="3" t="s">
        <v>692</v>
      </c>
      <c r="E2058" s="3" t="s">
        <v>398</v>
      </c>
      <c r="F2058" s="16" t="n">
        <v>12</v>
      </c>
      <c r="G2058" s="15" t="n">
        <v>0</v>
      </c>
      <c r="H2058" s="16" t="n">
        <v>1</v>
      </c>
      <c r="I2058" s="33" t="n">
        <v>13144.56</v>
      </c>
      <c r="J2058" s="33" t="n">
        <v>13144.56</v>
      </c>
    </row>
    <row r="2059" customFormat="false" ht="15" hidden="false" customHeight="false" outlineLevel="0" collapsed="false">
      <c r="A2059" s="3" t="s">
        <v>2449</v>
      </c>
      <c r="B2059" s="3" t="s">
        <v>283</v>
      </c>
      <c r="C2059" s="3" t="s">
        <v>401</v>
      </c>
      <c r="D2059" s="3" t="s">
        <v>392</v>
      </c>
      <c r="E2059" s="3" t="s">
        <v>385</v>
      </c>
      <c r="F2059" s="16" t="n">
        <v>12</v>
      </c>
      <c r="G2059" s="15" t="n">
        <v>0</v>
      </c>
      <c r="H2059" s="16" t="n">
        <v>1</v>
      </c>
      <c r="I2059" s="33" t="n">
        <v>13130.76</v>
      </c>
      <c r="J2059" s="33" t="n">
        <v>13130.76</v>
      </c>
    </row>
    <row r="2060" customFormat="false" ht="15" hidden="false" customHeight="false" outlineLevel="0" collapsed="false">
      <c r="A2060" s="3" t="s">
        <v>2450</v>
      </c>
      <c r="B2060" s="3" t="s">
        <v>282</v>
      </c>
      <c r="C2060" s="3" t="s">
        <v>401</v>
      </c>
      <c r="D2060" s="3" t="s">
        <v>381</v>
      </c>
      <c r="E2060" s="3" t="s">
        <v>382</v>
      </c>
      <c r="F2060" s="16" t="n">
        <v>12</v>
      </c>
      <c r="G2060" s="15" t="n">
        <v>0.1</v>
      </c>
      <c r="H2060" s="16" t="n">
        <v>7</v>
      </c>
      <c r="I2060" s="33" t="n">
        <v>13129.92</v>
      </c>
      <c r="J2060" s="33" t="n">
        <v>14588.88</v>
      </c>
    </row>
    <row r="2061" customFormat="false" ht="15" hidden="false" customHeight="false" outlineLevel="0" collapsed="false">
      <c r="A2061" s="3" t="s">
        <v>2451</v>
      </c>
      <c r="B2061" s="3" t="s">
        <v>283</v>
      </c>
      <c r="C2061" s="3" t="s">
        <v>387</v>
      </c>
      <c r="D2061" s="3" t="s">
        <v>392</v>
      </c>
      <c r="E2061" s="3" t="s">
        <v>382</v>
      </c>
      <c r="F2061" s="16" t="n">
        <v>1</v>
      </c>
      <c r="G2061" s="15" t="n">
        <v>0.1</v>
      </c>
      <c r="H2061" s="16" t="n">
        <v>1</v>
      </c>
      <c r="I2061" s="33" t="n">
        <v>13120.44</v>
      </c>
      <c r="J2061" s="33" t="n">
        <v>14578.2</v>
      </c>
    </row>
    <row r="2062" customFormat="false" ht="15" hidden="false" customHeight="false" outlineLevel="0" collapsed="false">
      <c r="A2062" s="3" t="s">
        <v>2452</v>
      </c>
      <c r="B2062" s="3" t="s">
        <v>283</v>
      </c>
      <c r="C2062" s="3" t="s">
        <v>401</v>
      </c>
      <c r="D2062" s="3" t="s">
        <v>418</v>
      </c>
      <c r="E2062" s="3" t="s">
        <v>398</v>
      </c>
      <c r="F2062" s="16" t="n">
        <v>1</v>
      </c>
      <c r="G2062" s="15" t="n">
        <v>0</v>
      </c>
      <c r="H2062" s="16" t="n">
        <v>1</v>
      </c>
      <c r="I2062" s="33" t="n">
        <v>13114.32</v>
      </c>
      <c r="J2062" s="33" t="n">
        <v>13114.32</v>
      </c>
    </row>
    <row r="2063" customFormat="false" ht="15" hidden="false" customHeight="false" outlineLevel="0" collapsed="false">
      <c r="A2063" s="3" t="s">
        <v>2453</v>
      </c>
      <c r="B2063" s="3" t="s">
        <v>283</v>
      </c>
      <c r="C2063" s="3" t="s">
        <v>387</v>
      </c>
      <c r="D2063" s="3" t="s">
        <v>392</v>
      </c>
      <c r="E2063" s="3" t="s">
        <v>385</v>
      </c>
      <c r="F2063" s="16" t="n">
        <v>1</v>
      </c>
      <c r="G2063" s="15" t="n">
        <v>0.15</v>
      </c>
      <c r="H2063" s="16" t="n">
        <v>1</v>
      </c>
      <c r="I2063" s="33" t="n">
        <v>13107.6</v>
      </c>
      <c r="J2063" s="33" t="n">
        <v>15420.72</v>
      </c>
    </row>
    <row r="2064" customFormat="false" ht="15" hidden="false" customHeight="false" outlineLevel="0" collapsed="false">
      <c r="A2064" s="3" t="s">
        <v>2454</v>
      </c>
      <c r="B2064" s="3" t="s">
        <v>283</v>
      </c>
      <c r="C2064" s="3" t="s">
        <v>384</v>
      </c>
      <c r="D2064" s="3" t="s">
        <v>392</v>
      </c>
      <c r="E2064" s="3" t="s">
        <v>382</v>
      </c>
      <c r="F2064" s="16" t="n">
        <v>12</v>
      </c>
      <c r="G2064" s="15" t="n">
        <v>0.1</v>
      </c>
      <c r="H2064" s="16" t="n">
        <v>9</v>
      </c>
      <c r="I2064" s="33" t="n">
        <v>13096.32</v>
      </c>
      <c r="J2064" s="33" t="n">
        <v>14551.44</v>
      </c>
    </row>
    <row r="2065" customFormat="false" ht="15" hidden="false" customHeight="false" outlineLevel="0" collapsed="false">
      <c r="A2065" s="3" t="s">
        <v>2455</v>
      </c>
      <c r="B2065" s="3" t="s">
        <v>283</v>
      </c>
      <c r="C2065" s="3" t="s">
        <v>401</v>
      </c>
      <c r="D2065" s="3" t="s">
        <v>418</v>
      </c>
      <c r="E2065" s="3" t="s">
        <v>385</v>
      </c>
      <c r="F2065" s="16" t="n">
        <v>1</v>
      </c>
      <c r="G2065" s="15" t="n">
        <v>0</v>
      </c>
      <c r="H2065" s="16" t="n">
        <v>1</v>
      </c>
      <c r="I2065" s="33" t="n">
        <v>13071</v>
      </c>
      <c r="J2065" s="33" t="n">
        <v>13071</v>
      </c>
    </row>
    <row r="2066" customFormat="false" ht="15" hidden="false" customHeight="false" outlineLevel="0" collapsed="false">
      <c r="A2066" s="3" t="s">
        <v>2456</v>
      </c>
      <c r="B2066" s="3" t="s">
        <v>283</v>
      </c>
      <c r="C2066" s="3" t="s">
        <v>387</v>
      </c>
      <c r="D2066" s="3" t="s">
        <v>381</v>
      </c>
      <c r="E2066" s="3" t="s">
        <v>398</v>
      </c>
      <c r="F2066" s="16" t="n">
        <v>12</v>
      </c>
      <c r="G2066" s="15" t="n">
        <v>0.1</v>
      </c>
      <c r="H2066" s="16" t="n">
        <v>11</v>
      </c>
      <c r="I2066" s="33" t="n">
        <v>13062.48</v>
      </c>
      <c r="J2066" s="33" t="n">
        <v>14513.88</v>
      </c>
    </row>
    <row r="2067" customFormat="false" ht="15" hidden="false" customHeight="false" outlineLevel="0" collapsed="false">
      <c r="A2067" s="3" t="s">
        <v>2457</v>
      </c>
      <c r="B2067" s="3" t="s">
        <v>283</v>
      </c>
      <c r="C2067" s="3" t="s">
        <v>387</v>
      </c>
      <c r="D2067" s="3" t="s">
        <v>692</v>
      </c>
      <c r="E2067" s="3" t="s">
        <v>385</v>
      </c>
      <c r="F2067" s="16" t="n">
        <v>12</v>
      </c>
      <c r="G2067" s="15" t="n">
        <v>0</v>
      </c>
      <c r="H2067" s="16" t="n">
        <v>5</v>
      </c>
      <c r="I2067" s="33" t="n">
        <v>13052.16</v>
      </c>
      <c r="J2067" s="33" t="n">
        <v>13052.16</v>
      </c>
    </row>
    <row r="2068" customFormat="false" ht="15" hidden="false" customHeight="false" outlineLevel="0" collapsed="false">
      <c r="A2068" s="3" t="s">
        <v>2458</v>
      </c>
      <c r="B2068" s="3" t="s">
        <v>283</v>
      </c>
      <c r="C2068" s="3" t="s">
        <v>387</v>
      </c>
      <c r="D2068" s="3" t="s">
        <v>418</v>
      </c>
      <c r="E2068" s="3" t="s">
        <v>398</v>
      </c>
      <c r="F2068" s="16" t="n">
        <v>12</v>
      </c>
      <c r="G2068" s="15" t="n">
        <v>0.05</v>
      </c>
      <c r="H2068" s="16" t="n">
        <v>2</v>
      </c>
      <c r="I2068" s="33" t="n">
        <v>13047.84</v>
      </c>
      <c r="J2068" s="33" t="n">
        <v>13734.48</v>
      </c>
    </row>
    <row r="2069" customFormat="false" ht="15" hidden="false" customHeight="false" outlineLevel="0" collapsed="false">
      <c r="A2069" s="3" t="s">
        <v>2459</v>
      </c>
      <c r="B2069" s="3" t="s">
        <v>283</v>
      </c>
      <c r="C2069" s="3" t="s">
        <v>403</v>
      </c>
      <c r="D2069" s="3" t="s">
        <v>392</v>
      </c>
      <c r="E2069" s="3" t="s">
        <v>398</v>
      </c>
      <c r="F2069" s="16" t="n">
        <v>12</v>
      </c>
      <c r="G2069" s="15" t="n">
        <v>0</v>
      </c>
      <c r="H2069" s="16" t="n">
        <v>8</v>
      </c>
      <c r="I2069" s="33" t="n">
        <v>13038.96</v>
      </c>
      <c r="J2069" s="33" t="n">
        <v>13038.96</v>
      </c>
    </row>
    <row r="2070" customFormat="false" ht="15" hidden="false" customHeight="false" outlineLevel="0" collapsed="false">
      <c r="A2070" s="3" t="s">
        <v>2460</v>
      </c>
      <c r="B2070" s="3" t="s">
        <v>283</v>
      </c>
      <c r="C2070" s="3" t="s">
        <v>380</v>
      </c>
      <c r="D2070" s="3" t="s">
        <v>381</v>
      </c>
      <c r="E2070" s="3" t="s">
        <v>398</v>
      </c>
      <c r="F2070" s="16" t="n">
        <v>1</v>
      </c>
      <c r="G2070" s="15" t="n">
        <v>0</v>
      </c>
      <c r="H2070" s="16" t="n">
        <v>1</v>
      </c>
      <c r="I2070" s="33" t="n">
        <v>13023.12</v>
      </c>
      <c r="J2070" s="33" t="n">
        <v>13023.12</v>
      </c>
    </row>
    <row r="2071" customFormat="false" ht="15" hidden="false" customHeight="false" outlineLevel="0" collapsed="false">
      <c r="A2071" s="3" t="s">
        <v>2461</v>
      </c>
      <c r="B2071" s="3" t="s">
        <v>283</v>
      </c>
      <c r="C2071" s="3" t="s">
        <v>396</v>
      </c>
      <c r="D2071" s="3" t="s">
        <v>388</v>
      </c>
      <c r="E2071" s="3" t="s">
        <v>398</v>
      </c>
      <c r="F2071" s="16" t="n">
        <v>12</v>
      </c>
      <c r="G2071" s="15" t="n">
        <v>0</v>
      </c>
      <c r="H2071" s="16" t="n">
        <v>1</v>
      </c>
      <c r="I2071" s="33" t="n">
        <v>13015.32</v>
      </c>
      <c r="J2071" s="33" t="n">
        <v>13015.32</v>
      </c>
    </row>
    <row r="2072" customFormat="false" ht="15" hidden="false" customHeight="false" outlineLevel="0" collapsed="false">
      <c r="A2072" s="3" t="s">
        <v>2462</v>
      </c>
      <c r="B2072" s="3" t="s">
        <v>283</v>
      </c>
      <c r="C2072" s="3" t="s">
        <v>405</v>
      </c>
      <c r="D2072" s="3" t="s">
        <v>381</v>
      </c>
      <c r="E2072" s="3" t="s">
        <v>382</v>
      </c>
      <c r="F2072" s="16" t="n">
        <v>12</v>
      </c>
      <c r="G2072" s="15" t="n">
        <v>0</v>
      </c>
      <c r="H2072" s="16" t="n">
        <v>2</v>
      </c>
      <c r="I2072" s="33" t="n">
        <v>13013.52</v>
      </c>
      <c r="J2072" s="33" t="n">
        <v>13013.52</v>
      </c>
    </row>
    <row r="2073" customFormat="false" ht="15" hidden="false" customHeight="false" outlineLevel="0" collapsed="false">
      <c r="A2073" s="3" t="s">
        <v>2463</v>
      </c>
      <c r="B2073" s="3" t="s">
        <v>283</v>
      </c>
      <c r="C2073" s="3" t="s">
        <v>403</v>
      </c>
      <c r="D2073" s="3" t="s">
        <v>418</v>
      </c>
      <c r="E2073" s="3" t="s">
        <v>398</v>
      </c>
      <c r="F2073" s="16" t="n">
        <v>1</v>
      </c>
      <c r="G2073" s="15" t="n">
        <v>0</v>
      </c>
      <c r="H2073" s="16" t="n">
        <v>1</v>
      </c>
      <c r="I2073" s="33" t="n">
        <v>13009.44</v>
      </c>
      <c r="J2073" s="33" t="n">
        <v>13009.44</v>
      </c>
    </row>
    <row r="2074" customFormat="false" ht="15" hidden="false" customHeight="false" outlineLevel="0" collapsed="false">
      <c r="A2074" s="3" t="s">
        <v>2464</v>
      </c>
      <c r="B2074" s="3" t="s">
        <v>283</v>
      </c>
      <c r="C2074" s="3" t="s">
        <v>384</v>
      </c>
      <c r="D2074" s="3" t="s">
        <v>418</v>
      </c>
      <c r="E2074" s="3" t="s">
        <v>398</v>
      </c>
      <c r="F2074" s="16" t="n">
        <v>1</v>
      </c>
      <c r="G2074" s="15" t="n">
        <v>0</v>
      </c>
      <c r="H2074" s="16" t="n">
        <v>1</v>
      </c>
      <c r="I2074" s="33" t="n">
        <v>12993.24</v>
      </c>
      <c r="J2074" s="33" t="n">
        <v>12993.24</v>
      </c>
    </row>
    <row r="2075" customFormat="false" ht="15" hidden="false" customHeight="false" outlineLevel="0" collapsed="false">
      <c r="A2075" s="3" t="s">
        <v>2465</v>
      </c>
      <c r="B2075" s="3" t="s">
        <v>283</v>
      </c>
      <c r="C2075" s="3" t="s">
        <v>396</v>
      </c>
      <c r="D2075" s="3" t="s">
        <v>692</v>
      </c>
      <c r="E2075" s="3" t="s">
        <v>385</v>
      </c>
      <c r="F2075" s="16" t="n">
        <v>1</v>
      </c>
      <c r="G2075" s="15" t="n">
        <v>0</v>
      </c>
      <c r="H2075" s="16" t="n">
        <v>1</v>
      </c>
      <c r="I2075" s="33" t="n">
        <v>12977.52</v>
      </c>
      <c r="J2075" s="33" t="n">
        <v>12977.52</v>
      </c>
    </row>
    <row r="2076" customFormat="false" ht="15" hidden="false" customHeight="false" outlineLevel="0" collapsed="false">
      <c r="A2076" s="3" t="s">
        <v>2466</v>
      </c>
      <c r="B2076" s="3" t="s">
        <v>283</v>
      </c>
      <c r="C2076" s="3" t="s">
        <v>401</v>
      </c>
      <c r="D2076" s="3" t="s">
        <v>392</v>
      </c>
      <c r="E2076" s="3" t="s">
        <v>385</v>
      </c>
      <c r="F2076" s="16" t="n">
        <v>12</v>
      </c>
      <c r="G2076" s="15" t="n">
        <v>0</v>
      </c>
      <c r="H2076" s="16" t="n">
        <v>7</v>
      </c>
      <c r="I2076" s="33" t="n">
        <v>12976.8</v>
      </c>
      <c r="J2076" s="33" t="n">
        <v>12976.8</v>
      </c>
    </row>
    <row r="2077" customFormat="false" ht="15" hidden="false" customHeight="false" outlineLevel="0" collapsed="false">
      <c r="A2077" s="3" t="s">
        <v>2467</v>
      </c>
      <c r="B2077" s="3" t="s">
        <v>283</v>
      </c>
      <c r="C2077" s="3" t="s">
        <v>405</v>
      </c>
      <c r="D2077" s="3" t="s">
        <v>388</v>
      </c>
      <c r="E2077" s="3" t="s">
        <v>385</v>
      </c>
      <c r="F2077" s="16" t="n">
        <v>12</v>
      </c>
      <c r="G2077" s="15" t="n">
        <v>0</v>
      </c>
      <c r="H2077" s="16" t="n">
        <v>8</v>
      </c>
      <c r="I2077" s="33" t="n">
        <v>12956.04</v>
      </c>
      <c r="J2077" s="33" t="n">
        <v>12956.04</v>
      </c>
    </row>
    <row r="2078" customFormat="false" ht="15" hidden="false" customHeight="false" outlineLevel="0" collapsed="false">
      <c r="A2078" s="3" t="s">
        <v>2468</v>
      </c>
      <c r="B2078" s="3" t="s">
        <v>283</v>
      </c>
      <c r="C2078" s="3" t="s">
        <v>403</v>
      </c>
      <c r="D2078" s="3" t="s">
        <v>692</v>
      </c>
      <c r="E2078" s="3" t="s">
        <v>385</v>
      </c>
      <c r="F2078" s="16" t="n">
        <v>1</v>
      </c>
      <c r="G2078" s="15" t="n">
        <v>0</v>
      </c>
      <c r="H2078" s="16" t="n">
        <v>1</v>
      </c>
      <c r="I2078" s="33" t="n">
        <v>12947.16</v>
      </c>
      <c r="J2078" s="33" t="n">
        <v>12947.16</v>
      </c>
    </row>
    <row r="2079" customFormat="false" ht="15" hidden="false" customHeight="false" outlineLevel="0" collapsed="false">
      <c r="A2079" s="3" t="s">
        <v>2469</v>
      </c>
      <c r="B2079" s="3" t="s">
        <v>283</v>
      </c>
      <c r="C2079" s="3" t="s">
        <v>403</v>
      </c>
      <c r="D2079" s="3" t="s">
        <v>418</v>
      </c>
      <c r="E2079" s="3" t="s">
        <v>385</v>
      </c>
      <c r="F2079" s="16" t="n">
        <v>1</v>
      </c>
      <c r="G2079" s="15" t="n">
        <v>0</v>
      </c>
      <c r="H2079" s="16" t="n">
        <v>1</v>
      </c>
      <c r="I2079" s="33" t="n">
        <v>12944.64</v>
      </c>
      <c r="J2079" s="33" t="n">
        <v>12944.64</v>
      </c>
    </row>
    <row r="2080" customFormat="false" ht="15" hidden="false" customHeight="false" outlineLevel="0" collapsed="false">
      <c r="A2080" s="3" t="s">
        <v>2470</v>
      </c>
      <c r="B2080" s="3" t="s">
        <v>283</v>
      </c>
      <c r="C2080" s="3" t="s">
        <v>384</v>
      </c>
      <c r="D2080" s="3" t="s">
        <v>392</v>
      </c>
      <c r="E2080" s="3" t="s">
        <v>398</v>
      </c>
      <c r="F2080" s="16" t="n">
        <v>1</v>
      </c>
      <c r="G2080" s="15" t="n">
        <v>0</v>
      </c>
      <c r="H2080" s="16" t="n">
        <v>1</v>
      </c>
      <c r="I2080" s="33" t="n">
        <v>12941.04</v>
      </c>
      <c r="J2080" s="33" t="n">
        <v>12941.04</v>
      </c>
    </row>
    <row r="2081" customFormat="false" ht="15" hidden="false" customHeight="false" outlineLevel="0" collapsed="false">
      <c r="A2081" s="3" t="s">
        <v>2471</v>
      </c>
      <c r="B2081" s="3" t="s">
        <v>283</v>
      </c>
      <c r="C2081" s="3" t="s">
        <v>387</v>
      </c>
      <c r="D2081" s="3" t="s">
        <v>692</v>
      </c>
      <c r="E2081" s="3" t="s">
        <v>398</v>
      </c>
      <c r="F2081" s="16" t="n">
        <v>12</v>
      </c>
      <c r="G2081" s="15" t="n">
        <v>0.1</v>
      </c>
      <c r="H2081" s="16" t="n">
        <v>9</v>
      </c>
      <c r="I2081" s="33" t="n">
        <v>12940.08</v>
      </c>
      <c r="J2081" s="33" t="n">
        <v>14377.8</v>
      </c>
    </row>
    <row r="2082" customFormat="false" ht="15" hidden="false" customHeight="false" outlineLevel="0" collapsed="false">
      <c r="A2082" s="3" t="s">
        <v>2472</v>
      </c>
      <c r="B2082" s="3" t="s">
        <v>283</v>
      </c>
      <c r="C2082" s="3" t="s">
        <v>396</v>
      </c>
      <c r="D2082" s="3" t="s">
        <v>381</v>
      </c>
      <c r="E2082" s="3" t="s">
        <v>398</v>
      </c>
      <c r="F2082" s="16" t="n">
        <v>12</v>
      </c>
      <c r="G2082" s="15" t="n">
        <v>0.3</v>
      </c>
      <c r="H2082" s="16" t="n">
        <v>2</v>
      </c>
      <c r="I2082" s="33" t="n">
        <v>12937.44</v>
      </c>
      <c r="J2082" s="33" t="n">
        <v>18482.16</v>
      </c>
    </row>
    <row r="2083" customFormat="false" ht="15" hidden="false" customHeight="false" outlineLevel="0" collapsed="false">
      <c r="A2083" s="3" t="s">
        <v>2473</v>
      </c>
      <c r="B2083" s="3" t="s">
        <v>283</v>
      </c>
      <c r="C2083" s="3" t="s">
        <v>387</v>
      </c>
      <c r="D2083" s="3" t="s">
        <v>418</v>
      </c>
      <c r="E2083" s="3" t="s">
        <v>382</v>
      </c>
      <c r="F2083" s="16" t="n">
        <v>12</v>
      </c>
      <c r="G2083" s="15" t="n">
        <v>0</v>
      </c>
      <c r="H2083" s="16" t="n">
        <v>6</v>
      </c>
      <c r="I2083" s="33" t="n">
        <v>12929.64</v>
      </c>
      <c r="J2083" s="33" t="n">
        <v>12929.64</v>
      </c>
    </row>
    <row r="2084" customFormat="false" ht="15" hidden="false" customHeight="false" outlineLevel="0" collapsed="false">
      <c r="A2084" s="3" t="s">
        <v>2474</v>
      </c>
      <c r="B2084" s="3" t="s">
        <v>283</v>
      </c>
      <c r="C2084" s="3" t="s">
        <v>403</v>
      </c>
      <c r="D2084" s="3" t="s">
        <v>692</v>
      </c>
      <c r="E2084" s="3" t="s">
        <v>398</v>
      </c>
      <c r="F2084" s="16" t="n">
        <v>1</v>
      </c>
      <c r="G2084" s="15" t="n">
        <v>0</v>
      </c>
      <c r="H2084" s="16" t="n">
        <v>1</v>
      </c>
      <c r="I2084" s="33" t="n">
        <v>12909.84</v>
      </c>
      <c r="J2084" s="33" t="n">
        <v>12909.84</v>
      </c>
    </row>
    <row r="2085" customFormat="false" ht="15" hidden="false" customHeight="false" outlineLevel="0" collapsed="false">
      <c r="A2085" s="3" t="s">
        <v>2475</v>
      </c>
      <c r="B2085" s="3" t="s">
        <v>283</v>
      </c>
      <c r="C2085" s="3" t="s">
        <v>405</v>
      </c>
      <c r="D2085" s="3" t="s">
        <v>392</v>
      </c>
      <c r="E2085" s="3" t="s">
        <v>398</v>
      </c>
      <c r="F2085" s="16" t="n">
        <v>1</v>
      </c>
      <c r="G2085" s="15" t="n">
        <v>0</v>
      </c>
      <c r="H2085" s="16" t="n">
        <v>1</v>
      </c>
      <c r="I2085" s="33" t="n">
        <v>12903.24</v>
      </c>
      <c r="J2085" s="33" t="n">
        <v>12903.24</v>
      </c>
    </row>
    <row r="2086" customFormat="false" ht="15" hidden="false" customHeight="false" outlineLevel="0" collapsed="false">
      <c r="A2086" s="3" t="s">
        <v>2476</v>
      </c>
      <c r="B2086" s="3" t="s">
        <v>283</v>
      </c>
      <c r="C2086" s="3" t="s">
        <v>380</v>
      </c>
      <c r="D2086" s="3" t="s">
        <v>418</v>
      </c>
      <c r="E2086" s="3" t="s">
        <v>398</v>
      </c>
      <c r="F2086" s="16" t="n">
        <v>12</v>
      </c>
      <c r="G2086" s="15" t="n">
        <v>0</v>
      </c>
      <c r="H2086" s="16" t="n">
        <v>1</v>
      </c>
      <c r="I2086" s="33" t="n">
        <v>12900.24</v>
      </c>
      <c r="J2086" s="33" t="n">
        <v>12900.24</v>
      </c>
    </row>
    <row r="2087" customFormat="false" ht="15" hidden="false" customHeight="false" outlineLevel="0" collapsed="false">
      <c r="A2087" s="3" t="s">
        <v>2477</v>
      </c>
      <c r="B2087" s="3" t="s">
        <v>283</v>
      </c>
      <c r="C2087" s="3" t="s">
        <v>401</v>
      </c>
      <c r="D2087" s="3" t="s">
        <v>381</v>
      </c>
      <c r="E2087" s="3" t="s">
        <v>398</v>
      </c>
      <c r="F2087" s="16" t="n">
        <v>12</v>
      </c>
      <c r="G2087" s="15" t="n">
        <v>0</v>
      </c>
      <c r="H2087" s="16" t="n">
        <v>5</v>
      </c>
      <c r="I2087" s="33" t="n">
        <v>12879.72</v>
      </c>
      <c r="J2087" s="33" t="n">
        <v>12879.72</v>
      </c>
    </row>
    <row r="2088" customFormat="false" ht="15" hidden="false" customHeight="false" outlineLevel="0" collapsed="false">
      <c r="A2088" s="3" t="s">
        <v>2478</v>
      </c>
      <c r="B2088" s="3" t="s">
        <v>283</v>
      </c>
      <c r="C2088" s="3" t="s">
        <v>384</v>
      </c>
      <c r="D2088" s="3" t="s">
        <v>692</v>
      </c>
      <c r="E2088" s="3" t="s">
        <v>382</v>
      </c>
      <c r="F2088" s="16" t="n">
        <v>12</v>
      </c>
      <c r="G2088" s="15" t="n">
        <v>0</v>
      </c>
      <c r="H2088" s="16" t="n">
        <v>8</v>
      </c>
      <c r="I2088" s="33" t="n">
        <v>12878.52</v>
      </c>
      <c r="J2088" s="33" t="n">
        <v>12878.52</v>
      </c>
    </row>
    <row r="2089" customFormat="false" ht="15" hidden="false" customHeight="false" outlineLevel="0" collapsed="false">
      <c r="A2089" s="3" t="s">
        <v>2479</v>
      </c>
      <c r="B2089" s="3" t="s">
        <v>283</v>
      </c>
      <c r="C2089" s="3" t="s">
        <v>380</v>
      </c>
      <c r="D2089" s="3" t="s">
        <v>692</v>
      </c>
      <c r="E2089" s="3" t="s">
        <v>398</v>
      </c>
      <c r="F2089" s="16" t="n">
        <v>1</v>
      </c>
      <c r="G2089" s="15" t="n">
        <v>0.1</v>
      </c>
      <c r="H2089" s="16" t="n">
        <v>1</v>
      </c>
      <c r="I2089" s="33" t="n">
        <v>12867</v>
      </c>
      <c r="J2089" s="33" t="n">
        <v>14296.68</v>
      </c>
    </row>
    <row r="2090" customFormat="false" ht="15" hidden="false" customHeight="false" outlineLevel="0" collapsed="false">
      <c r="A2090" s="3" t="s">
        <v>2480</v>
      </c>
      <c r="B2090" s="3" t="s">
        <v>283</v>
      </c>
      <c r="C2090" s="3" t="s">
        <v>401</v>
      </c>
      <c r="D2090" s="3" t="s">
        <v>392</v>
      </c>
      <c r="E2090" s="3" t="s">
        <v>382</v>
      </c>
      <c r="F2090" s="16" t="n">
        <v>1</v>
      </c>
      <c r="G2090" s="15" t="n">
        <v>0</v>
      </c>
      <c r="H2090" s="16" t="n">
        <v>1</v>
      </c>
      <c r="I2090" s="33" t="n">
        <v>12859.2</v>
      </c>
      <c r="J2090" s="33" t="n">
        <v>12859.2</v>
      </c>
    </row>
    <row r="2091" customFormat="false" ht="15" hidden="false" customHeight="false" outlineLevel="0" collapsed="false">
      <c r="A2091" s="3" t="s">
        <v>2481</v>
      </c>
      <c r="B2091" s="3" t="s">
        <v>283</v>
      </c>
      <c r="C2091" s="3" t="s">
        <v>405</v>
      </c>
      <c r="D2091" s="3" t="s">
        <v>692</v>
      </c>
      <c r="E2091" s="3" t="s">
        <v>385</v>
      </c>
      <c r="F2091" s="16" t="n">
        <v>1</v>
      </c>
      <c r="G2091" s="15" t="n">
        <v>0</v>
      </c>
      <c r="H2091" s="16" t="n">
        <v>1</v>
      </c>
      <c r="I2091" s="33" t="n">
        <v>12843.96</v>
      </c>
      <c r="J2091" s="33" t="n">
        <v>12843.96</v>
      </c>
    </row>
    <row r="2092" customFormat="false" ht="15" hidden="false" customHeight="false" outlineLevel="0" collapsed="false">
      <c r="A2092" s="3" t="s">
        <v>2482</v>
      </c>
      <c r="B2092" s="3" t="s">
        <v>283</v>
      </c>
      <c r="C2092" s="3" t="s">
        <v>405</v>
      </c>
      <c r="D2092" s="3" t="s">
        <v>692</v>
      </c>
      <c r="E2092" s="3" t="s">
        <v>385</v>
      </c>
      <c r="F2092" s="16" t="n">
        <v>1</v>
      </c>
      <c r="G2092" s="15" t="n">
        <v>0</v>
      </c>
      <c r="H2092" s="16" t="n">
        <v>1</v>
      </c>
      <c r="I2092" s="33" t="n">
        <v>12841.56</v>
      </c>
      <c r="J2092" s="33" t="n">
        <v>12841.56</v>
      </c>
    </row>
    <row r="2093" customFormat="false" ht="15" hidden="false" customHeight="false" outlineLevel="0" collapsed="false">
      <c r="A2093" s="3" t="s">
        <v>2483</v>
      </c>
      <c r="B2093" s="3" t="s">
        <v>283</v>
      </c>
      <c r="C2093" s="3" t="s">
        <v>403</v>
      </c>
      <c r="D2093" s="3" t="s">
        <v>692</v>
      </c>
      <c r="E2093" s="3" t="s">
        <v>398</v>
      </c>
      <c r="F2093" s="16" t="n">
        <v>12</v>
      </c>
      <c r="G2093" s="15" t="n">
        <v>0</v>
      </c>
      <c r="H2093" s="16" t="n">
        <v>12</v>
      </c>
      <c r="I2093" s="33" t="n">
        <v>12825.72</v>
      </c>
      <c r="J2093" s="33" t="n">
        <v>12825.72</v>
      </c>
    </row>
    <row r="2094" customFormat="false" ht="15" hidden="false" customHeight="false" outlineLevel="0" collapsed="false">
      <c r="A2094" s="3" t="s">
        <v>2484</v>
      </c>
      <c r="B2094" s="3" t="s">
        <v>283</v>
      </c>
      <c r="C2094" s="3" t="s">
        <v>405</v>
      </c>
      <c r="D2094" s="3" t="s">
        <v>692</v>
      </c>
      <c r="E2094" s="3" t="s">
        <v>382</v>
      </c>
      <c r="F2094" s="16" t="n">
        <v>1</v>
      </c>
      <c r="G2094" s="15" t="n">
        <v>0</v>
      </c>
      <c r="H2094" s="16" t="n">
        <v>1</v>
      </c>
      <c r="I2094" s="33" t="n">
        <v>12823.68</v>
      </c>
      <c r="J2094" s="33" t="n">
        <v>12823.68</v>
      </c>
    </row>
    <row r="2095" customFormat="false" ht="15" hidden="false" customHeight="false" outlineLevel="0" collapsed="false">
      <c r="A2095" s="3" t="s">
        <v>2485</v>
      </c>
      <c r="B2095" s="3" t="s">
        <v>283</v>
      </c>
      <c r="C2095" s="3" t="s">
        <v>403</v>
      </c>
      <c r="D2095" s="3" t="s">
        <v>692</v>
      </c>
      <c r="E2095" s="3" t="s">
        <v>398</v>
      </c>
      <c r="F2095" s="16" t="n">
        <v>12</v>
      </c>
      <c r="G2095" s="15" t="n">
        <v>0.1</v>
      </c>
      <c r="H2095" s="16" t="n">
        <v>11</v>
      </c>
      <c r="I2095" s="33" t="n">
        <v>12821.64</v>
      </c>
      <c r="J2095" s="33" t="n">
        <v>14246.28</v>
      </c>
    </row>
    <row r="2096" customFormat="false" ht="15" hidden="false" customHeight="false" outlineLevel="0" collapsed="false">
      <c r="A2096" s="3" t="s">
        <v>2486</v>
      </c>
      <c r="B2096" s="3" t="s">
        <v>283</v>
      </c>
      <c r="C2096" s="3" t="s">
        <v>401</v>
      </c>
      <c r="D2096" s="3" t="s">
        <v>418</v>
      </c>
      <c r="E2096" s="3" t="s">
        <v>382</v>
      </c>
      <c r="F2096" s="16" t="n">
        <v>12</v>
      </c>
      <c r="G2096" s="15" t="n">
        <v>0.1</v>
      </c>
      <c r="H2096" s="16" t="n">
        <v>11</v>
      </c>
      <c r="I2096" s="33" t="n">
        <v>12798.36</v>
      </c>
      <c r="J2096" s="33" t="n">
        <v>14220.36</v>
      </c>
    </row>
    <row r="2097" customFormat="false" ht="15" hidden="false" customHeight="false" outlineLevel="0" collapsed="false">
      <c r="A2097" s="3" t="s">
        <v>2487</v>
      </c>
      <c r="B2097" s="3" t="s">
        <v>283</v>
      </c>
      <c r="C2097" s="3" t="s">
        <v>380</v>
      </c>
      <c r="D2097" s="3" t="s">
        <v>392</v>
      </c>
      <c r="E2097" s="3" t="s">
        <v>398</v>
      </c>
      <c r="F2097" s="16" t="n">
        <v>12</v>
      </c>
      <c r="G2097" s="15" t="n">
        <v>0</v>
      </c>
      <c r="H2097" s="16" t="n">
        <v>9</v>
      </c>
      <c r="I2097" s="33" t="n">
        <v>12797.52</v>
      </c>
      <c r="J2097" s="33" t="n">
        <v>12797.52</v>
      </c>
    </row>
    <row r="2098" customFormat="false" ht="15" hidden="false" customHeight="false" outlineLevel="0" collapsed="false">
      <c r="A2098" s="3" t="s">
        <v>2488</v>
      </c>
      <c r="B2098" s="3" t="s">
        <v>283</v>
      </c>
      <c r="C2098" s="3" t="s">
        <v>396</v>
      </c>
      <c r="D2098" s="3" t="s">
        <v>692</v>
      </c>
      <c r="E2098" s="3" t="s">
        <v>398</v>
      </c>
      <c r="F2098" s="16" t="n">
        <v>1</v>
      </c>
      <c r="G2098" s="15" t="n">
        <v>0</v>
      </c>
      <c r="H2098" s="16" t="n">
        <v>1</v>
      </c>
      <c r="I2098" s="33" t="n">
        <v>12795.6</v>
      </c>
      <c r="J2098" s="33" t="n">
        <v>12795.6</v>
      </c>
    </row>
    <row r="2099" customFormat="false" ht="15" hidden="false" customHeight="false" outlineLevel="0" collapsed="false">
      <c r="A2099" s="3" t="s">
        <v>2489</v>
      </c>
      <c r="B2099" s="3" t="s">
        <v>283</v>
      </c>
      <c r="C2099" s="3" t="s">
        <v>396</v>
      </c>
      <c r="D2099" s="3" t="s">
        <v>692</v>
      </c>
      <c r="E2099" s="3" t="s">
        <v>398</v>
      </c>
      <c r="F2099" s="16" t="n">
        <v>1</v>
      </c>
      <c r="G2099" s="15" t="n">
        <v>0</v>
      </c>
      <c r="H2099" s="16" t="n">
        <v>1</v>
      </c>
      <c r="I2099" s="33" t="n">
        <v>12788.64</v>
      </c>
      <c r="J2099" s="33" t="n">
        <v>12788.64</v>
      </c>
    </row>
    <row r="2100" customFormat="false" ht="15" hidden="false" customHeight="false" outlineLevel="0" collapsed="false">
      <c r="A2100" s="3" t="s">
        <v>2490</v>
      </c>
      <c r="B2100" s="3" t="s">
        <v>283</v>
      </c>
      <c r="C2100" s="3" t="s">
        <v>403</v>
      </c>
      <c r="D2100" s="3" t="s">
        <v>381</v>
      </c>
      <c r="E2100" s="3" t="s">
        <v>398</v>
      </c>
      <c r="F2100" s="16" t="n">
        <v>12</v>
      </c>
      <c r="G2100" s="15" t="n">
        <v>0</v>
      </c>
      <c r="H2100" s="16" t="n">
        <v>6</v>
      </c>
      <c r="I2100" s="33" t="n">
        <v>12779.52</v>
      </c>
      <c r="J2100" s="33" t="n">
        <v>12779.52</v>
      </c>
    </row>
    <row r="2101" customFormat="false" ht="15" hidden="false" customHeight="false" outlineLevel="0" collapsed="false">
      <c r="A2101" s="3" t="s">
        <v>2491</v>
      </c>
      <c r="B2101" s="3" t="s">
        <v>283</v>
      </c>
      <c r="C2101" s="3" t="s">
        <v>396</v>
      </c>
      <c r="D2101" s="3" t="s">
        <v>692</v>
      </c>
      <c r="E2101" s="3" t="s">
        <v>398</v>
      </c>
      <c r="F2101" s="16" t="n">
        <v>1</v>
      </c>
      <c r="G2101" s="15" t="n">
        <v>0</v>
      </c>
      <c r="H2101" s="16" t="n">
        <v>1</v>
      </c>
      <c r="I2101" s="33" t="n">
        <v>12779.28</v>
      </c>
      <c r="J2101" s="33" t="n">
        <v>12779.28</v>
      </c>
    </row>
    <row r="2102" customFormat="false" ht="15" hidden="false" customHeight="false" outlineLevel="0" collapsed="false">
      <c r="A2102" s="3" t="s">
        <v>2492</v>
      </c>
      <c r="B2102" s="3" t="s">
        <v>283</v>
      </c>
      <c r="C2102" s="3" t="s">
        <v>401</v>
      </c>
      <c r="D2102" s="3" t="s">
        <v>692</v>
      </c>
      <c r="E2102" s="3" t="s">
        <v>398</v>
      </c>
      <c r="F2102" s="16" t="n">
        <v>12</v>
      </c>
      <c r="G2102" s="15" t="n">
        <v>0</v>
      </c>
      <c r="H2102" s="16" t="n">
        <v>1</v>
      </c>
      <c r="I2102" s="33" t="n">
        <v>12777.84</v>
      </c>
      <c r="J2102" s="33" t="n">
        <v>12777.84</v>
      </c>
    </row>
    <row r="2103" customFormat="false" ht="15" hidden="false" customHeight="false" outlineLevel="0" collapsed="false">
      <c r="A2103" s="3" t="s">
        <v>2493</v>
      </c>
      <c r="B2103" s="3" t="s">
        <v>283</v>
      </c>
      <c r="C2103" s="3" t="s">
        <v>403</v>
      </c>
      <c r="D2103" s="3" t="s">
        <v>418</v>
      </c>
      <c r="E2103" s="3" t="s">
        <v>398</v>
      </c>
      <c r="F2103" s="16" t="n">
        <v>12</v>
      </c>
      <c r="G2103" s="15" t="n">
        <v>0.05</v>
      </c>
      <c r="H2103" s="16" t="n">
        <v>10</v>
      </c>
      <c r="I2103" s="33" t="n">
        <v>12767.64</v>
      </c>
      <c r="J2103" s="33" t="n">
        <v>13439.64</v>
      </c>
    </row>
    <row r="2104" customFormat="false" ht="15" hidden="false" customHeight="false" outlineLevel="0" collapsed="false">
      <c r="A2104" s="3" t="s">
        <v>2494</v>
      </c>
      <c r="B2104" s="3" t="s">
        <v>283</v>
      </c>
      <c r="C2104" s="3" t="s">
        <v>403</v>
      </c>
      <c r="D2104" s="3" t="s">
        <v>418</v>
      </c>
      <c r="E2104" s="3" t="s">
        <v>398</v>
      </c>
      <c r="F2104" s="16" t="n">
        <v>1</v>
      </c>
      <c r="G2104" s="15" t="n">
        <v>0.15</v>
      </c>
      <c r="H2104" s="16" t="n">
        <v>1</v>
      </c>
      <c r="I2104" s="33" t="n">
        <v>12757.68</v>
      </c>
      <c r="J2104" s="33" t="n">
        <v>15009</v>
      </c>
    </row>
    <row r="2105" customFormat="false" ht="15" hidden="false" customHeight="false" outlineLevel="0" collapsed="false">
      <c r="A2105" s="3" t="s">
        <v>2495</v>
      </c>
      <c r="B2105" s="3" t="s">
        <v>283</v>
      </c>
      <c r="C2105" s="3" t="s">
        <v>401</v>
      </c>
      <c r="D2105" s="3" t="s">
        <v>392</v>
      </c>
      <c r="E2105" s="3" t="s">
        <v>385</v>
      </c>
      <c r="F2105" s="16" t="n">
        <v>12</v>
      </c>
      <c r="G2105" s="15" t="n">
        <v>0.1</v>
      </c>
      <c r="H2105" s="16" t="n">
        <v>9</v>
      </c>
      <c r="I2105" s="33" t="n">
        <v>12745.2</v>
      </c>
      <c r="J2105" s="33" t="n">
        <v>14161.32</v>
      </c>
    </row>
    <row r="2106" customFormat="false" ht="15" hidden="false" customHeight="false" outlineLevel="0" collapsed="false">
      <c r="A2106" s="3" t="s">
        <v>2496</v>
      </c>
      <c r="B2106" s="3" t="s">
        <v>282</v>
      </c>
      <c r="C2106" s="3" t="s">
        <v>387</v>
      </c>
      <c r="D2106" s="3" t="s">
        <v>392</v>
      </c>
      <c r="E2106" s="3" t="s">
        <v>398</v>
      </c>
      <c r="F2106" s="16" t="n">
        <v>12</v>
      </c>
      <c r="G2106" s="15" t="n">
        <v>0.3</v>
      </c>
      <c r="H2106" s="16" t="n">
        <v>1</v>
      </c>
      <c r="I2106" s="33" t="n">
        <v>12729.48</v>
      </c>
      <c r="J2106" s="33" t="n">
        <v>18185.04</v>
      </c>
    </row>
    <row r="2107" customFormat="false" ht="15" hidden="false" customHeight="false" outlineLevel="0" collapsed="false">
      <c r="A2107" s="3" t="s">
        <v>2497</v>
      </c>
      <c r="B2107" s="3" t="s">
        <v>283</v>
      </c>
      <c r="C2107" s="3" t="s">
        <v>387</v>
      </c>
      <c r="D2107" s="3" t="s">
        <v>692</v>
      </c>
      <c r="E2107" s="3" t="s">
        <v>398</v>
      </c>
      <c r="F2107" s="16" t="n">
        <v>1</v>
      </c>
      <c r="G2107" s="15" t="n">
        <v>0</v>
      </c>
      <c r="H2107" s="16" t="n">
        <v>1</v>
      </c>
      <c r="I2107" s="33" t="n">
        <v>12728.4</v>
      </c>
      <c r="J2107" s="33" t="n">
        <v>12728.4</v>
      </c>
    </row>
    <row r="2108" customFormat="false" ht="15" hidden="false" customHeight="false" outlineLevel="0" collapsed="false">
      <c r="A2108" s="3" t="s">
        <v>2498</v>
      </c>
      <c r="B2108" s="3" t="s">
        <v>283</v>
      </c>
      <c r="C2108" s="3" t="s">
        <v>380</v>
      </c>
      <c r="D2108" s="3" t="s">
        <v>381</v>
      </c>
      <c r="E2108" s="3" t="s">
        <v>398</v>
      </c>
      <c r="F2108" s="16" t="n">
        <v>1</v>
      </c>
      <c r="G2108" s="15" t="n">
        <v>0.15</v>
      </c>
      <c r="H2108" s="16" t="n">
        <v>1</v>
      </c>
      <c r="I2108" s="33" t="n">
        <v>12722.04</v>
      </c>
      <c r="J2108" s="33" t="n">
        <v>14967.12</v>
      </c>
    </row>
    <row r="2109" customFormat="false" ht="15" hidden="false" customHeight="false" outlineLevel="0" collapsed="false">
      <c r="A2109" s="3" t="s">
        <v>2499</v>
      </c>
      <c r="B2109" s="3" t="s">
        <v>283</v>
      </c>
      <c r="C2109" s="3" t="s">
        <v>380</v>
      </c>
      <c r="D2109" s="3" t="s">
        <v>388</v>
      </c>
      <c r="E2109" s="3" t="s">
        <v>398</v>
      </c>
      <c r="F2109" s="16" t="n">
        <v>12</v>
      </c>
      <c r="G2109" s="15" t="n">
        <v>0</v>
      </c>
      <c r="H2109" s="16" t="n">
        <v>5</v>
      </c>
      <c r="I2109" s="33" t="n">
        <v>12720.48</v>
      </c>
      <c r="J2109" s="33" t="n">
        <v>12720.48</v>
      </c>
    </row>
    <row r="2110" customFormat="false" ht="15" hidden="false" customHeight="false" outlineLevel="0" collapsed="false">
      <c r="A2110" s="3" t="s">
        <v>2500</v>
      </c>
      <c r="B2110" s="3" t="s">
        <v>283</v>
      </c>
      <c r="C2110" s="3" t="s">
        <v>387</v>
      </c>
      <c r="D2110" s="3" t="s">
        <v>692</v>
      </c>
      <c r="E2110" s="3" t="s">
        <v>398</v>
      </c>
      <c r="F2110" s="16" t="n">
        <v>1</v>
      </c>
      <c r="G2110" s="15" t="n">
        <v>0</v>
      </c>
      <c r="H2110" s="16" t="n">
        <v>1</v>
      </c>
      <c r="I2110" s="33" t="n">
        <v>12710.04</v>
      </c>
      <c r="J2110" s="33" t="n">
        <v>12710.04</v>
      </c>
    </row>
    <row r="2111" customFormat="false" ht="15" hidden="false" customHeight="false" outlineLevel="0" collapsed="false">
      <c r="A2111" s="3" t="s">
        <v>2501</v>
      </c>
      <c r="B2111" s="3" t="s">
        <v>283</v>
      </c>
      <c r="C2111" s="3" t="s">
        <v>396</v>
      </c>
      <c r="D2111" s="3" t="s">
        <v>418</v>
      </c>
      <c r="E2111" s="3" t="s">
        <v>398</v>
      </c>
      <c r="F2111" s="16" t="n">
        <v>12</v>
      </c>
      <c r="G2111" s="15" t="n">
        <v>0.1</v>
      </c>
      <c r="H2111" s="16" t="n">
        <v>12</v>
      </c>
      <c r="I2111" s="33" t="n">
        <v>12696.96</v>
      </c>
      <c r="J2111" s="33" t="n">
        <v>14107.68</v>
      </c>
    </row>
    <row r="2112" customFormat="false" ht="15" hidden="false" customHeight="false" outlineLevel="0" collapsed="false">
      <c r="A2112" s="3" t="s">
        <v>2502</v>
      </c>
      <c r="B2112" s="3" t="s">
        <v>283</v>
      </c>
      <c r="C2112" s="3" t="s">
        <v>401</v>
      </c>
      <c r="D2112" s="3" t="s">
        <v>692</v>
      </c>
      <c r="E2112" s="3" t="s">
        <v>398</v>
      </c>
      <c r="F2112" s="16" t="n">
        <v>1</v>
      </c>
      <c r="G2112" s="15" t="n">
        <v>0</v>
      </c>
      <c r="H2112" s="16" t="n">
        <v>1</v>
      </c>
      <c r="I2112" s="33" t="n">
        <v>12691.08</v>
      </c>
      <c r="J2112" s="33" t="n">
        <v>12691.08</v>
      </c>
    </row>
    <row r="2113" customFormat="false" ht="15" hidden="false" customHeight="false" outlineLevel="0" collapsed="false">
      <c r="A2113" s="3" t="s">
        <v>2503</v>
      </c>
      <c r="B2113" s="3" t="s">
        <v>283</v>
      </c>
      <c r="C2113" s="3" t="s">
        <v>405</v>
      </c>
      <c r="D2113" s="3" t="s">
        <v>392</v>
      </c>
      <c r="E2113" s="3" t="s">
        <v>385</v>
      </c>
      <c r="F2113" s="16" t="n">
        <v>12</v>
      </c>
      <c r="G2113" s="15" t="n">
        <v>0</v>
      </c>
      <c r="H2113" s="16" t="n">
        <v>5</v>
      </c>
      <c r="I2113" s="33" t="n">
        <v>12685.08</v>
      </c>
      <c r="J2113" s="33" t="n">
        <v>12685.08</v>
      </c>
    </row>
    <row r="2114" customFormat="false" ht="15" hidden="false" customHeight="false" outlineLevel="0" collapsed="false">
      <c r="A2114" s="3" t="s">
        <v>2504</v>
      </c>
      <c r="B2114" s="3" t="s">
        <v>283</v>
      </c>
      <c r="C2114" s="3" t="s">
        <v>405</v>
      </c>
      <c r="D2114" s="3" t="s">
        <v>418</v>
      </c>
      <c r="E2114" s="3" t="s">
        <v>398</v>
      </c>
      <c r="F2114" s="16" t="n">
        <v>12</v>
      </c>
      <c r="G2114" s="15" t="n">
        <v>0.1</v>
      </c>
      <c r="H2114" s="16" t="n">
        <v>2</v>
      </c>
      <c r="I2114" s="33" t="n">
        <v>12674.52</v>
      </c>
      <c r="J2114" s="33" t="n">
        <v>14082.72</v>
      </c>
    </row>
    <row r="2115" customFormat="false" ht="15" hidden="false" customHeight="false" outlineLevel="0" collapsed="false">
      <c r="A2115" s="3" t="s">
        <v>2505</v>
      </c>
      <c r="B2115" s="3" t="s">
        <v>283</v>
      </c>
      <c r="C2115" s="3" t="s">
        <v>401</v>
      </c>
      <c r="D2115" s="3" t="s">
        <v>692</v>
      </c>
      <c r="E2115" s="3" t="s">
        <v>398</v>
      </c>
      <c r="F2115" s="16" t="n">
        <v>1</v>
      </c>
      <c r="G2115" s="15" t="n">
        <v>0.1</v>
      </c>
      <c r="H2115" s="16" t="n">
        <v>1</v>
      </c>
      <c r="I2115" s="33" t="n">
        <v>12667.2</v>
      </c>
      <c r="J2115" s="33" t="n">
        <v>14074.68</v>
      </c>
    </row>
    <row r="2116" customFormat="false" ht="15" hidden="false" customHeight="false" outlineLevel="0" collapsed="false">
      <c r="A2116" s="3" t="s">
        <v>2506</v>
      </c>
      <c r="B2116" s="3" t="s">
        <v>283</v>
      </c>
      <c r="C2116" s="3" t="s">
        <v>405</v>
      </c>
      <c r="D2116" s="3" t="s">
        <v>392</v>
      </c>
      <c r="E2116" s="3" t="s">
        <v>398</v>
      </c>
      <c r="F2116" s="16" t="n">
        <v>1</v>
      </c>
      <c r="G2116" s="15" t="n">
        <v>0.1</v>
      </c>
      <c r="H2116" s="16" t="n">
        <v>1</v>
      </c>
      <c r="I2116" s="33" t="n">
        <v>12661.8</v>
      </c>
      <c r="J2116" s="33" t="n">
        <v>14068.56</v>
      </c>
    </row>
    <row r="2117" customFormat="false" ht="15" hidden="false" customHeight="false" outlineLevel="0" collapsed="false">
      <c r="A2117" s="3" t="s">
        <v>2507</v>
      </c>
      <c r="B2117" s="3" t="s">
        <v>283</v>
      </c>
      <c r="C2117" s="3" t="s">
        <v>405</v>
      </c>
      <c r="D2117" s="3" t="s">
        <v>381</v>
      </c>
      <c r="E2117" s="3" t="s">
        <v>382</v>
      </c>
      <c r="F2117" s="16" t="n">
        <v>12</v>
      </c>
      <c r="G2117" s="15" t="n">
        <v>0.1</v>
      </c>
      <c r="H2117" s="16" t="n">
        <v>8</v>
      </c>
      <c r="I2117" s="33" t="n">
        <v>12649.08</v>
      </c>
      <c r="J2117" s="33" t="n">
        <v>14054.52</v>
      </c>
    </row>
    <row r="2118" customFormat="false" ht="15" hidden="false" customHeight="false" outlineLevel="0" collapsed="false">
      <c r="A2118" s="3" t="s">
        <v>2508</v>
      </c>
      <c r="B2118" s="3" t="s">
        <v>283</v>
      </c>
      <c r="C2118" s="3" t="s">
        <v>403</v>
      </c>
      <c r="D2118" s="3" t="s">
        <v>392</v>
      </c>
      <c r="E2118" s="3" t="s">
        <v>398</v>
      </c>
      <c r="F2118" s="16" t="n">
        <v>1</v>
      </c>
      <c r="G2118" s="15" t="n">
        <v>0</v>
      </c>
      <c r="H2118" s="16" t="n">
        <v>1</v>
      </c>
      <c r="I2118" s="33" t="n">
        <v>12643.92</v>
      </c>
      <c r="J2118" s="33" t="n">
        <v>12643.92</v>
      </c>
    </row>
    <row r="2119" customFormat="false" ht="15" hidden="false" customHeight="false" outlineLevel="0" collapsed="false">
      <c r="A2119" s="3" t="s">
        <v>2509</v>
      </c>
      <c r="B2119" s="3" t="s">
        <v>283</v>
      </c>
      <c r="C2119" s="3" t="s">
        <v>405</v>
      </c>
      <c r="D2119" s="3" t="s">
        <v>392</v>
      </c>
      <c r="E2119" s="3" t="s">
        <v>398</v>
      </c>
      <c r="F2119" s="16" t="n">
        <v>12</v>
      </c>
      <c r="G2119" s="15" t="n">
        <v>0</v>
      </c>
      <c r="H2119" s="16" t="n">
        <v>5</v>
      </c>
      <c r="I2119" s="33" t="n">
        <v>12634.32</v>
      </c>
      <c r="J2119" s="33" t="n">
        <v>12634.32</v>
      </c>
    </row>
    <row r="2120" customFormat="false" ht="15" hidden="false" customHeight="false" outlineLevel="0" collapsed="false">
      <c r="A2120" s="3" t="s">
        <v>2510</v>
      </c>
      <c r="B2120" s="3" t="s">
        <v>283</v>
      </c>
      <c r="C2120" s="3" t="s">
        <v>401</v>
      </c>
      <c r="D2120" s="3" t="s">
        <v>692</v>
      </c>
      <c r="E2120" s="3" t="s">
        <v>385</v>
      </c>
      <c r="F2120" s="16" t="n">
        <v>1</v>
      </c>
      <c r="G2120" s="15" t="n">
        <v>0</v>
      </c>
      <c r="H2120" s="16" t="n">
        <v>1</v>
      </c>
      <c r="I2120" s="33" t="n">
        <v>12632.64</v>
      </c>
      <c r="J2120" s="33" t="n">
        <v>12632.64</v>
      </c>
    </row>
    <row r="2121" customFormat="false" ht="15" hidden="false" customHeight="false" outlineLevel="0" collapsed="false">
      <c r="A2121" s="3" t="s">
        <v>2511</v>
      </c>
      <c r="B2121" s="3" t="s">
        <v>283</v>
      </c>
      <c r="C2121" s="3" t="s">
        <v>384</v>
      </c>
      <c r="D2121" s="3" t="s">
        <v>692</v>
      </c>
      <c r="E2121" s="3" t="s">
        <v>398</v>
      </c>
      <c r="F2121" s="16" t="n">
        <v>1</v>
      </c>
      <c r="G2121" s="15" t="n">
        <v>0.1</v>
      </c>
      <c r="H2121" s="16" t="n">
        <v>1</v>
      </c>
      <c r="I2121" s="33" t="n">
        <v>12610.56</v>
      </c>
      <c r="J2121" s="33" t="n">
        <v>14011.68</v>
      </c>
    </row>
    <row r="2122" customFormat="false" ht="15" hidden="false" customHeight="false" outlineLevel="0" collapsed="false">
      <c r="A2122" s="3" t="s">
        <v>2512</v>
      </c>
      <c r="B2122" s="3" t="s">
        <v>283</v>
      </c>
      <c r="C2122" s="3" t="s">
        <v>401</v>
      </c>
      <c r="D2122" s="3" t="s">
        <v>392</v>
      </c>
      <c r="E2122" s="3" t="s">
        <v>398</v>
      </c>
      <c r="F2122" s="16" t="n">
        <v>12</v>
      </c>
      <c r="G2122" s="15" t="n">
        <v>0.1</v>
      </c>
      <c r="H2122" s="16" t="n">
        <v>3</v>
      </c>
      <c r="I2122" s="33" t="n">
        <v>12597</v>
      </c>
      <c r="J2122" s="33" t="n">
        <v>13996.68</v>
      </c>
    </row>
    <row r="2123" customFormat="false" ht="15" hidden="false" customHeight="false" outlineLevel="0" collapsed="false">
      <c r="A2123" s="3" t="s">
        <v>2513</v>
      </c>
      <c r="B2123" s="3" t="s">
        <v>283</v>
      </c>
      <c r="C2123" s="3" t="s">
        <v>405</v>
      </c>
      <c r="D2123" s="3" t="s">
        <v>392</v>
      </c>
      <c r="E2123" s="3" t="s">
        <v>398</v>
      </c>
      <c r="F2123" s="16" t="n">
        <v>1</v>
      </c>
      <c r="G2123" s="15" t="n">
        <v>0</v>
      </c>
      <c r="H2123" s="16" t="n">
        <v>1</v>
      </c>
      <c r="I2123" s="33" t="n">
        <v>12583.44</v>
      </c>
      <c r="J2123" s="33" t="n">
        <v>12583.44</v>
      </c>
    </row>
    <row r="2124" customFormat="false" ht="15" hidden="false" customHeight="false" outlineLevel="0" collapsed="false">
      <c r="A2124" s="3" t="s">
        <v>2514</v>
      </c>
      <c r="B2124" s="3" t="s">
        <v>283</v>
      </c>
      <c r="C2124" s="3" t="s">
        <v>396</v>
      </c>
      <c r="D2124" s="3" t="s">
        <v>418</v>
      </c>
      <c r="E2124" s="3" t="s">
        <v>382</v>
      </c>
      <c r="F2124" s="16" t="n">
        <v>1</v>
      </c>
      <c r="G2124" s="15" t="n">
        <v>0.1</v>
      </c>
      <c r="H2124" s="16" t="n">
        <v>1</v>
      </c>
      <c r="I2124" s="33" t="n">
        <v>12578.52</v>
      </c>
      <c r="J2124" s="33" t="n">
        <v>13976.16</v>
      </c>
    </row>
    <row r="2125" customFormat="false" ht="15" hidden="false" customHeight="false" outlineLevel="0" collapsed="false">
      <c r="A2125" s="3" t="s">
        <v>2515</v>
      </c>
      <c r="B2125" s="3" t="s">
        <v>283</v>
      </c>
      <c r="C2125" s="3" t="s">
        <v>401</v>
      </c>
      <c r="D2125" s="3" t="s">
        <v>418</v>
      </c>
      <c r="E2125" s="3" t="s">
        <v>385</v>
      </c>
      <c r="F2125" s="16" t="n">
        <v>12</v>
      </c>
      <c r="G2125" s="15" t="n">
        <v>0.1</v>
      </c>
      <c r="H2125" s="16" t="n">
        <v>7</v>
      </c>
      <c r="I2125" s="33" t="n">
        <v>12566.04</v>
      </c>
      <c r="J2125" s="33" t="n">
        <v>13962.36</v>
      </c>
    </row>
    <row r="2126" customFormat="false" ht="15" hidden="false" customHeight="false" outlineLevel="0" collapsed="false">
      <c r="A2126" s="3" t="s">
        <v>2516</v>
      </c>
      <c r="B2126" s="3" t="s">
        <v>283</v>
      </c>
      <c r="C2126" s="3" t="s">
        <v>396</v>
      </c>
      <c r="D2126" s="3" t="s">
        <v>392</v>
      </c>
      <c r="E2126" s="3" t="s">
        <v>398</v>
      </c>
      <c r="F2126" s="16" t="n">
        <v>1</v>
      </c>
      <c r="G2126" s="15" t="n">
        <v>0</v>
      </c>
      <c r="H2126" s="16" t="n">
        <v>1</v>
      </c>
      <c r="I2126" s="33" t="n">
        <v>12565.56</v>
      </c>
      <c r="J2126" s="33" t="n">
        <v>12565.56</v>
      </c>
    </row>
    <row r="2127" customFormat="false" ht="15" hidden="false" customHeight="false" outlineLevel="0" collapsed="false">
      <c r="A2127" s="3" t="s">
        <v>2517</v>
      </c>
      <c r="B2127" s="3" t="s">
        <v>283</v>
      </c>
      <c r="C2127" s="3" t="s">
        <v>401</v>
      </c>
      <c r="D2127" s="3" t="s">
        <v>381</v>
      </c>
      <c r="E2127" s="3" t="s">
        <v>382</v>
      </c>
      <c r="F2127" s="16" t="n">
        <v>1</v>
      </c>
      <c r="G2127" s="15" t="n">
        <v>0</v>
      </c>
      <c r="H2127" s="16" t="n">
        <v>1</v>
      </c>
      <c r="I2127" s="33" t="n">
        <v>12557.16</v>
      </c>
      <c r="J2127" s="33" t="n">
        <v>12557.16</v>
      </c>
    </row>
    <row r="2128" customFormat="false" ht="15" hidden="false" customHeight="false" outlineLevel="0" collapsed="false">
      <c r="A2128" s="3" t="s">
        <v>2518</v>
      </c>
      <c r="B2128" s="3" t="s">
        <v>283</v>
      </c>
      <c r="C2128" s="3" t="s">
        <v>403</v>
      </c>
      <c r="D2128" s="3" t="s">
        <v>692</v>
      </c>
      <c r="E2128" s="3" t="s">
        <v>385</v>
      </c>
      <c r="F2128" s="16" t="n">
        <v>12</v>
      </c>
      <c r="G2128" s="15" t="n">
        <v>0</v>
      </c>
      <c r="H2128" s="16" t="n">
        <v>1</v>
      </c>
      <c r="I2128" s="33" t="n">
        <v>12552.72</v>
      </c>
      <c r="J2128" s="33" t="n">
        <v>12552.72</v>
      </c>
    </row>
    <row r="2129" customFormat="false" ht="15" hidden="false" customHeight="false" outlineLevel="0" collapsed="false">
      <c r="A2129" s="3" t="s">
        <v>2519</v>
      </c>
      <c r="B2129" s="3" t="s">
        <v>283</v>
      </c>
      <c r="C2129" s="3" t="s">
        <v>403</v>
      </c>
      <c r="D2129" s="3" t="s">
        <v>392</v>
      </c>
      <c r="E2129" s="3" t="s">
        <v>385</v>
      </c>
      <c r="F2129" s="16" t="n">
        <v>12</v>
      </c>
      <c r="G2129" s="15" t="n">
        <v>0.1</v>
      </c>
      <c r="H2129" s="16" t="n">
        <v>11</v>
      </c>
      <c r="I2129" s="33" t="n">
        <v>12547.32</v>
      </c>
      <c r="J2129" s="33" t="n">
        <v>13941.48</v>
      </c>
    </row>
    <row r="2130" customFormat="false" ht="15" hidden="false" customHeight="false" outlineLevel="0" collapsed="false">
      <c r="A2130" s="3" t="s">
        <v>2520</v>
      </c>
      <c r="B2130" s="3" t="s">
        <v>283</v>
      </c>
      <c r="C2130" s="3" t="s">
        <v>403</v>
      </c>
      <c r="D2130" s="3" t="s">
        <v>418</v>
      </c>
      <c r="E2130" s="3" t="s">
        <v>398</v>
      </c>
      <c r="F2130" s="16" t="n">
        <v>1</v>
      </c>
      <c r="G2130" s="15" t="n">
        <v>0</v>
      </c>
      <c r="H2130" s="16" t="n">
        <v>1</v>
      </c>
      <c r="I2130" s="33" t="n">
        <v>12541.8</v>
      </c>
      <c r="J2130" s="33" t="n">
        <v>12541.8</v>
      </c>
    </row>
    <row r="2131" customFormat="false" ht="15" hidden="false" customHeight="false" outlineLevel="0" collapsed="false">
      <c r="A2131" s="3" t="s">
        <v>2521</v>
      </c>
      <c r="B2131" s="3" t="s">
        <v>283</v>
      </c>
      <c r="C2131" s="3" t="s">
        <v>401</v>
      </c>
      <c r="D2131" s="3" t="s">
        <v>392</v>
      </c>
      <c r="E2131" s="3" t="s">
        <v>398</v>
      </c>
      <c r="F2131" s="16" t="n">
        <v>12</v>
      </c>
      <c r="G2131" s="15" t="n">
        <v>0</v>
      </c>
      <c r="H2131" s="16" t="n">
        <v>8</v>
      </c>
      <c r="I2131" s="33" t="n">
        <v>12537.72</v>
      </c>
      <c r="J2131" s="33" t="n">
        <v>12537.72</v>
      </c>
    </row>
    <row r="2132" customFormat="false" ht="15" hidden="false" customHeight="false" outlineLevel="0" collapsed="false">
      <c r="A2132" s="3" t="s">
        <v>2522</v>
      </c>
      <c r="B2132" s="3" t="s">
        <v>283</v>
      </c>
      <c r="C2132" s="3" t="s">
        <v>384</v>
      </c>
      <c r="D2132" s="3" t="s">
        <v>692</v>
      </c>
      <c r="E2132" s="3" t="s">
        <v>398</v>
      </c>
      <c r="F2132" s="16" t="n">
        <v>12</v>
      </c>
      <c r="G2132" s="15" t="n">
        <v>0</v>
      </c>
      <c r="H2132" s="16" t="n">
        <v>4</v>
      </c>
      <c r="I2132" s="33" t="n">
        <v>12535.56</v>
      </c>
      <c r="J2132" s="33" t="n">
        <v>12535.56</v>
      </c>
    </row>
    <row r="2133" customFormat="false" ht="15" hidden="false" customHeight="false" outlineLevel="0" collapsed="false">
      <c r="A2133" s="3" t="s">
        <v>2523</v>
      </c>
      <c r="B2133" s="3" t="s">
        <v>283</v>
      </c>
      <c r="C2133" s="3" t="s">
        <v>380</v>
      </c>
      <c r="D2133" s="3" t="s">
        <v>418</v>
      </c>
      <c r="E2133" s="3" t="s">
        <v>398</v>
      </c>
      <c r="F2133" s="16" t="n">
        <v>1</v>
      </c>
      <c r="G2133" s="15" t="n">
        <v>0.2</v>
      </c>
      <c r="H2133" s="16" t="n">
        <v>1</v>
      </c>
      <c r="I2133" s="33" t="n">
        <v>12526.92</v>
      </c>
      <c r="J2133" s="33" t="n">
        <v>15658.68</v>
      </c>
    </row>
    <row r="2134" customFormat="false" ht="15" hidden="false" customHeight="false" outlineLevel="0" collapsed="false">
      <c r="A2134" s="3" t="s">
        <v>2524</v>
      </c>
      <c r="B2134" s="3" t="s">
        <v>283</v>
      </c>
      <c r="C2134" s="3" t="s">
        <v>380</v>
      </c>
      <c r="D2134" s="3" t="s">
        <v>692</v>
      </c>
      <c r="E2134" s="3" t="s">
        <v>398</v>
      </c>
      <c r="F2134" s="16" t="n">
        <v>1</v>
      </c>
      <c r="G2134" s="15" t="n">
        <v>0</v>
      </c>
      <c r="H2134" s="16" t="n">
        <v>1</v>
      </c>
      <c r="I2134" s="33" t="n">
        <v>12509.16</v>
      </c>
      <c r="J2134" s="33" t="n">
        <v>12509.16</v>
      </c>
    </row>
    <row r="2135" customFormat="false" ht="15" hidden="false" customHeight="false" outlineLevel="0" collapsed="false">
      <c r="A2135" s="3" t="s">
        <v>2525</v>
      </c>
      <c r="B2135" s="3" t="s">
        <v>283</v>
      </c>
      <c r="C2135" s="3" t="s">
        <v>384</v>
      </c>
      <c r="D2135" s="3" t="s">
        <v>692</v>
      </c>
      <c r="E2135" s="3" t="s">
        <v>398</v>
      </c>
      <c r="F2135" s="16" t="n">
        <v>1</v>
      </c>
      <c r="G2135" s="15" t="n">
        <v>0</v>
      </c>
      <c r="H2135" s="16" t="n">
        <v>1</v>
      </c>
      <c r="I2135" s="33" t="n">
        <v>12499.8</v>
      </c>
      <c r="J2135" s="33" t="n">
        <v>12499.8</v>
      </c>
    </row>
    <row r="2136" customFormat="false" ht="15" hidden="false" customHeight="false" outlineLevel="0" collapsed="false">
      <c r="A2136" s="3" t="s">
        <v>2526</v>
      </c>
      <c r="B2136" s="3" t="s">
        <v>283</v>
      </c>
      <c r="C2136" s="3" t="s">
        <v>405</v>
      </c>
      <c r="D2136" s="3" t="s">
        <v>692</v>
      </c>
      <c r="E2136" s="3" t="s">
        <v>398</v>
      </c>
      <c r="F2136" s="16" t="n">
        <v>12</v>
      </c>
      <c r="G2136" s="15" t="n">
        <v>0.05</v>
      </c>
      <c r="H2136" s="16" t="n">
        <v>12</v>
      </c>
      <c r="I2136" s="33" t="n">
        <v>12482.52</v>
      </c>
      <c r="J2136" s="33" t="n">
        <v>13139.52</v>
      </c>
    </row>
    <row r="2137" customFormat="false" ht="15" hidden="false" customHeight="false" outlineLevel="0" collapsed="false">
      <c r="A2137" s="3" t="s">
        <v>2527</v>
      </c>
      <c r="B2137" s="3" t="s">
        <v>283</v>
      </c>
      <c r="C2137" s="3" t="s">
        <v>401</v>
      </c>
      <c r="D2137" s="3" t="s">
        <v>418</v>
      </c>
      <c r="E2137" s="3" t="s">
        <v>385</v>
      </c>
      <c r="F2137" s="16" t="n">
        <v>12</v>
      </c>
      <c r="G2137" s="15" t="n">
        <v>0</v>
      </c>
      <c r="H2137" s="16" t="n">
        <v>3</v>
      </c>
      <c r="I2137" s="33" t="n">
        <v>12478.92</v>
      </c>
      <c r="J2137" s="33" t="n">
        <v>12478.92</v>
      </c>
    </row>
    <row r="2138" customFormat="false" ht="15" hidden="false" customHeight="false" outlineLevel="0" collapsed="false">
      <c r="A2138" s="3" t="s">
        <v>2528</v>
      </c>
      <c r="B2138" s="3" t="s">
        <v>283</v>
      </c>
      <c r="C2138" s="3" t="s">
        <v>405</v>
      </c>
      <c r="D2138" s="3" t="s">
        <v>418</v>
      </c>
      <c r="E2138" s="3" t="s">
        <v>398</v>
      </c>
      <c r="F2138" s="16" t="n">
        <v>12</v>
      </c>
      <c r="G2138" s="15" t="n">
        <v>0</v>
      </c>
      <c r="H2138" s="16" t="n">
        <v>2</v>
      </c>
      <c r="I2138" s="33" t="n">
        <v>12472.56</v>
      </c>
      <c r="J2138" s="33" t="n">
        <v>12472.56</v>
      </c>
    </row>
    <row r="2139" customFormat="false" ht="15" hidden="false" customHeight="false" outlineLevel="0" collapsed="false">
      <c r="A2139" s="3" t="s">
        <v>2529</v>
      </c>
      <c r="B2139" s="3" t="s">
        <v>283</v>
      </c>
      <c r="C2139" s="3" t="s">
        <v>405</v>
      </c>
      <c r="D2139" s="3" t="s">
        <v>392</v>
      </c>
      <c r="E2139" s="3" t="s">
        <v>398</v>
      </c>
      <c r="F2139" s="16" t="n">
        <v>1</v>
      </c>
      <c r="G2139" s="15" t="n">
        <v>0.1</v>
      </c>
      <c r="H2139" s="16" t="n">
        <v>1</v>
      </c>
      <c r="I2139" s="33" t="n">
        <v>12460.32</v>
      </c>
      <c r="J2139" s="33" t="n">
        <v>13844.88</v>
      </c>
    </row>
    <row r="2140" customFormat="false" ht="15" hidden="false" customHeight="false" outlineLevel="0" collapsed="false">
      <c r="A2140" s="3" t="s">
        <v>2530</v>
      </c>
      <c r="B2140" s="3" t="s">
        <v>283</v>
      </c>
      <c r="C2140" s="3" t="s">
        <v>405</v>
      </c>
      <c r="D2140" s="3" t="s">
        <v>418</v>
      </c>
      <c r="E2140" s="3" t="s">
        <v>398</v>
      </c>
      <c r="F2140" s="16" t="n">
        <v>1</v>
      </c>
      <c r="G2140" s="15" t="n">
        <v>0.2</v>
      </c>
      <c r="H2140" s="16" t="n">
        <v>1</v>
      </c>
      <c r="I2140" s="33" t="n">
        <v>12455.88</v>
      </c>
      <c r="J2140" s="33" t="n">
        <v>15569.76</v>
      </c>
    </row>
    <row r="2141" customFormat="false" ht="15" hidden="false" customHeight="false" outlineLevel="0" collapsed="false">
      <c r="A2141" s="3" t="s">
        <v>2531</v>
      </c>
      <c r="B2141" s="3" t="s">
        <v>283</v>
      </c>
      <c r="C2141" s="3" t="s">
        <v>401</v>
      </c>
      <c r="D2141" s="3" t="s">
        <v>392</v>
      </c>
      <c r="E2141" s="3" t="s">
        <v>398</v>
      </c>
      <c r="F2141" s="16" t="n">
        <v>1</v>
      </c>
      <c r="G2141" s="15" t="n">
        <v>0</v>
      </c>
      <c r="H2141" s="16" t="n">
        <v>1</v>
      </c>
      <c r="I2141" s="33" t="n">
        <v>12450.12</v>
      </c>
      <c r="J2141" s="33" t="n">
        <v>12450.12</v>
      </c>
    </row>
    <row r="2142" customFormat="false" ht="15" hidden="false" customHeight="false" outlineLevel="0" collapsed="false">
      <c r="A2142" s="3" t="s">
        <v>2532</v>
      </c>
      <c r="B2142" s="3" t="s">
        <v>283</v>
      </c>
      <c r="C2142" s="3" t="s">
        <v>401</v>
      </c>
      <c r="D2142" s="3" t="s">
        <v>692</v>
      </c>
      <c r="E2142" s="3" t="s">
        <v>382</v>
      </c>
      <c r="F2142" s="16" t="n">
        <v>12</v>
      </c>
      <c r="G2142" s="15" t="n">
        <v>0</v>
      </c>
      <c r="H2142" s="16" t="n">
        <v>8</v>
      </c>
      <c r="I2142" s="33" t="n">
        <v>12449.04</v>
      </c>
      <c r="J2142" s="33" t="n">
        <v>12449.04</v>
      </c>
    </row>
    <row r="2143" customFormat="false" ht="15" hidden="false" customHeight="false" outlineLevel="0" collapsed="false">
      <c r="A2143" s="3" t="s">
        <v>2533</v>
      </c>
      <c r="B2143" s="3" t="s">
        <v>283</v>
      </c>
      <c r="C2143" s="3" t="s">
        <v>384</v>
      </c>
      <c r="D2143" s="3" t="s">
        <v>392</v>
      </c>
      <c r="E2143" s="3" t="s">
        <v>398</v>
      </c>
      <c r="F2143" s="16" t="n">
        <v>1</v>
      </c>
      <c r="G2143" s="15" t="n">
        <v>0</v>
      </c>
      <c r="H2143" s="16" t="n">
        <v>1</v>
      </c>
      <c r="I2143" s="33" t="n">
        <v>12407.52</v>
      </c>
      <c r="J2143" s="33" t="n">
        <v>12407.52</v>
      </c>
    </row>
    <row r="2144" customFormat="false" ht="15" hidden="false" customHeight="false" outlineLevel="0" collapsed="false">
      <c r="A2144" s="3" t="s">
        <v>2534</v>
      </c>
      <c r="B2144" s="3" t="s">
        <v>283</v>
      </c>
      <c r="C2144" s="3" t="s">
        <v>401</v>
      </c>
      <c r="D2144" s="3" t="s">
        <v>418</v>
      </c>
      <c r="E2144" s="3" t="s">
        <v>398</v>
      </c>
      <c r="F2144" s="16" t="n">
        <v>1</v>
      </c>
      <c r="G2144" s="15" t="n">
        <v>0</v>
      </c>
      <c r="H2144" s="16" t="n">
        <v>1</v>
      </c>
      <c r="I2144" s="33" t="n">
        <v>12405.6</v>
      </c>
      <c r="J2144" s="33" t="n">
        <v>12405.6</v>
      </c>
    </row>
    <row r="2145" customFormat="false" ht="15" hidden="false" customHeight="false" outlineLevel="0" collapsed="false">
      <c r="A2145" s="3" t="s">
        <v>2535</v>
      </c>
      <c r="B2145" s="3" t="s">
        <v>283</v>
      </c>
      <c r="C2145" s="3" t="s">
        <v>384</v>
      </c>
      <c r="D2145" s="3" t="s">
        <v>381</v>
      </c>
      <c r="E2145" s="3" t="s">
        <v>398</v>
      </c>
      <c r="F2145" s="16" t="n">
        <v>1</v>
      </c>
      <c r="G2145" s="15" t="n">
        <v>0</v>
      </c>
      <c r="H2145" s="16" t="n">
        <v>1</v>
      </c>
      <c r="I2145" s="33" t="n">
        <v>12365.88</v>
      </c>
      <c r="J2145" s="33" t="n">
        <v>12365.88</v>
      </c>
    </row>
    <row r="2146" customFormat="false" ht="15" hidden="false" customHeight="false" outlineLevel="0" collapsed="false">
      <c r="A2146" s="3" t="s">
        <v>2536</v>
      </c>
      <c r="B2146" s="3" t="s">
        <v>283</v>
      </c>
      <c r="C2146" s="3" t="s">
        <v>380</v>
      </c>
      <c r="D2146" s="3" t="s">
        <v>392</v>
      </c>
      <c r="E2146" s="3" t="s">
        <v>398</v>
      </c>
      <c r="F2146" s="16" t="n">
        <v>1</v>
      </c>
      <c r="G2146" s="15" t="n">
        <v>0</v>
      </c>
      <c r="H2146" s="16" t="n">
        <v>1</v>
      </c>
      <c r="I2146" s="33" t="n">
        <v>12359.16</v>
      </c>
      <c r="J2146" s="33" t="n">
        <v>12359.16</v>
      </c>
    </row>
    <row r="2147" customFormat="false" ht="15" hidden="false" customHeight="false" outlineLevel="0" collapsed="false">
      <c r="A2147" s="3" t="s">
        <v>2537</v>
      </c>
      <c r="B2147" s="3" t="s">
        <v>283</v>
      </c>
      <c r="C2147" s="3" t="s">
        <v>405</v>
      </c>
      <c r="D2147" s="3" t="s">
        <v>392</v>
      </c>
      <c r="E2147" s="3" t="s">
        <v>398</v>
      </c>
      <c r="F2147" s="16" t="n">
        <v>1</v>
      </c>
      <c r="G2147" s="15" t="n">
        <v>0</v>
      </c>
      <c r="H2147" s="16" t="n">
        <v>1</v>
      </c>
      <c r="I2147" s="33" t="n">
        <v>12352.56</v>
      </c>
      <c r="J2147" s="33" t="n">
        <v>12352.56</v>
      </c>
    </row>
    <row r="2148" customFormat="false" ht="15" hidden="false" customHeight="false" outlineLevel="0" collapsed="false">
      <c r="A2148" s="3" t="s">
        <v>2538</v>
      </c>
      <c r="B2148" s="3" t="s">
        <v>283</v>
      </c>
      <c r="C2148" s="3" t="s">
        <v>396</v>
      </c>
      <c r="D2148" s="3" t="s">
        <v>388</v>
      </c>
      <c r="E2148" s="3" t="s">
        <v>398</v>
      </c>
      <c r="F2148" s="16" t="n">
        <v>12</v>
      </c>
      <c r="G2148" s="15" t="n">
        <v>0</v>
      </c>
      <c r="H2148" s="16" t="n">
        <v>2</v>
      </c>
      <c r="I2148" s="33" t="n">
        <v>12338.76</v>
      </c>
      <c r="J2148" s="33" t="n">
        <v>12338.76</v>
      </c>
    </row>
    <row r="2149" customFormat="false" ht="15" hidden="false" customHeight="false" outlineLevel="0" collapsed="false">
      <c r="A2149" s="3" t="s">
        <v>2539</v>
      </c>
      <c r="B2149" s="3" t="s">
        <v>283</v>
      </c>
      <c r="C2149" s="3" t="s">
        <v>387</v>
      </c>
      <c r="D2149" s="3" t="s">
        <v>692</v>
      </c>
      <c r="E2149" s="3" t="s">
        <v>398</v>
      </c>
      <c r="F2149" s="16" t="n">
        <v>1</v>
      </c>
      <c r="G2149" s="15" t="n">
        <v>0.1</v>
      </c>
      <c r="H2149" s="16" t="n">
        <v>1</v>
      </c>
      <c r="I2149" s="33" t="n">
        <v>12322.68</v>
      </c>
      <c r="J2149" s="33" t="n">
        <v>13691.88</v>
      </c>
    </row>
    <row r="2150" customFormat="false" ht="15" hidden="false" customHeight="false" outlineLevel="0" collapsed="false">
      <c r="A2150" s="3" t="s">
        <v>2540</v>
      </c>
      <c r="B2150" s="3" t="s">
        <v>283</v>
      </c>
      <c r="C2150" s="3" t="s">
        <v>403</v>
      </c>
      <c r="D2150" s="3" t="s">
        <v>418</v>
      </c>
      <c r="E2150" s="3" t="s">
        <v>385</v>
      </c>
      <c r="F2150" s="16" t="n">
        <v>1</v>
      </c>
      <c r="G2150" s="15" t="n">
        <v>0.2</v>
      </c>
      <c r="H2150" s="16" t="n">
        <v>1</v>
      </c>
      <c r="I2150" s="33" t="n">
        <v>12320.28</v>
      </c>
      <c r="J2150" s="33" t="n">
        <v>15400.32</v>
      </c>
    </row>
    <row r="2151" customFormat="false" ht="15" hidden="false" customHeight="false" outlineLevel="0" collapsed="false">
      <c r="A2151" s="3" t="s">
        <v>2541</v>
      </c>
      <c r="B2151" s="3" t="s">
        <v>283</v>
      </c>
      <c r="C2151" s="3" t="s">
        <v>384</v>
      </c>
      <c r="D2151" s="3" t="s">
        <v>381</v>
      </c>
      <c r="E2151" s="3" t="s">
        <v>398</v>
      </c>
      <c r="F2151" s="16" t="n">
        <v>1</v>
      </c>
      <c r="G2151" s="15" t="n">
        <v>0</v>
      </c>
      <c r="H2151" s="16" t="n">
        <v>1</v>
      </c>
      <c r="I2151" s="33" t="n">
        <v>12319.68</v>
      </c>
      <c r="J2151" s="33" t="n">
        <v>12319.68</v>
      </c>
    </row>
    <row r="2152" customFormat="false" ht="15" hidden="false" customHeight="false" outlineLevel="0" collapsed="false">
      <c r="A2152" s="3" t="s">
        <v>2542</v>
      </c>
      <c r="B2152" s="3" t="s">
        <v>283</v>
      </c>
      <c r="C2152" s="3" t="s">
        <v>401</v>
      </c>
      <c r="D2152" s="3" t="s">
        <v>418</v>
      </c>
      <c r="E2152" s="3" t="s">
        <v>385</v>
      </c>
      <c r="F2152" s="16" t="n">
        <v>12</v>
      </c>
      <c r="G2152" s="15" t="n">
        <v>0</v>
      </c>
      <c r="H2152" s="16" t="n">
        <v>2</v>
      </c>
      <c r="I2152" s="33" t="n">
        <v>12317.64</v>
      </c>
      <c r="J2152" s="33" t="n">
        <v>12317.64</v>
      </c>
    </row>
    <row r="2153" customFormat="false" ht="15" hidden="false" customHeight="false" outlineLevel="0" collapsed="false">
      <c r="A2153" s="3" t="s">
        <v>2543</v>
      </c>
      <c r="B2153" s="3" t="s">
        <v>283</v>
      </c>
      <c r="C2153" s="3" t="s">
        <v>387</v>
      </c>
      <c r="D2153" s="3" t="s">
        <v>381</v>
      </c>
      <c r="E2153" s="3" t="s">
        <v>398</v>
      </c>
      <c r="F2153" s="16" t="n">
        <v>1</v>
      </c>
      <c r="G2153" s="15" t="n">
        <v>0.2</v>
      </c>
      <c r="H2153" s="16" t="n">
        <v>1</v>
      </c>
      <c r="I2153" s="33" t="n">
        <v>12300.6</v>
      </c>
      <c r="J2153" s="33" t="n">
        <v>15375.72</v>
      </c>
    </row>
    <row r="2154" customFormat="false" ht="15" hidden="false" customHeight="false" outlineLevel="0" collapsed="false">
      <c r="A2154" s="3" t="s">
        <v>2544</v>
      </c>
      <c r="B2154" s="3" t="s">
        <v>283</v>
      </c>
      <c r="C2154" s="3" t="s">
        <v>403</v>
      </c>
      <c r="D2154" s="3" t="s">
        <v>392</v>
      </c>
      <c r="E2154" s="3" t="s">
        <v>385</v>
      </c>
      <c r="F2154" s="16" t="n">
        <v>12</v>
      </c>
      <c r="G2154" s="15" t="n">
        <v>0</v>
      </c>
      <c r="H2154" s="16" t="n">
        <v>7</v>
      </c>
      <c r="I2154" s="33" t="n">
        <v>12294.6</v>
      </c>
      <c r="J2154" s="33" t="n">
        <v>12294.6</v>
      </c>
    </row>
    <row r="2155" customFormat="false" ht="15" hidden="false" customHeight="false" outlineLevel="0" collapsed="false">
      <c r="A2155" s="3" t="s">
        <v>2545</v>
      </c>
      <c r="B2155" s="3" t="s">
        <v>283</v>
      </c>
      <c r="C2155" s="3" t="s">
        <v>401</v>
      </c>
      <c r="D2155" s="3" t="s">
        <v>692</v>
      </c>
      <c r="E2155" s="3" t="s">
        <v>398</v>
      </c>
      <c r="F2155" s="16" t="n">
        <v>1</v>
      </c>
      <c r="G2155" s="15" t="n">
        <v>0</v>
      </c>
      <c r="H2155" s="16" t="n">
        <v>1</v>
      </c>
      <c r="I2155" s="33" t="n">
        <v>12291.96</v>
      </c>
      <c r="J2155" s="33" t="n">
        <v>12291.96</v>
      </c>
    </row>
    <row r="2156" customFormat="false" ht="15" hidden="false" customHeight="false" outlineLevel="0" collapsed="false">
      <c r="A2156" s="3" t="s">
        <v>2546</v>
      </c>
      <c r="B2156" s="3" t="s">
        <v>283</v>
      </c>
      <c r="C2156" s="3" t="s">
        <v>387</v>
      </c>
      <c r="D2156" s="3" t="s">
        <v>692</v>
      </c>
      <c r="E2156" s="3" t="s">
        <v>398</v>
      </c>
      <c r="F2156" s="16" t="n">
        <v>12</v>
      </c>
      <c r="G2156" s="15" t="n">
        <v>0</v>
      </c>
      <c r="H2156" s="16" t="n">
        <v>8</v>
      </c>
      <c r="I2156" s="33" t="n">
        <v>12284.28</v>
      </c>
      <c r="J2156" s="33" t="n">
        <v>12284.28</v>
      </c>
    </row>
    <row r="2157" customFormat="false" ht="15" hidden="false" customHeight="false" outlineLevel="0" collapsed="false">
      <c r="A2157" s="3" t="s">
        <v>2547</v>
      </c>
      <c r="B2157" s="3" t="s">
        <v>283</v>
      </c>
      <c r="C2157" s="3" t="s">
        <v>403</v>
      </c>
      <c r="D2157" s="3" t="s">
        <v>692</v>
      </c>
      <c r="E2157" s="3" t="s">
        <v>398</v>
      </c>
      <c r="F2157" s="16" t="n">
        <v>1</v>
      </c>
      <c r="G2157" s="15" t="n">
        <v>0.1</v>
      </c>
      <c r="H2157" s="16" t="n">
        <v>1</v>
      </c>
      <c r="I2157" s="33" t="n">
        <v>12278.52</v>
      </c>
      <c r="J2157" s="33" t="n">
        <v>13642.8</v>
      </c>
    </row>
    <row r="2158" customFormat="false" ht="15" hidden="false" customHeight="false" outlineLevel="0" collapsed="false">
      <c r="A2158" s="3" t="s">
        <v>2548</v>
      </c>
      <c r="B2158" s="3" t="s">
        <v>283</v>
      </c>
      <c r="C2158" s="3" t="s">
        <v>387</v>
      </c>
      <c r="D2158" s="3" t="s">
        <v>418</v>
      </c>
      <c r="E2158" s="3" t="s">
        <v>398</v>
      </c>
      <c r="F2158" s="16" t="n">
        <v>12</v>
      </c>
      <c r="G2158" s="15" t="n">
        <v>0</v>
      </c>
      <c r="H2158" s="16" t="n">
        <v>11</v>
      </c>
      <c r="I2158" s="33" t="n">
        <v>12274.68</v>
      </c>
      <c r="J2158" s="33" t="n">
        <v>12274.68</v>
      </c>
    </row>
    <row r="2159" customFormat="false" ht="15" hidden="false" customHeight="false" outlineLevel="0" collapsed="false">
      <c r="A2159" s="3" t="s">
        <v>2549</v>
      </c>
      <c r="B2159" s="3" t="s">
        <v>283</v>
      </c>
      <c r="C2159" s="3" t="s">
        <v>380</v>
      </c>
      <c r="D2159" s="3" t="s">
        <v>392</v>
      </c>
      <c r="E2159" s="3" t="s">
        <v>382</v>
      </c>
      <c r="F2159" s="16" t="n">
        <v>12</v>
      </c>
      <c r="G2159" s="15" t="n">
        <v>0</v>
      </c>
      <c r="H2159" s="16" t="n">
        <v>7</v>
      </c>
      <c r="I2159" s="33" t="n">
        <v>12261.96</v>
      </c>
      <c r="J2159" s="33" t="n">
        <v>12261.96</v>
      </c>
    </row>
    <row r="2160" customFormat="false" ht="15" hidden="false" customHeight="false" outlineLevel="0" collapsed="false">
      <c r="A2160" s="3" t="s">
        <v>2550</v>
      </c>
      <c r="B2160" s="3" t="s">
        <v>283</v>
      </c>
      <c r="C2160" s="3" t="s">
        <v>387</v>
      </c>
      <c r="D2160" s="3" t="s">
        <v>418</v>
      </c>
      <c r="E2160" s="3" t="s">
        <v>398</v>
      </c>
      <c r="F2160" s="16" t="n">
        <v>1</v>
      </c>
      <c r="G2160" s="15" t="n">
        <v>0</v>
      </c>
      <c r="H2160" s="16" t="n">
        <v>1</v>
      </c>
      <c r="I2160" s="33" t="n">
        <v>12253.92</v>
      </c>
      <c r="J2160" s="33" t="n">
        <v>12253.92</v>
      </c>
    </row>
    <row r="2161" customFormat="false" ht="15" hidden="false" customHeight="false" outlineLevel="0" collapsed="false">
      <c r="A2161" s="3" t="s">
        <v>2551</v>
      </c>
      <c r="B2161" s="3" t="s">
        <v>283</v>
      </c>
      <c r="C2161" s="3" t="s">
        <v>384</v>
      </c>
      <c r="D2161" s="3" t="s">
        <v>692</v>
      </c>
      <c r="E2161" s="3" t="s">
        <v>398</v>
      </c>
      <c r="F2161" s="16" t="n">
        <v>12</v>
      </c>
      <c r="G2161" s="15" t="n">
        <v>0</v>
      </c>
      <c r="H2161" s="16" t="n">
        <v>6</v>
      </c>
      <c r="I2161" s="33" t="n">
        <v>12247.8</v>
      </c>
      <c r="J2161" s="33" t="n">
        <v>12247.8</v>
      </c>
    </row>
    <row r="2162" customFormat="false" ht="15" hidden="false" customHeight="false" outlineLevel="0" collapsed="false">
      <c r="A2162" s="3" t="s">
        <v>2552</v>
      </c>
      <c r="B2162" s="3" t="s">
        <v>283</v>
      </c>
      <c r="C2162" s="3" t="s">
        <v>401</v>
      </c>
      <c r="D2162" s="3" t="s">
        <v>392</v>
      </c>
      <c r="E2162" s="3" t="s">
        <v>398</v>
      </c>
      <c r="F2162" s="16" t="n">
        <v>1</v>
      </c>
      <c r="G2162" s="15" t="n">
        <v>0</v>
      </c>
      <c r="H2162" s="16" t="n">
        <v>1</v>
      </c>
      <c r="I2162" s="33" t="n">
        <v>12243.12</v>
      </c>
      <c r="J2162" s="33" t="n">
        <v>12243.12</v>
      </c>
    </row>
    <row r="2163" customFormat="false" ht="15" hidden="false" customHeight="false" outlineLevel="0" collapsed="false">
      <c r="A2163" s="3" t="s">
        <v>2553</v>
      </c>
      <c r="B2163" s="3" t="s">
        <v>283</v>
      </c>
      <c r="C2163" s="3" t="s">
        <v>403</v>
      </c>
      <c r="D2163" s="3" t="s">
        <v>418</v>
      </c>
      <c r="E2163" s="3" t="s">
        <v>385</v>
      </c>
      <c r="F2163" s="16" t="n">
        <v>12</v>
      </c>
      <c r="G2163" s="15" t="n">
        <v>0</v>
      </c>
      <c r="H2163" s="16" t="n">
        <v>9</v>
      </c>
      <c r="I2163" s="33" t="n">
        <v>12230.28</v>
      </c>
      <c r="J2163" s="33" t="n">
        <v>12230.28</v>
      </c>
    </row>
    <row r="2164" customFormat="false" ht="15" hidden="false" customHeight="false" outlineLevel="0" collapsed="false">
      <c r="A2164" s="3" t="s">
        <v>2554</v>
      </c>
      <c r="B2164" s="3" t="s">
        <v>283</v>
      </c>
      <c r="C2164" s="3" t="s">
        <v>380</v>
      </c>
      <c r="D2164" s="3" t="s">
        <v>692</v>
      </c>
      <c r="E2164" s="3" t="s">
        <v>398</v>
      </c>
      <c r="F2164" s="16" t="n">
        <v>12</v>
      </c>
      <c r="G2164" s="15" t="n">
        <v>0</v>
      </c>
      <c r="H2164" s="16" t="n">
        <v>12</v>
      </c>
      <c r="I2164" s="33" t="n">
        <v>12227.52</v>
      </c>
      <c r="J2164" s="33" t="n">
        <v>12227.52</v>
      </c>
    </row>
    <row r="2165" customFormat="false" ht="15" hidden="false" customHeight="false" outlineLevel="0" collapsed="false">
      <c r="A2165" s="3" t="s">
        <v>2555</v>
      </c>
      <c r="B2165" s="3" t="s">
        <v>283</v>
      </c>
      <c r="C2165" s="3" t="s">
        <v>403</v>
      </c>
      <c r="D2165" s="3" t="s">
        <v>692</v>
      </c>
      <c r="E2165" s="3" t="s">
        <v>385</v>
      </c>
      <c r="F2165" s="16" t="n">
        <v>12</v>
      </c>
      <c r="G2165" s="15" t="n">
        <v>0</v>
      </c>
      <c r="H2165" s="16" t="n">
        <v>5</v>
      </c>
      <c r="I2165" s="33" t="n">
        <v>12212.88</v>
      </c>
      <c r="J2165" s="33" t="n">
        <v>12212.88</v>
      </c>
    </row>
    <row r="2166" customFormat="false" ht="15" hidden="false" customHeight="false" outlineLevel="0" collapsed="false">
      <c r="A2166" s="3" t="s">
        <v>2556</v>
      </c>
      <c r="B2166" s="3" t="s">
        <v>283</v>
      </c>
      <c r="C2166" s="3" t="s">
        <v>403</v>
      </c>
      <c r="D2166" s="3" t="s">
        <v>692</v>
      </c>
      <c r="E2166" s="3" t="s">
        <v>385</v>
      </c>
      <c r="F2166" s="16" t="n">
        <v>1</v>
      </c>
      <c r="G2166" s="15" t="n">
        <v>0</v>
      </c>
      <c r="H2166" s="16" t="n">
        <v>1</v>
      </c>
      <c r="I2166" s="33" t="n">
        <v>12212.88</v>
      </c>
      <c r="J2166" s="33" t="n">
        <v>12212.88</v>
      </c>
    </row>
    <row r="2167" customFormat="false" ht="15" hidden="false" customHeight="false" outlineLevel="0" collapsed="false">
      <c r="A2167" s="3" t="s">
        <v>2557</v>
      </c>
      <c r="B2167" s="3" t="s">
        <v>283</v>
      </c>
      <c r="C2167" s="3" t="s">
        <v>384</v>
      </c>
      <c r="D2167" s="3" t="s">
        <v>692</v>
      </c>
      <c r="E2167" s="3" t="s">
        <v>398</v>
      </c>
      <c r="F2167" s="16" t="n">
        <v>1</v>
      </c>
      <c r="G2167" s="15" t="n">
        <v>0</v>
      </c>
      <c r="H2167" s="16" t="n">
        <v>1</v>
      </c>
      <c r="I2167" s="33" t="n">
        <v>12196.2</v>
      </c>
      <c r="J2167" s="33" t="n">
        <v>12196.2</v>
      </c>
    </row>
    <row r="2168" customFormat="false" ht="15" hidden="false" customHeight="false" outlineLevel="0" collapsed="false">
      <c r="A2168" s="3" t="s">
        <v>2558</v>
      </c>
      <c r="B2168" s="3" t="s">
        <v>283</v>
      </c>
      <c r="C2168" s="3" t="s">
        <v>403</v>
      </c>
      <c r="D2168" s="3" t="s">
        <v>692</v>
      </c>
      <c r="E2168" s="3" t="s">
        <v>382</v>
      </c>
      <c r="F2168" s="16" t="n">
        <v>1</v>
      </c>
      <c r="G2168" s="15" t="n">
        <v>0.1</v>
      </c>
      <c r="H2168" s="16" t="n">
        <v>1</v>
      </c>
      <c r="I2168" s="33" t="n">
        <v>12187.92</v>
      </c>
      <c r="J2168" s="33" t="n">
        <v>13542.12</v>
      </c>
    </row>
    <row r="2169" customFormat="false" ht="15" hidden="false" customHeight="false" outlineLevel="0" collapsed="false">
      <c r="A2169" s="3" t="s">
        <v>2559</v>
      </c>
      <c r="B2169" s="3" t="s">
        <v>283</v>
      </c>
      <c r="C2169" s="3" t="s">
        <v>380</v>
      </c>
      <c r="D2169" s="3" t="s">
        <v>392</v>
      </c>
      <c r="E2169" s="3" t="s">
        <v>398</v>
      </c>
      <c r="F2169" s="16" t="n">
        <v>1</v>
      </c>
      <c r="G2169" s="15" t="n">
        <v>0</v>
      </c>
      <c r="H2169" s="16" t="n">
        <v>1</v>
      </c>
      <c r="I2169" s="33" t="n">
        <v>12179.76</v>
      </c>
      <c r="J2169" s="33" t="n">
        <v>12179.76</v>
      </c>
    </row>
    <row r="2170" customFormat="false" ht="15" hidden="false" customHeight="false" outlineLevel="0" collapsed="false">
      <c r="A2170" s="3" t="s">
        <v>2560</v>
      </c>
      <c r="B2170" s="3" t="s">
        <v>283</v>
      </c>
      <c r="C2170" s="3" t="s">
        <v>403</v>
      </c>
      <c r="D2170" s="3" t="s">
        <v>392</v>
      </c>
      <c r="E2170" s="3" t="s">
        <v>385</v>
      </c>
      <c r="F2170" s="16" t="n">
        <v>1</v>
      </c>
      <c r="G2170" s="15" t="n">
        <v>0</v>
      </c>
      <c r="H2170" s="16" t="n">
        <v>1</v>
      </c>
      <c r="I2170" s="33" t="n">
        <v>12166.56</v>
      </c>
      <c r="J2170" s="33" t="n">
        <v>12166.56</v>
      </c>
    </row>
    <row r="2171" customFormat="false" ht="15" hidden="false" customHeight="false" outlineLevel="0" collapsed="false">
      <c r="A2171" s="3" t="s">
        <v>2561</v>
      </c>
      <c r="B2171" s="3" t="s">
        <v>283</v>
      </c>
      <c r="C2171" s="3" t="s">
        <v>380</v>
      </c>
      <c r="D2171" s="3" t="s">
        <v>692</v>
      </c>
      <c r="E2171" s="3" t="s">
        <v>398</v>
      </c>
      <c r="F2171" s="16" t="n">
        <v>1</v>
      </c>
      <c r="G2171" s="15" t="n">
        <v>0</v>
      </c>
      <c r="H2171" s="16" t="n">
        <v>1</v>
      </c>
      <c r="I2171" s="33" t="n">
        <v>12164.88</v>
      </c>
      <c r="J2171" s="33" t="n">
        <v>12164.88</v>
      </c>
    </row>
    <row r="2172" customFormat="false" ht="15" hidden="false" customHeight="false" outlineLevel="0" collapsed="false">
      <c r="A2172" s="3" t="s">
        <v>2562</v>
      </c>
      <c r="B2172" s="3" t="s">
        <v>283</v>
      </c>
      <c r="C2172" s="3" t="s">
        <v>405</v>
      </c>
      <c r="D2172" s="3" t="s">
        <v>388</v>
      </c>
      <c r="E2172" s="3" t="s">
        <v>398</v>
      </c>
      <c r="F2172" s="16" t="n">
        <v>1</v>
      </c>
      <c r="G2172" s="15" t="n">
        <v>0</v>
      </c>
      <c r="H2172" s="16" t="n">
        <v>1</v>
      </c>
      <c r="I2172" s="33" t="n">
        <v>12160.56</v>
      </c>
      <c r="J2172" s="33" t="n">
        <v>12160.56</v>
      </c>
    </row>
    <row r="2173" customFormat="false" ht="15" hidden="false" customHeight="false" outlineLevel="0" collapsed="false">
      <c r="A2173" s="3" t="s">
        <v>2563</v>
      </c>
      <c r="B2173" s="3" t="s">
        <v>283</v>
      </c>
      <c r="C2173" s="3" t="s">
        <v>401</v>
      </c>
      <c r="D2173" s="3" t="s">
        <v>692</v>
      </c>
      <c r="E2173" s="3" t="s">
        <v>398</v>
      </c>
      <c r="F2173" s="16" t="n">
        <v>12</v>
      </c>
      <c r="G2173" s="15" t="n">
        <v>0</v>
      </c>
      <c r="H2173" s="16" t="n">
        <v>1</v>
      </c>
      <c r="I2173" s="33" t="n">
        <v>12158.4</v>
      </c>
      <c r="J2173" s="33" t="n">
        <v>12158.4</v>
      </c>
    </row>
    <row r="2174" customFormat="false" ht="15" hidden="false" customHeight="false" outlineLevel="0" collapsed="false">
      <c r="A2174" s="3" t="s">
        <v>2564</v>
      </c>
      <c r="B2174" s="3" t="s">
        <v>283</v>
      </c>
      <c r="C2174" s="3" t="s">
        <v>387</v>
      </c>
      <c r="D2174" s="3" t="s">
        <v>418</v>
      </c>
      <c r="E2174" s="3" t="s">
        <v>382</v>
      </c>
      <c r="F2174" s="16" t="n">
        <v>1</v>
      </c>
      <c r="G2174" s="15" t="n">
        <v>0</v>
      </c>
      <c r="H2174" s="16" t="n">
        <v>1</v>
      </c>
      <c r="I2174" s="33" t="n">
        <v>12142.44</v>
      </c>
      <c r="J2174" s="33" t="n">
        <v>12142.44</v>
      </c>
    </row>
    <row r="2175" customFormat="false" ht="15" hidden="false" customHeight="false" outlineLevel="0" collapsed="false">
      <c r="A2175" s="3" t="s">
        <v>2565</v>
      </c>
      <c r="B2175" s="3" t="s">
        <v>283</v>
      </c>
      <c r="C2175" s="3" t="s">
        <v>401</v>
      </c>
      <c r="D2175" s="3" t="s">
        <v>388</v>
      </c>
      <c r="E2175" s="3" t="s">
        <v>398</v>
      </c>
      <c r="F2175" s="16" t="n">
        <v>12</v>
      </c>
      <c r="G2175" s="15" t="n">
        <v>0.15</v>
      </c>
      <c r="H2175" s="16" t="n">
        <v>11</v>
      </c>
      <c r="I2175" s="33" t="n">
        <v>12137.28</v>
      </c>
      <c r="J2175" s="33" t="n">
        <v>14279.16</v>
      </c>
    </row>
    <row r="2176" customFormat="false" ht="15" hidden="false" customHeight="false" outlineLevel="0" collapsed="false">
      <c r="A2176" s="3" t="s">
        <v>2566</v>
      </c>
      <c r="B2176" s="3" t="s">
        <v>283</v>
      </c>
      <c r="C2176" s="3" t="s">
        <v>380</v>
      </c>
      <c r="D2176" s="3" t="s">
        <v>392</v>
      </c>
      <c r="E2176" s="3" t="s">
        <v>398</v>
      </c>
      <c r="F2176" s="16" t="n">
        <v>12</v>
      </c>
      <c r="G2176" s="15" t="n">
        <v>0</v>
      </c>
      <c r="H2176" s="16" t="n">
        <v>4</v>
      </c>
      <c r="I2176" s="33" t="n">
        <v>12125.28</v>
      </c>
      <c r="J2176" s="33" t="n">
        <v>12125.28</v>
      </c>
    </row>
    <row r="2177" customFormat="false" ht="15" hidden="false" customHeight="false" outlineLevel="0" collapsed="false">
      <c r="A2177" s="3" t="s">
        <v>2567</v>
      </c>
      <c r="B2177" s="3" t="s">
        <v>283</v>
      </c>
      <c r="C2177" s="3" t="s">
        <v>401</v>
      </c>
      <c r="D2177" s="3" t="s">
        <v>692</v>
      </c>
      <c r="E2177" s="3" t="s">
        <v>385</v>
      </c>
      <c r="F2177" s="16" t="n">
        <v>12</v>
      </c>
      <c r="G2177" s="15" t="n">
        <v>0</v>
      </c>
      <c r="H2177" s="16" t="n">
        <v>10</v>
      </c>
      <c r="I2177" s="33" t="n">
        <v>12108</v>
      </c>
      <c r="J2177" s="33" t="n">
        <v>12108</v>
      </c>
    </row>
    <row r="2178" customFormat="false" ht="15" hidden="false" customHeight="false" outlineLevel="0" collapsed="false">
      <c r="A2178" s="3" t="s">
        <v>2568</v>
      </c>
      <c r="B2178" s="3" t="s">
        <v>283</v>
      </c>
      <c r="C2178" s="3" t="s">
        <v>387</v>
      </c>
      <c r="D2178" s="3" t="s">
        <v>418</v>
      </c>
      <c r="E2178" s="3" t="s">
        <v>398</v>
      </c>
      <c r="F2178" s="16" t="n">
        <v>12</v>
      </c>
      <c r="G2178" s="15" t="n">
        <v>0</v>
      </c>
      <c r="H2178" s="16" t="n">
        <v>3</v>
      </c>
      <c r="I2178" s="33" t="n">
        <v>12084.48</v>
      </c>
      <c r="J2178" s="33" t="n">
        <v>12084.48</v>
      </c>
    </row>
    <row r="2179" customFormat="false" ht="15" hidden="false" customHeight="false" outlineLevel="0" collapsed="false">
      <c r="A2179" s="3" t="s">
        <v>2569</v>
      </c>
      <c r="B2179" s="3" t="s">
        <v>283</v>
      </c>
      <c r="C2179" s="3" t="s">
        <v>403</v>
      </c>
      <c r="D2179" s="3" t="s">
        <v>692</v>
      </c>
      <c r="E2179" s="3" t="s">
        <v>398</v>
      </c>
      <c r="F2179" s="16" t="n">
        <v>1</v>
      </c>
      <c r="G2179" s="15" t="n">
        <v>0</v>
      </c>
      <c r="H2179" s="16" t="n">
        <v>1</v>
      </c>
      <c r="I2179" s="33" t="n">
        <v>12082.92</v>
      </c>
      <c r="J2179" s="33" t="n">
        <v>12082.92</v>
      </c>
    </row>
    <row r="2180" customFormat="false" ht="15" hidden="false" customHeight="false" outlineLevel="0" collapsed="false">
      <c r="A2180" s="3" t="s">
        <v>2570</v>
      </c>
      <c r="B2180" s="3" t="s">
        <v>283</v>
      </c>
      <c r="C2180" s="3" t="s">
        <v>387</v>
      </c>
      <c r="D2180" s="3" t="s">
        <v>692</v>
      </c>
      <c r="E2180" s="3" t="s">
        <v>385</v>
      </c>
      <c r="F2180" s="16" t="n">
        <v>12</v>
      </c>
      <c r="G2180" s="15" t="n">
        <v>0.1</v>
      </c>
      <c r="H2180" s="16" t="n">
        <v>1</v>
      </c>
      <c r="I2180" s="33" t="n">
        <v>12046.56</v>
      </c>
      <c r="J2180" s="33" t="n">
        <v>13385.16</v>
      </c>
    </row>
    <row r="2181" customFormat="false" ht="15" hidden="false" customHeight="false" outlineLevel="0" collapsed="false">
      <c r="A2181" s="3" t="s">
        <v>2571</v>
      </c>
      <c r="B2181" s="3" t="s">
        <v>283</v>
      </c>
      <c r="C2181" s="3" t="s">
        <v>405</v>
      </c>
      <c r="D2181" s="3" t="s">
        <v>692</v>
      </c>
      <c r="E2181" s="3" t="s">
        <v>385</v>
      </c>
      <c r="F2181" s="16" t="n">
        <v>1</v>
      </c>
      <c r="G2181" s="15" t="n">
        <v>0</v>
      </c>
      <c r="H2181" s="16" t="n">
        <v>1</v>
      </c>
      <c r="I2181" s="33" t="n">
        <v>12036</v>
      </c>
      <c r="J2181" s="33" t="n">
        <v>12036</v>
      </c>
    </row>
    <row r="2182" customFormat="false" ht="15" hidden="false" customHeight="false" outlineLevel="0" collapsed="false">
      <c r="A2182" s="3" t="s">
        <v>2572</v>
      </c>
      <c r="B2182" s="3" t="s">
        <v>283</v>
      </c>
      <c r="C2182" s="3" t="s">
        <v>387</v>
      </c>
      <c r="D2182" s="3" t="s">
        <v>381</v>
      </c>
      <c r="E2182" s="3" t="s">
        <v>385</v>
      </c>
      <c r="F2182" s="16" t="n">
        <v>12</v>
      </c>
      <c r="G2182" s="15" t="n">
        <v>0.15</v>
      </c>
      <c r="H2182" s="16" t="n">
        <v>11</v>
      </c>
      <c r="I2182" s="33" t="n">
        <v>12033.48</v>
      </c>
      <c r="J2182" s="33" t="n">
        <v>14157.12</v>
      </c>
    </row>
    <row r="2183" customFormat="false" ht="15" hidden="false" customHeight="false" outlineLevel="0" collapsed="false">
      <c r="A2183" s="3" t="s">
        <v>2573</v>
      </c>
      <c r="B2183" s="3" t="s">
        <v>283</v>
      </c>
      <c r="C2183" s="3" t="s">
        <v>380</v>
      </c>
      <c r="D2183" s="3" t="s">
        <v>392</v>
      </c>
      <c r="E2183" s="3" t="s">
        <v>385</v>
      </c>
      <c r="F2183" s="16" t="n">
        <v>1</v>
      </c>
      <c r="G2183" s="15" t="n">
        <v>0</v>
      </c>
      <c r="H2183" s="16" t="n">
        <v>1</v>
      </c>
      <c r="I2183" s="33" t="n">
        <v>12020.88</v>
      </c>
      <c r="J2183" s="33" t="n">
        <v>12020.88</v>
      </c>
    </row>
    <row r="2184" customFormat="false" ht="15" hidden="false" customHeight="false" outlineLevel="0" collapsed="false">
      <c r="A2184" s="3" t="s">
        <v>2574</v>
      </c>
      <c r="B2184" s="3" t="s">
        <v>283</v>
      </c>
      <c r="C2184" s="3" t="s">
        <v>403</v>
      </c>
      <c r="D2184" s="3" t="s">
        <v>418</v>
      </c>
      <c r="E2184" s="3" t="s">
        <v>385</v>
      </c>
      <c r="F2184" s="16" t="n">
        <v>1</v>
      </c>
      <c r="G2184" s="15" t="n">
        <v>0</v>
      </c>
      <c r="H2184" s="16" t="n">
        <v>1</v>
      </c>
      <c r="I2184" s="33" t="n">
        <v>12014.4</v>
      </c>
      <c r="J2184" s="33" t="n">
        <v>12014.4</v>
      </c>
    </row>
    <row r="2185" customFormat="false" ht="15" hidden="false" customHeight="false" outlineLevel="0" collapsed="false">
      <c r="A2185" s="3" t="s">
        <v>2575</v>
      </c>
      <c r="B2185" s="3" t="s">
        <v>283</v>
      </c>
      <c r="C2185" s="3" t="s">
        <v>380</v>
      </c>
      <c r="D2185" s="3" t="s">
        <v>692</v>
      </c>
      <c r="E2185" s="3" t="s">
        <v>385</v>
      </c>
      <c r="F2185" s="16" t="n">
        <v>12</v>
      </c>
      <c r="G2185" s="15" t="n">
        <v>0.1</v>
      </c>
      <c r="H2185" s="16" t="n">
        <v>3</v>
      </c>
      <c r="I2185" s="33" t="n">
        <v>12008.4</v>
      </c>
      <c r="J2185" s="33" t="n">
        <v>13342.68</v>
      </c>
    </row>
    <row r="2186" customFormat="false" ht="15" hidden="false" customHeight="false" outlineLevel="0" collapsed="false">
      <c r="A2186" s="3" t="s">
        <v>2576</v>
      </c>
      <c r="B2186" s="3" t="s">
        <v>283</v>
      </c>
      <c r="C2186" s="3" t="s">
        <v>396</v>
      </c>
      <c r="D2186" s="3" t="s">
        <v>692</v>
      </c>
      <c r="E2186" s="3" t="s">
        <v>398</v>
      </c>
      <c r="F2186" s="16" t="n">
        <v>1</v>
      </c>
      <c r="G2186" s="15" t="n">
        <v>0</v>
      </c>
      <c r="H2186" s="16" t="n">
        <v>1</v>
      </c>
      <c r="I2186" s="33" t="n">
        <v>12000.36</v>
      </c>
      <c r="J2186" s="33" t="n">
        <v>12000.36</v>
      </c>
    </row>
    <row r="2187" customFormat="false" ht="15" hidden="false" customHeight="false" outlineLevel="0" collapsed="false">
      <c r="A2187" s="3" t="s">
        <v>2577</v>
      </c>
      <c r="B2187" s="3" t="s">
        <v>283</v>
      </c>
      <c r="C2187" s="3" t="s">
        <v>396</v>
      </c>
      <c r="D2187" s="3" t="s">
        <v>692</v>
      </c>
      <c r="E2187" s="3" t="s">
        <v>382</v>
      </c>
      <c r="F2187" s="16" t="n">
        <v>1</v>
      </c>
      <c r="G2187" s="15" t="n">
        <v>0</v>
      </c>
      <c r="H2187" s="16" t="n">
        <v>1</v>
      </c>
      <c r="I2187" s="33" t="n">
        <v>11998.08</v>
      </c>
      <c r="J2187" s="33" t="n">
        <v>11998.08</v>
      </c>
    </row>
    <row r="2188" customFormat="false" ht="15" hidden="false" customHeight="false" outlineLevel="0" collapsed="false">
      <c r="A2188" s="3" t="s">
        <v>2578</v>
      </c>
      <c r="B2188" s="3" t="s">
        <v>283</v>
      </c>
      <c r="C2188" s="3" t="s">
        <v>387</v>
      </c>
      <c r="D2188" s="3" t="s">
        <v>392</v>
      </c>
      <c r="E2188" s="3" t="s">
        <v>398</v>
      </c>
      <c r="F2188" s="16" t="n">
        <v>1</v>
      </c>
      <c r="G2188" s="15" t="n">
        <v>0</v>
      </c>
      <c r="H2188" s="16" t="n">
        <v>1</v>
      </c>
      <c r="I2188" s="33" t="n">
        <v>11989.56</v>
      </c>
      <c r="J2188" s="33" t="n">
        <v>11989.56</v>
      </c>
    </row>
    <row r="2189" customFormat="false" ht="15" hidden="false" customHeight="false" outlineLevel="0" collapsed="false">
      <c r="A2189" s="3" t="s">
        <v>2579</v>
      </c>
      <c r="B2189" s="3" t="s">
        <v>283</v>
      </c>
      <c r="C2189" s="3" t="s">
        <v>401</v>
      </c>
      <c r="D2189" s="3" t="s">
        <v>392</v>
      </c>
      <c r="E2189" s="3" t="s">
        <v>398</v>
      </c>
      <c r="F2189" s="16" t="n">
        <v>1</v>
      </c>
      <c r="G2189" s="15" t="n">
        <v>0</v>
      </c>
      <c r="H2189" s="16" t="n">
        <v>1</v>
      </c>
      <c r="I2189" s="33" t="n">
        <v>11981.04</v>
      </c>
      <c r="J2189" s="33" t="n">
        <v>11981.04</v>
      </c>
    </row>
    <row r="2190" customFormat="false" ht="15" hidden="false" customHeight="false" outlineLevel="0" collapsed="false">
      <c r="A2190" s="3" t="s">
        <v>2580</v>
      </c>
      <c r="B2190" s="3" t="s">
        <v>283</v>
      </c>
      <c r="C2190" s="3" t="s">
        <v>396</v>
      </c>
      <c r="D2190" s="3" t="s">
        <v>392</v>
      </c>
      <c r="E2190" s="3" t="s">
        <v>385</v>
      </c>
      <c r="F2190" s="16" t="n">
        <v>12</v>
      </c>
      <c r="G2190" s="15" t="n">
        <v>0</v>
      </c>
      <c r="H2190" s="16" t="n">
        <v>7</v>
      </c>
      <c r="I2190" s="33" t="n">
        <v>11979.72</v>
      </c>
      <c r="J2190" s="33" t="n">
        <v>11979.72</v>
      </c>
    </row>
    <row r="2191" customFormat="false" ht="15" hidden="false" customHeight="false" outlineLevel="0" collapsed="false">
      <c r="A2191" s="3" t="s">
        <v>2581</v>
      </c>
      <c r="B2191" s="3" t="s">
        <v>283</v>
      </c>
      <c r="C2191" s="3" t="s">
        <v>380</v>
      </c>
      <c r="D2191" s="3" t="s">
        <v>392</v>
      </c>
      <c r="E2191" s="3" t="s">
        <v>385</v>
      </c>
      <c r="F2191" s="16" t="n">
        <v>1</v>
      </c>
      <c r="G2191" s="15" t="n">
        <v>0</v>
      </c>
      <c r="H2191" s="16" t="n">
        <v>1</v>
      </c>
      <c r="I2191" s="33" t="n">
        <v>11962.68</v>
      </c>
      <c r="J2191" s="33" t="n">
        <v>11962.68</v>
      </c>
    </row>
    <row r="2192" customFormat="false" ht="15" hidden="false" customHeight="false" outlineLevel="0" collapsed="false">
      <c r="A2192" s="3" t="s">
        <v>2582</v>
      </c>
      <c r="B2192" s="3" t="s">
        <v>283</v>
      </c>
      <c r="C2192" s="3" t="s">
        <v>387</v>
      </c>
      <c r="D2192" s="3" t="s">
        <v>392</v>
      </c>
      <c r="E2192" s="3" t="s">
        <v>398</v>
      </c>
      <c r="F2192" s="16" t="n">
        <v>1</v>
      </c>
      <c r="G2192" s="15" t="n">
        <v>0.1</v>
      </c>
      <c r="H2192" s="16" t="n">
        <v>1</v>
      </c>
      <c r="I2192" s="33" t="n">
        <v>11958</v>
      </c>
      <c r="J2192" s="33" t="n">
        <v>13286.64</v>
      </c>
    </row>
    <row r="2193" customFormat="false" ht="15" hidden="false" customHeight="false" outlineLevel="0" collapsed="false">
      <c r="A2193" s="3" t="s">
        <v>2583</v>
      </c>
      <c r="B2193" s="3" t="s">
        <v>283</v>
      </c>
      <c r="C2193" s="3" t="s">
        <v>401</v>
      </c>
      <c r="D2193" s="3" t="s">
        <v>392</v>
      </c>
      <c r="E2193" s="3" t="s">
        <v>398</v>
      </c>
      <c r="F2193" s="16" t="n">
        <v>1</v>
      </c>
      <c r="G2193" s="15" t="n">
        <v>0.1</v>
      </c>
      <c r="H2193" s="16" t="n">
        <v>1</v>
      </c>
      <c r="I2193" s="33" t="n">
        <v>11957.16</v>
      </c>
      <c r="J2193" s="33" t="n">
        <v>13285.68</v>
      </c>
    </row>
    <row r="2194" customFormat="false" ht="15" hidden="false" customHeight="false" outlineLevel="0" collapsed="false">
      <c r="A2194" s="3" t="s">
        <v>2584</v>
      </c>
      <c r="B2194" s="3" t="s">
        <v>283</v>
      </c>
      <c r="C2194" s="3" t="s">
        <v>387</v>
      </c>
      <c r="D2194" s="3" t="s">
        <v>392</v>
      </c>
      <c r="E2194" s="3" t="s">
        <v>398</v>
      </c>
      <c r="F2194" s="16" t="n">
        <v>12</v>
      </c>
      <c r="G2194" s="15" t="n">
        <v>0</v>
      </c>
      <c r="H2194" s="16" t="n">
        <v>3</v>
      </c>
      <c r="I2194" s="33" t="n">
        <v>11954.76</v>
      </c>
      <c r="J2194" s="33" t="n">
        <v>11954.76</v>
      </c>
    </row>
    <row r="2195" customFormat="false" ht="15" hidden="false" customHeight="false" outlineLevel="0" collapsed="false">
      <c r="A2195" s="3" t="s">
        <v>2585</v>
      </c>
      <c r="B2195" s="3" t="s">
        <v>283</v>
      </c>
      <c r="C2195" s="3" t="s">
        <v>387</v>
      </c>
      <c r="D2195" s="3" t="s">
        <v>392</v>
      </c>
      <c r="E2195" s="3" t="s">
        <v>398</v>
      </c>
      <c r="F2195" s="16" t="n">
        <v>1</v>
      </c>
      <c r="G2195" s="15" t="n">
        <v>0.1</v>
      </c>
      <c r="H2195" s="16" t="n">
        <v>1</v>
      </c>
      <c r="I2195" s="33" t="n">
        <v>11946.48</v>
      </c>
      <c r="J2195" s="33" t="n">
        <v>13273.92</v>
      </c>
    </row>
    <row r="2196" customFormat="false" ht="15" hidden="false" customHeight="false" outlineLevel="0" collapsed="false">
      <c r="A2196" s="3" t="s">
        <v>2586</v>
      </c>
      <c r="B2196" s="3" t="s">
        <v>283</v>
      </c>
      <c r="C2196" s="3" t="s">
        <v>387</v>
      </c>
      <c r="D2196" s="3" t="s">
        <v>392</v>
      </c>
      <c r="E2196" s="3" t="s">
        <v>398</v>
      </c>
      <c r="F2196" s="16" t="n">
        <v>1</v>
      </c>
      <c r="G2196" s="15" t="n">
        <v>0.125</v>
      </c>
      <c r="H2196" s="16" t="n">
        <v>1</v>
      </c>
      <c r="I2196" s="33" t="n">
        <v>11927.04</v>
      </c>
      <c r="J2196" s="33" t="n">
        <v>13630.92</v>
      </c>
    </row>
    <row r="2197" customFormat="false" ht="15" hidden="false" customHeight="false" outlineLevel="0" collapsed="false">
      <c r="A2197" s="3" t="s">
        <v>2587</v>
      </c>
      <c r="B2197" s="3" t="s">
        <v>283</v>
      </c>
      <c r="C2197" s="3" t="s">
        <v>401</v>
      </c>
      <c r="D2197" s="3" t="s">
        <v>392</v>
      </c>
      <c r="E2197" s="3" t="s">
        <v>398</v>
      </c>
      <c r="F2197" s="16" t="n">
        <v>1</v>
      </c>
      <c r="G2197" s="15" t="n">
        <v>0</v>
      </c>
      <c r="H2197" s="16" t="n">
        <v>1</v>
      </c>
      <c r="I2197" s="33" t="n">
        <v>11917.68</v>
      </c>
      <c r="J2197" s="33" t="n">
        <v>11917.68</v>
      </c>
    </row>
    <row r="2198" customFormat="false" ht="15" hidden="false" customHeight="false" outlineLevel="0" collapsed="false">
      <c r="A2198" s="3" t="s">
        <v>2588</v>
      </c>
      <c r="B2198" s="3" t="s">
        <v>283</v>
      </c>
      <c r="C2198" s="3" t="s">
        <v>380</v>
      </c>
      <c r="D2198" s="3" t="s">
        <v>388</v>
      </c>
      <c r="E2198" s="3" t="s">
        <v>385</v>
      </c>
      <c r="F2198" s="16" t="n">
        <v>1</v>
      </c>
      <c r="G2198" s="15" t="n">
        <v>0</v>
      </c>
      <c r="H2198" s="16" t="n">
        <v>1</v>
      </c>
      <c r="I2198" s="33" t="n">
        <v>11915.88</v>
      </c>
      <c r="J2198" s="33" t="n">
        <v>11915.88</v>
      </c>
    </row>
    <row r="2199" customFormat="false" ht="15" hidden="false" customHeight="false" outlineLevel="0" collapsed="false">
      <c r="A2199" s="3" t="s">
        <v>2589</v>
      </c>
      <c r="B2199" s="3" t="s">
        <v>283</v>
      </c>
      <c r="C2199" s="3" t="s">
        <v>396</v>
      </c>
      <c r="D2199" s="3" t="s">
        <v>692</v>
      </c>
      <c r="E2199" s="3" t="s">
        <v>398</v>
      </c>
      <c r="F2199" s="16" t="n">
        <v>1</v>
      </c>
      <c r="G2199" s="15" t="n">
        <v>0</v>
      </c>
      <c r="H2199" s="16" t="n">
        <v>1</v>
      </c>
      <c r="I2199" s="33" t="n">
        <v>11908.2</v>
      </c>
      <c r="J2199" s="33" t="n">
        <v>11908.2</v>
      </c>
    </row>
    <row r="2200" customFormat="false" ht="15" hidden="false" customHeight="false" outlineLevel="0" collapsed="false">
      <c r="A2200" s="3" t="s">
        <v>2590</v>
      </c>
      <c r="B2200" s="3" t="s">
        <v>283</v>
      </c>
      <c r="C2200" s="3" t="s">
        <v>396</v>
      </c>
      <c r="D2200" s="3" t="s">
        <v>392</v>
      </c>
      <c r="E2200" s="3" t="s">
        <v>382</v>
      </c>
      <c r="F2200" s="16" t="n">
        <v>1</v>
      </c>
      <c r="G2200" s="15" t="n">
        <v>0</v>
      </c>
      <c r="H2200" s="16" t="n">
        <v>1</v>
      </c>
      <c r="I2200" s="33" t="n">
        <v>11896.2</v>
      </c>
      <c r="J2200" s="33" t="n">
        <v>11896.2</v>
      </c>
    </row>
    <row r="2201" customFormat="false" ht="15" hidden="false" customHeight="false" outlineLevel="0" collapsed="false">
      <c r="A2201" s="3" t="s">
        <v>2591</v>
      </c>
      <c r="B2201" s="3" t="s">
        <v>283</v>
      </c>
      <c r="C2201" s="3" t="s">
        <v>384</v>
      </c>
      <c r="D2201" s="3" t="s">
        <v>392</v>
      </c>
      <c r="E2201" s="3" t="s">
        <v>398</v>
      </c>
      <c r="F2201" s="16" t="n">
        <v>1</v>
      </c>
      <c r="G2201" s="15" t="n">
        <v>0.1</v>
      </c>
      <c r="H2201" s="16" t="n">
        <v>1</v>
      </c>
      <c r="I2201" s="33" t="n">
        <v>11886.96</v>
      </c>
      <c r="J2201" s="33" t="n">
        <v>13207.8</v>
      </c>
    </row>
    <row r="2202" customFormat="false" ht="15" hidden="false" customHeight="false" outlineLevel="0" collapsed="false">
      <c r="A2202" s="3" t="s">
        <v>2592</v>
      </c>
      <c r="B2202" s="3" t="s">
        <v>283</v>
      </c>
      <c r="C2202" s="3" t="s">
        <v>396</v>
      </c>
      <c r="D2202" s="3" t="s">
        <v>392</v>
      </c>
      <c r="E2202" s="3" t="s">
        <v>398</v>
      </c>
      <c r="F2202" s="16" t="n">
        <v>1</v>
      </c>
      <c r="G2202" s="15" t="n">
        <v>0.05</v>
      </c>
      <c r="H2202" s="16" t="n">
        <v>1</v>
      </c>
      <c r="I2202" s="33" t="n">
        <v>11880</v>
      </c>
      <c r="J2202" s="33" t="n">
        <v>12505.32</v>
      </c>
    </row>
    <row r="2203" customFormat="false" ht="15" hidden="false" customHeight="false" outlineLevel="0" collapsed="false">
      <c r="A2203" s="3" t="s">
        <v>2593</v>
      </c>
      <c r="B2203" s="3" t="s">
        <v>283</v>
      </c>
      <c r="C2203" s="3" t="s">
        <v>387</v>
      </c>
      <c r="D2203" s="3" t="s">
        <v>381</v>
      </c>
      <c r="E2203" s="3" t="s">
        <v>398</v>
      </c>
      <c r="F2203" s="16" t="n">
        <v>1</v>
      </c>
      <c r="G2203" s="15" t="n">
        <v>0</v>
      </c>
      <c r="H2203" s="16" t="n">
        <v>1</v>
      </c>
      <c r="I2203" s="33" t="n">
        <v>11879.52</v>
      </c>
      <c r="J2203" s="33" t="n">
        <v>11879.52</v>
      </c>
    </row>
    <row r="2204" customFormat="false" ht="15" hidden="false" customHeight="false" outlineLevel="0" collapsed="false">
      <c r="A2204" s="3" t="s">
        <v>2594</v>
      </c>
      <c r="B2204" s="3" t="s">
        <v>283</v>
      </c>
      <c r="C2204" s="3" t="s">
        <v>405</v>
      </c>
      <c r="D2204" s="3" t="s">
        <v>381</v>
      </c>
      <c r="E2204" s="3" t="s">
        <v>382</v>
      </c>
      <c r="F2204" s="16" t="n">
        <v>1</v>
      </c>
      <c r="G2204" s="15" t="n">
        <v>0</v>
      </c>
      <c r="H2204" s="16" t="n">
        <v>1</v>
      </c>
      <c r="I2204" s="33" t="n">
        <v>11871.84</v>
      </c>
      <c r="J2204" s="33" t="n">
        <v>11871.84</v>
      </c>
    </row>
    <row r="2205" customFormat="false" ht="15" hidden="false" customHeight="false" outlineLevel="0" collapsed="false">
      <c r="A2205" s="3" t="s">
        <v>2595</v>
      </c>
      <c r="B2205" s="3" t="s">
        <v>283</v>
      </c>
      <c r="C2205" s="3" t="s">
        <v>380</v>
      </c>
      <c r="D2205" s="3" t="s">
        <v>392</v>
      </c>
      <c r="E2205" s="3" t="s">
        <v>398</v>
      </c>
      <c r="F2205" s="16" t="n">
        <v>12</v>
      </c>
      <c r="G2205" s="15" t="n">
        <v>0.05</v>
      </c>
      <c r="H2205" s="16" t="n">
        <v>2</v>
      </c>
      <c r="I2205" s="33" t="n">
        <v>11870.16</v>
      </c>
      <c r="J2205" s="33" t="n">
        <v>12495</v>
      </c>
    </row>
    <row r="2206" customFormat="false" ht="15" hidden="false" customHeight="false" outlineLevel="0" collapsed="false">
      <c r="A2206" s="3" t="s">
        <v>2596</v>
      </c>
      <c r="B2206" s="3" t="s">
        <v>283</v>
      </c>
      <c r="C2206" s="3" t="s">
        <v>387</v>
      </c>
      <c r="D2206" s="3" t="s">
        <v>392</v>
      </c>
      <c r="E2206" s="3" t="s">
        <v>382</v>
      </c>
      <c r="F2206" s="16" t="n">
        <v>12</v>
      </c>
      <c r="G2206" s="15" t="n">
        <v>0</v>
      </c>
      <c r="H2206" s="16" t="n">
        <v>11</v>
      </c>
      <c r="I2206" s="33" t="n">
        <v>11839.32</v>
      </c>
      <c r="J2206" s="33" t="n">
        <v>11839.32</v>
      </c>
    </row>
    <row r="2207" customFormat="false" ht="15" hidden="false" customHeight="false" outlineLevel="0" collapsed="false">
      <c r="A2207" s="3" t="s">
        <v>2597</v>
      </c>
      <c r="B2207" s="3" t="s">
        <v>283</v>
      </c>
      <c r="C2207" s="3" t="s">
        <v>380</v>
      </c>
      <c r="D2207" s="3" t="s">
        <v>692</v>
      </c>
      <c r="E2207" s="3" t="s">
        <v>385</v>
      </c>
      <c r="F2207" s="16" t="n">
        <v>12</v>
      </c>
      <c r="G2207" s="15" t="n">
        <v>0.25</v>
      </c>
      <c r="H2207" s="16" t="n">
        <v>10</v>
      </c>
      <c r="I2207" s="33" t="n">
        <v>11838.12</v>
      </c>
      <c r="J2207" s="33" t="n">
        <v>15784.08</v>
      </c>
    </row>
    <row r="2208" customFormat="false" ht="15" hidden="false" customHeight="false" outlineLevel="0" collapsed="false">
      <c r="A2208" s="3" t="s">
        <v>2598</v>
      </c>
      <c r="B2208" s="3" t="s">
        <v>283</v>
      </c>
      <c r="C2208" s="3" t="s">
        <v>401</v>
      </c>
      <c r="D2208" s="3" t="s">
        <v>418</v>
      </c>
      <c r="E2208" s="3" t="s">
        <v>398</v>
      </c>
      <c r="F2208" s="16" t="n">
        <v>12</v>
      </c>
      <c r="G2208" s="15" t="n">
        <v>0.2</v>
      </c>
      <c r="H2208" s="16" t="n">
        <v>4</v>
      </c>
      <c r="I2208" s="33" t="n">
        <v>11826.48</v>
      </c>
      <c r="J2208" s="33" t="n">
        <v>14783.16</v>
      </c>
    </row>
    <row r="2209" customFormat="false" ht="15" hidden="false" customHeight="false" outlineLevel="0" collapsed="false">
      <c r="A2209" s="3" t="s">
        <v>2599</v>
      </c>
      <c r="B2209" s="3" t="s">
        <v>283</v>
      </c>
      <c r="C2209" s="3" t="s">
        <v>380</v>
      </c>
      <c r="D2209" s="3" t="s">
        <v>692</v>
      </c>
      <c r="E2209" s="3" t="s">
        <v>398</v>
      </c>
      <c r="F2209" s="16" t="n">
        <v>1</v>
      </c>
      <c r="G2209" s="15" t="n">
        <v>0</v>
      </c>
      <c r="H2209" s="16" t="n">
        <v>1</v>
      </c>
      <c r="I2209" s="33" t="n">
        <v>11824.8</v>
      </c>
      <c r="J2209" s="33" t="n">
        <v>11824.8</v>
      </c>
    </row>
    <row r="2210" customFormat="false" ht="15" hidden="false" customHeight="false" outlineLevel="0" collapsed="false">
      <c r="A2210" s="3" t="s">
        <v>2600</v>
      </c>
      <c r="B2210" s="3" t="s">
        <v>283</v>
      </c>
      <c r="C2210" s="3" t="s">
        <v>387</v>
      </c>
      <c r="D2210" s="3" t="s">
        <v>692</v>
      </c>
      <c r="E2210" s="3" t="s">
        <v>385</v>
      </c>
      <c r="F2210" s="16" t="n">
        <v>1</v>
      </c>
      <c r="G2210" s="15" t="n">
        <v>0.1</v>
      </c>
      <c r="H2210" s="16" t="n">
        <v>1</v>
      </c>
      <c r="I2210" s="33" t="n">
        <v>11811.36</v>
      </c>
      <c r="J2210" s="33" t="n">
        <v>13123.68</v>
      </c>
    </row>
    <row r="2211" customFormat="false" ht="15" hidden="false" customHeight="false" outlineLevel="0" collapsed="false">
      <c r="A2211" s="3" t="s">
        <v>2601</v>
      </c>
      <c r="B2211" s="3" t="s">
        <v>283</v>
      </c>
      <c r="C2211" s="3" t="s">
        <v>401</v>
      </c>
      <c r="D2211" s="3" t="s">
        <v>418</v>
      </c>
      <c r="E2211" s="3" t="s">
        <v>385</v>
      </c>
      <c r="F2211" s="16" t="n">
        <v>1</v>
      </c>
      <c r="G2211" s="15" t="n">
        <v>0.1</v>
      </c>
      <c r="H2211" s="16" t="n">
        <v>1</v>
      </c>
      <c r="I2211" s="33" t="n">
        <v>11808.36</v>
      </c>
      <c r="J2211" s="33" t="n">
        <v>13120.44</v>
      </c>
    </row>
    <row r="2212" customFormat="false" ht="15" hidden="false" customHeight="false" outlineLevel="0" collapsed="false">
      <c r="A2212" s="3" t="s">
        <v>2602</v>
      </c>
      <c r="B2212" s="3" t="s">
        <v>283</v>
      </c>
      <c r="C2212" s="3" t="s">
        <v>403</v>
      </c>
      <c r="D2212" s="3" t="s">
        <v>392</v>
      </c>
      <c r="E2212" s="3" t="s">
        <v>398</v>
      </c>
      <c r="F2212" s="16" t="n">
        <v>1</v>
      </c>
      <c r="G2212" s="15" t="n">
        <v>0</v>
      </c>
      <c r="H2212" s="16" t="n">
        <v>1</v>
      </c>
      <c r="I2212" s="33" t="n">
        <v>11807.52</v>
      </c>
      <c r="J2212" s="33" t="n">
        <v>11807.52</v>
      </c>
    </row>
    <row r="2213" customFormat="false" ht="15" hidden="false" customHeight="false" outlineLevel="0" collapsed="false">
      <c r="A2213" s="3" t="s">
        <v>2603</v>
      </c>
      <c r="B2213" s="3" t="s">
        <v>283</v>
      </c>
      <c r="C2213" s="3" t="s">
        <v>405</v>
      </c>
      <c r="D2213" s="3" t="s">
        <v>388</v>
      </c>
      <c r="E2213" s="3" t="s">
        <v>398</v>
      </c>
      <c r="F2213" s="16" t="n">
        <v>1</v>
      </c>
      <c r="G2213" s="15" t="n">
        <v>0.1</v>
      </c>
      <c r="H2213" s="16" t="n">
        <v>1</v>
      </c>
      <c r="I2213" s="33" t="n">
        <v>11802.84</v>
      </c>
      <c r="J2213" s="33" t="n">
        <v>13114.2</v>
      </c>
    </row>
    <row r="2214" customFormat="false" ht="15" hidden="false" customHeight="false" outlineLevel="0" collapsed="false">
      <c r="A2214" s="3" t="s">
        <v>2604</v>
      </c>
      <c r="B2214" s="3" t="s">
        <v>283</v>
      </c>
      <c r="C2214" s="3" t="s">
        <v>387</v>
      </c>
      <c r="D2214" s="3" t="s">
        <v>388</v>
      </c>
      <c r="E2214" s="3" t="s">
        <v>382</v>
      </c>
      <c r="F2214" s="16" t="n">
        <v>1</v>
      </c>
      <c r="G2214" s="15" t="n">
        <v>0</v>
      </c>
      <c r="H2214" s="16" t="n">
        <v>1</v>
      </c>
      <c r="I2214" s="33" t="n">
        <v>11787.12</v>
      </c>
      <c r="J2214" s="33" t="n">
        <v>11787.12</v>
      </c>
    </row>
    <row r="2215" customFormat="false" ht="15" hidden="false" customHeight="false" outlineLevel="0" collapsed="false">
      <c r="A2215" s="3" t="s">
        <v>2605</v>
      </c>
      <c r="B2215" s="3" t="s">
        <v>283</v>
      </c>
      <c r="C2215" s="3" t="s">
        <v>396</v>
      </c>
      <c r="D2215" s="3" t="s">
        <v>381</v>
      </c>
      <c r="E2215" s="3" t="s">
        <v>385</v>
      </c>
      <c r="F2215" s="16" t="n">
        <v>1</v>
      </c>
      <c r="G2215" s="15" t="n">
        <v>0</v>
      </c>
      <c r="H2215" s="16" t="n">
        <v>1</v>
      </c>
      <c r="I2215" s="33" t="n">
        <v>11783.4</v>
      </c>
      <c r="J2215" s="33" t="n">
        <v>11783.4</v>
      </c>
    </row>
    <row r="2216" customFormat="false" ht="15" hidden="false" customHeight="false" outlineLevel="0" collapsed="false">
      <c r="A2216" s="3" t="s">
        <v>2606</v>
      </c>
      <c r="B2216" s="3" t="s">
        <v>283</v>
      </c>
      <c r="C2216" s="3" t="s">
        <v>384</v>
      </c>
      <c r="D2216" s="3" t="s">
        <v>692</v>
      </c>
      <c r="E2216" s="3" t="s">
        <v>385</v>
      </c>
      <c r="F2216" s="16" t="n">
        <v>1</v>
      </c>
      <c r="G2216" s="15" t="n">
        <v>0</v>
      </c>
      <c r="H2216" s="16" t="n">
        <v>1</v>
      </c>
      <c r="I2216" s="33" t="n">
        <v>11781.24</v>
      </c>
      <c r="J2216" s="33" t="n">
        <v>11781.24</v>
      </c>
    </row>
    <row r="2217" customFormat="false" ht="15" hidden="false" customHeight="false" outlineLevel="0" collapsed="false">
      <c r="A2217" s="3" t="s">
        <v>2607</v>
      </c>
      <c r="B2217" s="3" t="s">
        <v>283</v>
      </c>
      <c r="C2217" s="3" t="s">
        <v>396</v>
      </c>
      <c r="D2217" s="3" t="s">
        <v>392</v>
      </c>
      <c r="E2217" s="3" t="s">
        <v>385</v>
      </c>
      <c r="F2217" s="16" t="n">
        <v>12</v>
      </c>
      <c r="G2217" s="15" t="n">
        <v>0</v>
      </c>
      <c r="H2217" s="16" t="n">
        <v>10</v>
      </c>
      <c r="I2217" s="33" t="n">
        <v>11780.52</v>
      </c>
      <c r="J2217" s="33" t="n">
        <v>11780.52</v>
      </c>
    </row>
    <row r="2218" customFormat="false" ht="15" hidden="false" customHeight="false" outlineLevel="0" collapsed="false">
      <c r="A2218" s="3" t="s">
        <v>2608</v>
      </c>
      <c r="B2218" s="3" t="s">
        <v>283</v>
      </c>
      <c r="C2218" s="3" t="s">
        <v>403</v>
      </c>
      <c r="D2218" s="3" t="s">
        <v>388</v>
      </c>
      <c r="E2218" s="3" t="s">
        <v>382</v>
      </c>
      <c r="F2218" s="16" t="n">
        <v>1</v>
      </c>
      <c r="G2218" s="15" t="n">
        <v>0</v>
      </c>
      <c r="H2218" s="16" t="n">
        <v>1</v>
      </c>
      <c r="I2218" s="33" t="n">
        <v>11778.12</v>
      </c>
      <c r="J2218" s="33" t="n">
        <v>11778.12</v>
      </c>
    </row>
    <row r="2219" customFormat="false" ht="15" hidden="false" customHeight="false" outlineLevel="0" collapsed="false">
      <c r="A2219" s="3" t="s">
        <v>2609</v>
      </c>
      <c r="B2219" s="3" t="s">
        <v>283</v>
      </c>
      <c r="C2219" s="3" t="s">
        <v>387</v>
      </c>
      <c r="D2219" s="3" t="s">
        <v>392</v>
      </c>
      <c r="E2219" s="3" t="s">
        <v>398</v>
      </c>
      <c r="F2219" s="16" t="n">
        <v>1</v>
      </c>
      <c r="G2219" s="15" t="n">
        <v>0</v>
      </c>
      <c r="H2219" s="16" t="n">
        <v>1</v>
      </c>
      <c r="I2219" s="33" t="n">
        <v>11776.92</v>
      </c>
      <c r="J2219" s="33" t="n">
        <v>11776.92</v>
      </c>
    </row>
    <row r="2220" customFormat="false" ht="15" hidden="false" customHeight="false" outlineLevel="0" collapsed="false">
      <c r="A2220" s="3" t="s">
        <v>2610</v>
      </c>
      <c r="B2220" s="3" t="s">
        <v>283</v>
      </c>
      <c r="C2220" s="3" t="s">
        <v>405</v>
      </c>
      <c r="D2220" s="3" t="s">
        <v>418</v>
      </c>
      <c r="E2220" s="3" t="s">
        <v>398</v>
      </c>
      <c r="F2220" s="16" t="n">
        <v>12</v>
      </c>
      <c r="G2220" s="15" t="n">
        <v>0</v>
      </c>
      <c r="H2220" s="16" t="n">
        <v>3</v>
      </c>
      <c r="I2220" s="33" t="n">
        <v>11771.16</v>
      </c>
      <c r="J2220" s="33" t="n">
        <v>11771.16</v>
      </c>
    </row>
    <row r="2221" customFormat="false" ht="15" hidden="false" customHeight="false" outlineLevel="0" collapsed="false">
      <c r="A2221" s="3" t="s">
        <v>2611</v>
      </c>
      <c r="B2221" s="3" t="s">
        <v>283</v>
      </c>
      <c r="C2221" s="3" t="s">
        <v>387</v>
      </c>
      <c r="D2221" s="3" t="s">
        <v>692</v>
      </c>
      <c r="E2221" s="3" t="s">
        <v>385</v>
      </c>
      <c r="F2221" s="16" t="n">
        <v>12</v>
      </c>
      <c r="G2221" s="15" t="n">
        <v>0</v>
      </c>
      <c r="H2221" s="16" t="n">
        <v>8</v>
      </c>
      <c r="I2221" s="33" t="n">
        <v>11734.8</v>
      </c>
      <c r="J2221" s="33" t="n">
        <v>11734.8</v>
      </c>
    </row>
    <row r="2222" customFormat="false" ht="15" hidden="false" customHeight="false" outlineLevel="0" collapsed="false">
      <c r="A2222" s="3" t="s">
        <v>2612</v>
      </c>
      <c r="B2222" s="3" t="s">
        <v>283</v>
      </c>
      <c r="C2222" s="3" t="s">
        <v>380</v>
      </c>
      <c r="D2222" s="3" t="s">
        <v>388</v>
      </c>
      <c r="E2222" s="3" t="s">
        <v>385</v>
      </c>
      <c r="F2222" s="16" t="n">
        <v>1</v>
      </c>
      <c r="G2222" s="15" t="n">
        <v>0</v>
      </c>
      <c r="H2222" s="16" t="n">
        <v>1</v>
      </c>
      <c r="I2222" s="33" t="n">
        <v>11724.72</v>
      </c>
      <c r="J2222" s="33" t="n">
        <v>11724.72</v>
      </c>
    </row>
    <row r="2223" customFormat="false" ht="15" hidden="false" customHeight="false" outlineLevel="0" collapsed="false">
      <c r="A2223" s="3" t="s">
        <v>2613</v>
      </c>
      <c r="B2223" s="3" t="s">
        <v>283</v>
      </c>
      <c r="C2223" s="3" t="s">
        <v>384</v>
      </c>
      <c r="D2223" s="3" t="s">
        <v>381</v>
      </c>
      <c r="E2223" s="3" t="s">
        <v>382</v>
      </c>
      <c r="F2223" s="16" t="n">
        <v>12</v>
      </c>
      <c r="G2223" s="15" t="n">
        <v>0</v>
      </c>
      <c r="H2223" s="16" t="n">
        <v>2</v>
      </c>
      <c r="I2223" s="33" t="n">
        <v>11723.64</v>
      </c>
      <c r="J2223" s="33" t="n">
        <v>11723.64</v>
      </c>
    </row>
    <row r="2224" customFormat="false" ht="15" hidden="false" customHeight="false" outlineLevel="0" collapsed="false">
      <c r="A2224" s="3" t="s">
        <v>2614</v>
      </c>
      <c r="B2224" s="3" t="s">
        <v>283</v>
      </c>
      <c r="C2224" s="3" t="s">
        <v>387</v>
      </c>
      <c r="D2224" s="3" t="s">
        <v>392</v>
      </c>
      <c r="E2224" s="3" t="s">
        <v>385</v>
      </c>
      <c r="F2224" s="16" t="n">
        <v>12</v>
      </c>
      <c r="G2224" s="15" t="n">
        <v>0</v>
      </c>
      <c r="H2224" s="16" t="n">
        <v>7</v>
      </c>
      <c r="I2224" s="33" t="n">
        <v>11701.56</v>
      </c>
      <c r="J2224" s="33" t="n">
        <v>11701.56</v>
      </c>
    </row>
    <row r="2225" customFormat="false" ht="15" hidden="false" customHeight="false" outlineLevel="0" collapsed="false">
      <c r="A2225" s="3" t="s">
        <v>2615</v>
      </c>
      <c r="B2225" s="3" t="s">
        <v>283</v>
      </c>
      <c r="C2225" s="3" t="s">
        <v>387</v>
      </c>
      <c r="D2225" s="3" t="s">
        <v>381</v>
      </c>
      <c r="E2225" s="3" t="s">
        <v>398</v>
      </c>
      <c r="F2225" s="16" t="n">
        <v>1</v>
      </c>
      <c r="G2225" s="15" t="n">
        <v>0</v>
      </c>
      <c r="H2225" s="16" t="n">
        <v>1</v>
      </c>
      <c r="I2225" s="33" t="n">
        <v>11699.88</v>
      </c>
      <c r="J2225" s="33" t="n">
        <v>11699.88</v>
      </c>
    </row>
    <row r="2226" customFormat="false" ht="15" hidden="false" customHeight="false" outlineLevel="0" collapsed="false">
      <c r="A2226" s="3" t="s">
        <v>2616</v>
      </c>
      <c r="B2226" s="3" t="s">
        <v>283</v>
      </c>
      <c r="C2226" s="3" t="s">
        <v>403</v>
      </c>
      <c r="D2226" s="3" t="s">
        <v>392</v>
      </c>
      <c r="E2226" s="3" t="s">
        <v>398</v>
      </c>
      <c r="F2226" s="16" t="n">
        <v>1</v>
      </c>
      <c r="G2226" s="15" t="n">
        <v>0.25</v>
      </c>
      <c r="H2226" s="16" t="n">
        <v>1</v>
      </c>
      <c r="I2226" s="33" t="n">
        <v>11680.2</v>
      </c>
      <c r="J2226" s="33" t="n">
        <v>15573.6</v>
      </c>
    </row>
    <row r="2227" customFormat="false" ht="15" hidden="false" customHeight="false" outlineLevel="0" collapsed="false">
      <c r="A2227" s="3" t="s">
        <v>2617</v>
      </c>
      <c r="B2227" s="3" t="s">
        <v>283</v>
      </c>
      <c r="C2227" s="3" t="s">
        <v>384</v>
      </c>
      <c r="D2227" s="3" t="s">
        <v>381</v>
      </c>
      <c r="E2227" s="3" t="s">
        <v>398</v>
      </c>
      <c r="F2227" s="16" t="n">
        <v>1</v>
      </c>
      <c r="G2227" s="15" t="n">
        <v>0</v>
      </c>
      <c r="H2227" s="16" t="n">
        <v>1</v>
      </c>
      <c r="I2227" s="33" t="n">
        <v>11676.48</v>
      </c>
      <c r="J2227" s="33" t="n">
        <v>11676.48</v>
      </c>
    </row>
    <row r="2228" customFormat="false" ht="15" hidden="false" customHeight="false" outlineLevel="0" collapsed="false">
      <c r="A2228" s="3" t="s">
        <v>2618</v>
      </c>
      <c r="B2228" s="3" t="s">
        <v>283</v>
      </c>
      <c r="C2228" s="3" t="s">
        <v>384</v>
      </c>
      <c r="D2228" s="3" t="s">
        <v>392</v>
      </c>
      <c r="E2228" s="3" t="s">
        <v>398</v>
      </c>
      <c r="F2228" s="16" t="n">
        <v>12</v>
      </c>
      <c r="G2228" s="15" t="n">
        <v>0</v>
      </c>
      <c r="H2228" s="16" t="n">
        <v>5</v>
      </c>
      <c r="I2228" s="33" t="n">
        <v>11652.84</v>
      </c>
      <c r="J2228" s="33" t="n">
        <v>11652.84</v>
      </c>
    </row>
    <row r="2229" customFormat="false" ht="15" hidden="false" customHeight="false" outlineLevel="0" collapsed="false">
      <c r="A2229" s="3" t="s">
        <v>2619</v>
      </c>
      <c r="B2229" s="3" t="s">
        <v>283</v>
      </c>
      <c r="C2229" s="3" t="s">
        <v>384</v>
      </c>
      <c r="D2229" s="3" t="s">
        <v>381</v>
      </c>
      <c r="E2229" s="3" t="s">
        <v>398</v>
      </c>
      <c r="F2229" s="16" t="n">
        <v>12</v>
      </c>
      <c r="G2229" s="15" t="n">
        <v>0</v>
      </c>
      <c r="H2229" s="16" t="n">
        <v>10</v>
      </c>
      <c r="I2229" s="33" t="n">
        <v>11649.48</v>
      </c>
      <c r="J2229" s="33" t="n">
        <v>11649.48</v>
      </c>
    </row>
    <row r="2230" customFormat="false" ht="15" hidden="false" customHeight="false" outlineLevel="0" collapsed="false">
      <c r="A2230" s="3" t="s">
        <v>2620</v>
      </c>
      <c r="B2230" s="3" t="s">
        <v>283</v>
      </c>
      <c r="C2230" s="3" t="s">
        <v>401</v>
      </c>
      <c r="D2230" s="3" t="s">
        <v>692</v>
      </c>
      <c r="E2230" s="3" t="s">
        <v>398</v>
      </c>
      <c r="F2230" s="16" t="n">
        <v>12</v>
      </c>
      <c r="G2230" s="15" t="n">
        <v>0</v>
      </c>
      <c r="H2230" s="16" t="n">
        <v>8</v>
      </c>
      <c r="I2230" s="33" t="n">
        <v>11629.92</v>
      </c>
      <c r="J2230" s="33" t="n">
        <v>11629.92</v>
      </c>
    </row>
    <row r="2231" customFormat="false" ht="15" hidden="false" customHeight="false" outlineLevel="0" collapsed="false">
      <c r="A2231" s="3" t="s">
        <v>2621</v>
      </c>
      <c r="B2231" s="3" t="s">
        <v>283</v>
      </c>
      <c r="C2231" s="3" t="s">
        <v>380</v>
      </c>
      <c r="D2231" s="3" t="s">
        <v>692</v>
      </c>
      <c r="E2231" s="3" t="s">
        <v>398</v>
      </c>
      <c r="F2231" s="16" t="n">
        <v>12</v>
      </c>
      <c r="G2231" s="15" t="n">
        <v>0</v>
      </c>
      <c r="H2231" s="16" t="n">
        <v>8</v>
      </c>
      <c r="I2231" s="33" t="n">
        <v>11627.76</v>
      </c>
      <c r="J2231" s="33" t="n">
        <v>11627.76</v>
      </c>
    </row>
    <row r="2232" customFormat="false" ht="15" hidden="false" customHeight="false" outlineLevel="0" collapsed="false">
      <c r="A2232" s="3" t="s">
        <v>2622</v>
      </c>
      <c r="B2232" s="3" t="s">
        <v>283</v>
      </c>
      <c r="C2232" s="3" t="s">
        <v>380</v>
      </c>
      <c r="D2232" s="3" t="s">
        <v>418</v>
      </c>
      <c r="E2232" s="3" t="s">
        <v>398</v>
      </c>
      <c r="F2232" s="16" t="n">
        <v>1</v>
      </c>
      <c r="G2232" s="15" t="n">
        <v>0.1</v>
      </c>
      <c r="H2232" s="16" t="n">
        <v>1</v>
      </c>
      <c r="I2232" s="33" t="n">
        <v>11621.28</v>
      </c>
      <c r="J2232" s="33" t="n">
        <v>12912.6</v>
      </c>
    </row>
    <row r="2233" customFormat="false" ht="15" hidden="false" customHeight="false" outlineLevel="0" collapsed="false">
      <c r="A2233" s="3" t="s">
        <v>2623</v>
      </c>
      <c r="B2233" s="3" t="s">
        <v>283</v>
      </c>
      <c r="C2233" s="3" t="s">
        <v>384</v>
      </c>
      <c r="D2233" s="3" t="s">
        <v>392</v>
      </c>
      <c r="E2233" s="3" t="s">
        <v>398</v>
      </c>
      <c r="F2233" s="16" t="n">
        <v>1</v>
      </c>
      <c r="G2233" s="15" t="n">
        <v>0</v>
      </c>
      <c r="H2233" s="16" t="n">
        <v>1</v>
      </c>
      <c r="I2233" s="33" t="n">
        <v>11613.6</v>
      </c>
      <c r="J2233" s="33" t="n">
        <v>11613.6</v>
      </c>
    </row>
    <row r="2234" customFormat="false" ht="15" hidden="false" customHeight="false" outlineLevel="0" collapsed="false">
      <c r="A2234" s="3" t="s">
        <v>2624</v>
      </c>
      <c r="B2234" s="3" t="s">
        <v>283</v>
      </c>
      <c r="C2234" s="3" t="s">
        <v>387</v>
      </c>
      <c r="D2234" s="3" t="s">
        <v>392</v>
      </c>
      <c r="E2234" s="3" t="s">
        <v>398</v>
      </c>
      <c r="F2234" s="16" t="n">
        <v>1</v>
      </c>
      <c r="G2234" s="15" t="n">
        <v>0</v>
      </c>
      <c r="H2234" s="16" t="n">
        <v>1</v>
      </c>
      <c r="I2234" s="33" t="n">
        <v>11591.88</v>
      </c>
      <c r="J2234" s="33" t="n">
        <v>11591.88</v>
      </c>
    </row>
    <row r="2235" customFormat="false" ht="15" hidden="false" customHeight="false" outlineLevel="0" collapsed="false">
      <c r="A2235" s="3" t="s">
        <v>2625</v>
      </c>
      <c r="B2235" s="3" t="s">
        <v>283</v>
      </c>
      <c r="C2235" s="3" t="s">
        <v>403</v>
      </c>
      <c r="D2235" s="3" t="s">
        <v>392</v>
      </c>
      <c r="E2235" s="3" t="s">
        <v>398</v>
      </c>
      <c r="F2235" s="16" t="n">
        <v>1</v>
      </c>
      <c r="G2235" s="15" t="n">
        <v>0</v>
      </c>
      <c r="H2235" s="16" t="n">
        <v>1</v>
      </c>
      <c r="I2235" s="33" t="n">
        <v>11580.72</v>
      </c>
      <c r="J2235" s="33" t="n">
        <v>11580.72</v>
      </c>
    </row>
    <row r="2236" customFormat="false" ht="15" hidden="false" customHeight="false" outlineLevel="0" collapsed="false">
      <c r="A2236" s="3" t="s">
        <v>2626</v>
      </c>
      <c r="B2236" s="3" t="s">
        <v>283</v>
      </c>
      <c r="C2236" s="3" t="s">
        <v>380</v>
      </c>
      <c r="D2236" s="3" t="s">
        <v>392</v>
      </c>
      <c r="E2236" s="3" t="s">
        <v>398</v>
      </c>
      <c r="F2236" s="16" t="n">
        <v>1</v>
      </c>
      <c r="G2236" s="15" t="n">
        <v>0</v>
      </c>
      <c r="H2236" s="16" t="n">
        <v>1</v>
      </c>
      <c r="I2236" s="33" t="n">
        <v>11579.64</v>
      </c>
      <c r="J2236" s="33" t="n">
        <v>11579.64</v>
      </c>
    </row>
    <row r="2237" customFormat="false" ht="15" hidden="false" customHeight="false" outlineLevel="0" collapsed="false">
      <c r="A2237" s="3" t="s">
        <v>2627</v>
      </c>
      <c r="B2237" s="3" t="s">
        <v>283</v>
      </c>
      <c r="C2237" s="3" t="s">
        <v>401</v>
      </c>
      <c r="D2237" s="3" t="s">
        <v>418</v>
      </c>
      <c r="E2237" s="3" t="s">
        <v>385</v>
      </c>
      <c r="F2237" s="16" t="n">
        <v>12</v>
      </c>
      <c r="G2237" s="15" t="n">
        <v>0</v>
      </c>
      <c r="H2237" s="16" t="n">
        <v>7</v>
      </c>
      <c r="I2237" s="33" t="n">
        <v>11573.76</v>
      </c>
      <c r="J2237" s="33" t="n">
        <v>11573.76</v>
      </c>
    </row>
    <row r="2238" customFormat="false" ht="15" hidden="false" customHeight="false" outlineLevel="0" collapsed="false">
      <c r="A2238" s="3" t="s">
        <v>2628</v>
      </c>
      <c r="B2238" s="3" t="s">
        <v>283</v>
      </c>
      <c r="C2238" s="3" t="s">
        <v>380</v>
      </c>
      <c r="D2238" s="3" t="s">
        <v>392</v>
      </c>
      <c r="E2238" s="3" t="s">
        <v>385</v>
      </c>
      <c r="F2238" s="16" t="n">
        <v>1</v>
      </c>
      <c r="G2238" s="15" t="n">
        <v>0</v>
      </c>
      <c r="H2238" s="16" t="n">
        <v>1</v>
      </c>
      <c r="I2238" s="33" t="n">
        <v>11537.52</v>
      </c>
      <c r="J2238" s="33" t="n">
        <v>11537.52</v>
      </c>
    </row>
    <row r="2239" customFormat="false" ht="15" hidden="false" customHeight="false" outlineLevel="0" collapsed="false">
      <c r="A2239" s="3" t="s">
        <v>2629</v>
      </c>
      <c r="B2239" s="3" t="s">
        <v>283</v>
      </c>
      <c r="C2239" s="3" t="s">
        <v>387</v>
      </c>
      <c r="D2239" s="3" t="s">
        <v>418</v>
      </c>
      <c r="E2239" s="3" t="s">
        <v>398</v>
      </c>
      <c r="F2239" s="16" t="n">
        <v>12</v>
      </c>
      <c r="G2239" s="15" t="n">
        <v>0</v>
      </c>
      <c r="H2239" s="16" t="n">
        <v>10</v>
      </c>
      <c r="I2239" s="33" t="n">
        <v>11531.76</v>
      </c>
      <c r="J2239" s="33" t="n">
        <v>11531.76</v>
      </c>
    </row>
    <row r="2240" customFormat="false" ht="15" hidden="false" customHeight="false" outlineLevel="0" collapsed="false">
      <c r="A2240" s="3" t="s">
        <v>2630</v>
      </c>
      <c r="B2240" s="3" t="s">
        <v>283</v>
      </c>
      <c r="C2240" s="3" t="s">
        <v>401</v>
      </c>
      <c r="D2240" s="3" t="s">
        <v>692</v>
      </c>
      <c r="E2240" s="3" t="s">
        <v>385</v>
      </c>
      <c r="F2240" s="16" t="n">
        <v>1</v>
      </c>
      <c r="G2240" s="15" t="n">
        <v>0</v>
      </c>
      <c r="H2240" s="16" t="n">
        <v>1</v>
      </c>
      <c r="I2240" s="33" t="n">
        <v>11517.84</v>
      </c>
      <c r="J2240" s="33" t="n">
        <v>11517.84</v>
      </c>
    </row>
    <row r="2241" customFormat="false" ht="15" hidden="false" customHeight="false" outlineLevel="0" collapsed="false">
      <c r="A2241" s="3" t="s">
        <v>2631</v>
      </c>
      <c r="B2241" s="3" t="s">
        <v>283</v>
      </c>
      <c r="C2241" s="3" t="s">
        <v>405</v>
      </c>
      <c r="D2241" s="3" t="s">
        <v>392</v>
      </c>
      <c r="E2241" s="3" t="s">
        <v>385</v>
      </c>
      <c r="F2241" s="16" t="n">
        <v>12</v>
      </c>
      <c r="G2241" s="15" t="n">
        <v>0</v>
      </c>
      <c r="H2241" s="16" t="n">
        <v>10</v>
      </c>
      <c r="I2241" s="33" t="n">
        <v>11512.92</v>
      </c>
      <c r="J2241" s="33" t="n">
        <v>11512.92</v>
      </c>
    </row>
    <row r="2242" customFormat="false" ht="15" hidden="false" customHeight="false" outlineLevel="0" collapsed="false">
      <c r="A2242" s="3" t="s">
        <v>2632</v>
      </c>
      <c r="B2242" s="3" t="s">
        <v>283</v>
      </c>
      <c r="C2242" s="3" t="s">
        <v>403</v>
      </c>
      <c r="D2242" s="3" t="s">
        <v>418</v>
      </c>
      <c r="E2242" s="3" t="s">
        <v>398</v>
      </c>
      <c r="F2242" s="16" t="n">
        <v>1</v>
      </c>
      <c r="G2242" s="15" t="n">
        <v>0</v>
      </c>
      <c r="H2242" s="16" t="n">
        <v>1</v>
      </c>
      <c r="I2242" s="33" t="n">
        <v>11501.16</v>
      </c>
      <c r="J2242" s="33" t="n">
        <v>11501.16</v>
      </c>
    </row>
    <row r="2243" customFormat="false" ht="15" hidden="false" customHeight="false" outlineLevel="0" collapsed="false">
      <c r="A2243" s="3" t="s">
        <v>2633</v>
      </c>
      <c r="B2243" s="3" t="s">
        <v>283</v>
      </c>
      <c r="C2243" s="3" t="s">
        <v>380</v>
      </c>
      <c r="D2243" s="3" t="s">
        <v>381</v>
      </c>
      <c r="E2243" s="3" t="s">
        <v>398</v>
      </c>
      <c r="F2243" s="16" t="n">
        <v>1</v>
      </c>
      <c r="G2243" s="15" t="n">
        <v>0.1</v>
      </c>
      <c r="H2243" s="16" t="n">
        <v>1</v>
      </c>
      <c r="I2243" s="33" t="n">
        <v>11494.08</v>
      </c>
      <c r="J2243" s="33" t="n">
        <v>12771.24</v>
      </c>
    </row>
    <row r="2244" customFormat="false" ht="15" hidden="false" customHeight="false" outlineLevel="0" collapsed="false">
      <c r="A2244" s="3" t="s">
        <v>2634</v>
      </c>
      <c r="B2244" s="3" t="s">
        <v>283</v>
      </c>
      <c r="C2244" s="3" t="s">
        <v>403</v>
      </c>
      <c r="D2244" s="3" t="s">
        <v>418</v>
      </c>
      <c r="E2244" s="3" t="s">
        <v>398</v>
      </c>
      <c r="F2244" s="16" t="n">
        <v>1</v>
      </c>
      <c r="G2244" s="15" t="n">
        <v>0</v>
      </c>
      <c r="H2244" s="16" t="n">
        <v>1</v>
      </c>
      <c r="I2244" s="33" t="n">
        <v>11484.96</v>
      </c>
      <c r="J2244" s="33" t="n">
        <v>11484.96</v>
      </c>
    </row>
    <row r="2245" customFormat="false" ht="15" hidden="false" customHeight="false" outlineLevel="0" collapsed="false">
      <c r="A2245" s="3" t="s">
        <v>2635</v>
      </c>
      <c r="B2245" s="3" t="s">
        <v>283</v>
      </c>
      <c r="C2245" s="3" t="s">
        <v>405</v>
      </c>
      <c r="D2245" s="3" t="s">
        <v>692</v>
      </c>
      <c r="E2245" s="3" t="s">
        <v>398</v>
      </c>
      <c r="F2245" s="16" t="n">
        <v>1</v>
      </c>
      <c r="G2245" s="15" t="n">
        <v>0</v>
      </c>
      <c r="H2245" s="16" t="n">
        <v>1</v>
      </c>
      <c r="I2245" s="33" t="n">
        <v>11483.04</v>
      </c>
      <c r="J2245" s="33" t="n">
        <v>11483.04</v>
      </c>
    </row>
    <row r="2246" customFormat="false" ht="15" hidden="false" customHeight="false" outlineLevel="0" collapsed="false">
      <c r="A2246" s="3" t="s">
        <v>2636</v>
      </c>
      <c r="B2246" s="3" t="s">
        <v>283</v>
      </c>
      <c r="C2246" s="3" t="s">
        <v>384</v>
      </c>
      <c r="D2246" s="3" t="s">
        <v>381</v>
      </c>
      <c r="E2246" s="3" t="s">
        <v>385</v>
      </c>
      <c r="F2246" s="16" t="n">
        <v>12</v>
      </c>
      <c r="G2246" s="15" t="n">
        <v>0</v>
      </c>
      <c r="H2246" s="16" t="n">
        <v>4</v>
      </c>
      <c r="I2246" s="33" t="n">
        <v>11481.96</v>
      </c>
      <c r="J2246" s="33" t="n">
        <v>11481.96</v>
      </c>
    </row>
    <row r="2247" customFormat="false" ht="15" hidden="false" customHeight="false" outlineLevel="0" collapsed="false">
      <c r="A2247" s="3" t="s">
        <v>2637</v>
      </c>
      <c r="B2247" s="3" t="s">
        <v>283</v>
      </c>
      <c r="C2247" s="3" t="s">
        <v>384</v>
      </c>
      <c r="D2247" s="3" t="s">
        <v>392</v>
      </c>
      <c r="E2247" s="3" t="s">
        <v>398</v>
      </c>
      <c r="F2247" s="16" t="n">
        <v>12</v>
      </c>
      <c r="G2247" s="15" t="n">
        <v>0</v>
      </c>
      <c r="H2247" s="16" t="n">
        <v>5</v>
      </c>
      <c r="I2247" s="33" t="n">
        <v>11457.48</v>
      </c>
      <c r="J2247" s="33" t="n">
        <v>11457.48</v>
      </c>
    </row>
    <row r="2248" customFormat="false" ht="15" hidden="false" customHeight="false" outlineLevel="0" collapsed="false">
      <c r="A2248" s="3" t="s">
        <v>2638</v>
      </c>
      <c r="B2248" s="3" t="s">
        <v>283</v>
      </c>
      <c r="C2248" s="3" t="s">
        <v>387</v>
      </c>
      <c r="D2248" s="3" t="s">
        <v>418</v>
      </c>
      <c r="E2248" s="3" t="s">
        <v>398</v>
      </c>
      <c r="F2248" s="16" t="n">
        <v>1</v>
      </c>
      <c r="G2248" s="15" t="n">
        <v>0</v>
      </c>
      <c r="H2248" s="16" t="n">
        <v>1</v>
      </c>
      <c r="I2248" s="33" t="n">
        <v>11447.4</v>
      </c>
      <c r="J2248" s="33" t="n">
        <v>11447.4</v>
      </c>
    </row>
    <row r="2249" customFormat="false" ht="15" hidden="false" customHeight="false" outlineLevel="0" collapsed="false">
      <c r="A2249" s="3" t="s">
        <v>2639</v>
      </c>
      <c r="B2249" s="3" t="s">
        <v>283</v>
      </c>
      <c r="C2249" s="3" t="s">
        <v>380</v>
      </c>
      <c r="D2249" s="3" t="s">
        <v>418</v>
      </c>
      <c r="E2249" s="3" t="s">
        <v>398</v>
      </c>
      <c r="F2249" s="16" t="n">
        <v>1</v>
      </c>
      <c r="G2249" s="15" t="n">
        <v>0</v>
      </c>
      <c r="H2249" s="16" t="n">
        <v>1</v>
      </c>
      <c r="I2249" s="33" t="n">
        <v>11424.72</v>
      </c>
      <c r="J2249" s="33" t="n">
        <v>11424.72</v>
      </c>
    </row>
    <row r="2250" customFormat="false" ht="15" hidden="false" customHeight="false" outlineLevel="0" collapsed="false">
      <c r="A2250" s="3" t="s">
        <v>2640</v>
      </c>
      <c r="B2250" s="3" t="s">
        <v>283</v>
      </c>
      <c r="C2250" s="3" t="s">
        <v>403</v>
      </c>
      <c r="D2250" s="3" t="s">
        <v>418</v>
      </c>
      <c r="E2250" s="3" t="s">
        <v>382</v>
      </c>
      <c r="F2250" s="16" t="n">
        <v>1</v>
      </c>
      <c r="G2250" s="15" t="n">
        <v>0</v>
      </c>
      <c r="H2250" s="16" t="n">
        <v>1</v>
      </c>
      <c r="I2250" s="33" t="n">
        <v>11415.36</v>
      </c>
      <c r="J2250" s="33" t="n">
        <v>11415.36</v>
      </c>
    </row>
    <row r="2251" customFormat="false" ht="15" hidden="false" customHeight="false" outlineLevel="0" collapsed="false">
      <c r="A2251" s="3" t="s">
        <v>2641</v>
      </c>
      <c r="B2251" s="3" t="s">
        <v>283</v>
      </c>
      <c r="C2251" s="3" t="s">
        <v>384</v>
      </c>
      <c r="D2251" s="3" t="s">
        <v>418</v>
      </c>
      <c r="E2251" s="3" t="s">
        <v>398</v>
      </c>
      <c r="F2251" s="16" t="n">
        <v>12</v>
      </c>
      <c r="G2251" s="15" t="n">
        <v>0</v>
      </c>
      <c r="H2251" s="16" t="n">
        <v>1</v>
      </c>
      <c r="I2251" s="33" t="n">
        <v>11404.32</v>
      </c>
      <c r="J2251" s="33" t="n">
        <v>11404.32</v>
      </c>
    </row>
    <row r="2252" customFormat="false" ht="15" hidden="false" customHeight="false" outlineLevel="0" collapsed="false">
      <c r="A2252" s="3" t="s">
        <v>2642</v>
      </c>
      <c r="B2252" s="3" t="s">
        <v>283</v>
      </c>
      <c r="C2252" s="3" t="s">
        <v>405</v>
      </c>
      <c r="D2252" s="3" t="s">
        <v>692</v>
      </c>
      <c r="E2252" s="3" t="s">
        <v>382</v>
      </c>
      <c r="F2252" s="16" t="n">
        <v>12</v>
      </c>
      <c r="G2252" s="15" t="n">
        <v>0.15</v>
      </c>
      <c r="H2252" s="16" t="n">
        <v>8</v>
      </c>
      <c r="I2252" s="33" t="n">
        <v>11379.72</v>
      </c>
      <c r="J2252" s="33" t="n">
        <v>13387.92</v>
      </c>
    </row>
    <row r="2253" customFormat="false" ht="15" hidden="false" customHeight="false" outlineLevel="0" collapsed="false">
      <c r="A2253" s="3" t="s">
        <v>2643</v>
      </c>
      <c r="B2253" s="3" t="s">
        <v>283</v>
      </c>
      <c r="C2253" s="3" t="s">
        <v>405</v>
      </c>
      <c r="D2253" s="3" t="s">
        <v>392</v>
      </c>
      <c r="E2253" s="3" t="s">
        <v>398</v>
      </c>
      <c r="F2253" s="16" t="n">
        <v>1</v>
      </c>
      <c r="G2253" s="15" t="n">
        <v>0</v>
      </c>
      <c r="H2253" s="16" t="n">
        <v>1</v>
      </c>
      <c r="I2253" s="33" t="n">
        <v>11365.08</v>
      </c>
      <c r="J2253" s="33" t="n">
        <v>11365.08</v>
      </c>
    </row>
    <row r="2254" customFormat="false" ht="15" hidden="false" customHeight="false" outlineLevel="0" collapsed="false">
      <c r="A2254" s="3" t="s">
        <v>2644</v>
      </c>
      <c r="B2254" s="3" t="s">
        <v>283</v>
      </c>
      <c r="C2254" s="3" t="s">
        <v>401</v>
      </c>
      <c r="D2254" s="3" t="s">
        <v>392</v>
      </c>
      <c r="E2254" s="3" t="s">
        <v>398</v>
      </c>
      <c r="F2254" s="16" t="n">
        <v>1</v>
      </c>
      <c r="G2254" s="15" t="n">
        <v>0</v>
      </c>
      <c r="H2254" s="16" t="n">
        <v>1</v>
      </c>
      <c r="I2254" s="33" t="n">
        <v>11363.52</v>
      </c>
      <c r="J2254" s="33" t="n">
        <v>11363.52</v>
      </c>
    </row>
    <row r="2255" customFormat="false" ht="15" hidden="false" customHeight="false" outlineLevel="0" collapsed="false">
      <c r="A2255" s="3" t="s">
        <v>2645</v>
      </c>
      <c r="B2255" s="3" t="s">
        <v>283</v>
      </c>
      <c r="C2255" s="3" t="s">
        <v>401</v>
      </c>
      <c r="D2255" s="3" t="s">
        <v>388</v>
      </c>
      <c r="E2255" s="3" t="s">
        <v>398</v>
      </c>
      <c r="F2255" s="16" t="n">
        <v>12</v>
      </c>
      <c r="G2255" s="15" t="n">
        <v>0</v>
      </c>
      <c r="H2255" s="16" t="n">
        <v>7</v>
      </c>
      <c r="I2255" s="33" t="n">
        <v>11363.28</v>
      </c>
      <c r="J2255" s="33" t="n">
        <v>11363.28</v>
      </c>
    </row>
    <row r="2256" customFormat="false" ht="15" hidden="false" customHeight="false" outlineLevel="0" collapsed="false">
      <c r="A2256" s="3" t="s">
        <v>2646</v>
      </c>
      <c r="B2256" s="3" t="s">
        <v>283</v>
      </c>
      <c r="C2256" s="3" t="s">
        <v>405</v>
      </c>
      <c r="D2256" s="3" t="s">
        <v>392</v>
      </c>
      <c r="E2256" s="3" t="s">
        <v>398</v>
      </c>
      <c r="F2256" s="16" t="n">
        <v>1</v>
      </c>
      <c r="G2256" s="15" t="n">
        <v>0.2</v>
      </c>
      <c r="H2256" s="16" t="n">
        <v>1</v>
      </c>
      <c r="I2256" s="33" t="n">
        <v>11357.76</v>
      </c>
      <c r="J2256" s="33" t="n">
        <v>14197.2</v>
      </c>
    </row>
    <row r="2257" customFormat="false" ht="15" hidden="false" customHeight="false" outlineLevel="0" collapsed="false">
      <c r="A2257" s="3" t="s">
        <v>2647</v>
      </c>
      <c r="B2257" s="3" t="s">
        <v>283</v>
      </c>
      <c r="C2257" s="3" t="s">
        <v>387</v>
      </c>
      <c r="D2257" s="3" t="s">
        <v>381</v>
      </c>
      <c r="E2257" s="3" t="s">
        <v>398</v>
      </c>
      <c r="F2257" s="16" t="n">
        <v>1</v>
      </c>
      <c r="G2257" s="15" t="n">
        <v>0</v>
      </c>
      <c r="H2257" s="16" t="n">
        <v>1</v>
      </c>
      <c r="I2257" s="33" t="n">
        <v>11347.08</v>
      </c>
      <c r="J2257" s="33" t="n">
        <v>11347.08</v>
      </c>
    </row>
    <row r="2258" customFormat="false" ht="15" hidden="false" customHeight="false" outlineLevel="0" collapsed="false">
      <c r="A2258" s="3" t="s">
        <v>2648</v>
      </c>
      <c r="B2258" s="3" t="s">
        <v>283</v>
      </c>
      <c r="C2258" s="3" t="s">
        <v>384</v>
      </c>
      <c r="D2258" s="3" t="s">
        <v>392</v>
      </c>
      <c r="E2258" s="3" t="s">
        <v>398</v>
      </c>
      <c r="F2258" s="16" t="n">
        <v>1</v>
      </c>
      <c r="G2258" s="15" t="n">
        <v>0</v>
      </c>
      <c r="H2258" s="16" t="n">
        <v>1</v>
      </c>
      <c r="I2258" s="33" t="n">
        <v>11346.24</v>
      </c>
      <c r="J2258" s="33" t="n">
        <v>11346.24</v>
      </c>
    </row>
    <row r="2259" customFormat="false" ht="15" hidden="false" customHeight="false" outlineLevel="0" collapsed="false">
      <c r="A2259" s="3" t="s">
        <v>2649</v>
      </c>
      <c r="B2259" s="3" t="s">
        <v>283</v>
      </c>
      <c r="C2259" s="3" t="s">
        <v>401</v>
      </c>
      <c r="D2259" s="3" t="s">
        <v>692</v>
      </c>
      <c r="E2259" s="3" t="s">
        <v>398</v>
      </c>
      <c r="F2259" s="16" t="n">
        <v>1</v>
      </c>
      <c r="G2259" s="15" t="n">
        <v>0</v>
      </c>
      <c r="H2259" s="16" t="n">
        <v>1</v>
      </c>
      <c r="I2259" s="33" t="n">
        <v>11344.68</v>
      </c>
      <c r="J2259" s="33" t="n">
        <v>11344.68</v>
      </c>
    </row>
    <row r="2260" customFormat="false" ht="15" hidden="false" customHeight="false" outlineLevel="0" collapsed="false">
      <c r="A2260" s="3" t="s">
        <v>2650</v>
      </c>
      <c r="B2260" s="3" t="s">
        <v>283</v>
      </c>
      <c r="C2260" s="3" t="s">
        <v>403</v>
      </c>
      <c r="D2260" s="3" t="s">
        <v>381</v>
      </c>
      <c r="E2260" s="3" t="s">
        <v>398</v>
      </c>
      <c r="F2260" s="16" t="n">
        <v>12</v>
      </c>
      <c r="G2260" s="15" t="n">
        <v>0.1</v>
      </c>
      <c r="H2260" s="16" t="n">
        <v>3</v>
      </c>
      <c r="I2260" s="33" t="n">
        <v>11339.28</v>
      </c>
      <c r="J2260" s="33" t="n">
        <v>12599.16</v>
      </c>
    </row>
    <row r="2261" customFormat="false" ht="15" hidden="false" customHeight="false" outlineLevel="0" collapsed="false">
      <c r="A2261" s="3" t="s">
        <v>2651</v>
      </c>
      <c r="B2261" s="3" t="s">
        <v>283</v>
      </c>
      <c r="C2261" s="3" t="s">
        <v>401</v>
      </c>
      <c r="D2261" s="3" t="s">
        <v>388</v>
      </c>
      <c r="E2261" s="3" t="s">
        <v>382</v>
      </c>
      <c r="F2261" s="16" t="n">
        <v>1</v>
      </c>
      <c r="G2261" s="15" t="n">
        <v>0</v>
      </c>
      <c r="H2261" s="16" t="n">
        <v>1</v>
      </c>
      <c r="I2261" s="33" t="n">
        <v>11336.76</v>
      </c>
      <c r="J2261" s="33" t="n">
        <v>11336.76</v>
      </c>
    </row>
    <row r="2262" customFormat="false" ht="15" hidden="false" customHeight="false" outlineLevel="0" collapsed="false">
      <c r="A2262" s="3" t="s">
        <v>2652</v>
      </c>
      <c r="B2262" s="3" t="s">
        <v>283</v>
      </c>
      <c r="C2262" s="3" t="s">
        <v>387</v>
      </c>
      <c r="D2262" s="3" t="s">
        <v>418</v>
      </c>
      <c r="E2262" s="3" t="s">
        <v>398</v>
      </c>
      <c r="F2262" s="16" t="n">
        <v>1</v>
      </c>
      <c r="G2262" s="15" t="n">
        <v>0</v>
      </c>
      <c r="H2262" s="16" t="n">
        <v>1</v>
      </c>
      <c r="I2262" s="33" t="n">
        <v>11334</v>
      </c>
      <c r="J2262" s="33" t="n">
        <v>11334</v>
      </c>
    </row>
    <row r="2263" customFormat="false" ht="15" hidden="false" customHeight="false" outlineLevel="0" collapsed="false">
      <c r="A2263" s="3" t="s">
        <v>2653</v>
      </c>
      <c r="B2263" s="3" t="s">
        <v>283</v>
      </c>
      <c r="C2263" s="3" t="s">
        <v>403</v>
      </c>
      <c r="D2263" s="3" t="s">
        <v>692</v>
      </c>
      <c r="E2263" s="3" t="s">
        <v>385</v>
      </c>
      <c r="F2263" s="16" t="n">
        <v>12</v>
      </c>
      <c r="G2263" s="15" t="n">
        <v>0</v>
      </c>
      <c r="H2263" s="16" t="n">
        <v>9</v>
      </c>
      <c r="I2263" s="33" t="n">
        <v>11323.8</v>
      </c>
      <c r="J2263" s="33" t="n">
        <v>11323.8</v>
      </c>
    </row>
    <row r="2264" customFormat="false" ht="15" hidden="false" customHeight="false" outlineLevel="0" collapsed="false">
      <c r="A2264" s="3" t="s">
        <v>2654</v>
      </c>
      <c r="B2264" s="3" t="s">
        <v>283</v>
      </c>
      <c r="C2264" s="3" t="s">
        <v>403</v>
      </c>
      <c r="D2264" s="3" t="s">
        <v>692</v>
      </c>
      <c r="E2264" s="3" t="s">
        <v>398</v>
      </c>
      <c r="F2264" s="16" t="n">
        <v>12</v>
      </c>
      <c r="G2264" s="15" t="n">
        <v>0</v>
      </c>
      <c r="H2264" s="16" t="n">
        <v>7</v>
      </c>
      <c r="I2264" s="33" t="n">
        <v>11322.24</v>
      </c>
      <c r="J2264" s="33" t="n">
        <v>11322.24</v>
      </c>
    </row>
    <row r="2265" customFormat="false" ht="15" hidden="false" customHeight="false" outlineLevel="0" collapsed="false">
      <c r="A2265" s="3" t="s">
        <v>2655</v>
      </c>
      <c r="B2265" s="3" t="s">
        <v>283</v>
      </c>
      <c r="C2265" s="3" t="s">
        <v>403</v>
      </c>
      <c r="D2265" s="3" t="s">
        <v>392</v>
      </c>
      <c r="E2265" s="3" t="s">
        <v>398</v>
      </c>
      <c r="F2265" s="16" t="n">
        <v>12</v>
      </c>
      <c r="G2265" s="15" t="n">
        <v>0</v>
      </c>
      <c r="H2265" s="16" t="n">
        <v>2</v>
      </c>
      <c r="I2265" s="33" t="n">
        <v>11321.52</v>
      </c>
      <c r="J2265" s="33" t="n">
        <v>11321.52</v>
      </c>
    </row>
    <row r="2266" customFormat="false" ht="15" hidden="false" customHeight="false" outlineLevel="0" collapsed="false">
      <c r="A2266" s="3" t="s">
        <v>2656</v>
      </c>
      <c r="B2266" s="3" t="s">
        <v>283</v>
      </c>
      <c r="C2266" s="3" t="s">
        <v>384</v>
      </c>
      <c r="D2266" s="3" t="s">
        <v>418</v>
      </c>
      <c r="E2266" s="3" t="s">
        <v>398</v>
      </c>
      <c r="F2266" s="16" t="n">
        <v>12</v>
      </c>
      <c r="G2266" s="15" t="n">
        <v>0.075</v>
      </c>
      <c r="H2266" s="16" t="n">
        <v>7</v>
      </c>
      <c r="I2266" s="33" t="n">
        <v>11316.72</v>
      </c>
      <c r="J2266" s="33" t="n">
        <v>12234.36</v>
      </c>
    </row>
    <row r="2267" customFormat="false" ht="15" hidden="false" customHeight="false" outlineLevel="0" collapsed="false">
      <c r="A2267" s="3" t="s">
        <v>2657</v>
      </c>
      <c r="B2267" s="3" t="s">
        <v>283</v>
      </c>
      <c r="C2267" s="3" t="s">
        <v>401</v>
      </c>
      <c r="D2267" s="3" t="s">
        <v>418</v>
      </c>
      <c r="E2267" s="3" t="s">
        <v>382</v>
      </c>
      <c r="F2267" s="16" t="n">
        <v>1</v>
      </c>
      <c r="G2267" s="15" t="n">
        <v>0</v>
      </c>
      <c r="H2267" s="16" t="n">
        <v>1</v>
      </c>
      <c r="I2267" s="33" t="n">
        <v>11312.16</v>
      </c>
      <c r="J2267" s="33" t="n">
        <v>11312.16</v>
      </c>
    </row>
    <row r="2268" customFormat="false" ht="15" hidden="false" customHeight="false" outlineLevel="0" collapsed="false">
      <c r="A2268" s="3" t="s">
        <v>2658</v>
      </c>
      <c r="B2268" s="3" t="s">
        <v>283</v>
      </c>
      <c r="C2268" s="3" t="s">
        <v>380</v>
      </c>
      <c r="D2268" s="3" t="s">
        <v>381</v>
      </c>
      <c r="E2268" s="3" t="s">
        <v>385</v>
      </c>
      <c r="F2268" s="16" t="n">
        <v>12</v>
      </c>
      <c r="G2268" s="15" t="n">
        <v>0.4</v>
      </c>
      <c r="H2268" s="16" t="n">
        <v>7</v>
      </c>
      <c r="I2268" s="33" t="n">
        <v>11295.96</v>
      </c>
      <c r="J2268" s="33" t="n">
        <v>18826.56</v>
      </c>
    </row>
    <row r="2269" customFormat="false" ht="15" hidden="false" customHeight="false" outlineLevel="0" collapsed="false">
      <c r="A2269" s="3" t="s">
        <v>2659</v>
      </c>
      <c r="B2269" s="3" t="s">
        <v>283</v>
      </c>
      <c r="C2269" s="3" t="s">
        <v>384</v>
      </c>
      <c r="D2269" s="3" t="s">
        <v>418</v>
      </c>
      <c r="E2269" s="3" t="s">
        <v>385</v>
      </c>
      <c r="F2269" s="16" t="n">
        <v>1</v>
      </c>
      <c r="G2269" s="15" t="n">
        <v>0</v>
      </c>
      <c r="H2269" s="16" t="n">
        <v>1</v>
      </c>
      <c r="I2269" s="33" t="n">
        <v>11291.76</v>
      </c>
      <c r="J2269" s="33" t="n">
        <v>11291.76</v>
      </c>
    </row>
    <row r="2270" customFormat="false" ht="15" hidden="false" customHeight="false" outlineLevel="0" collapsed="false">
      <c r="A2270" s="3" t="s">
        <v>2660</v>
      </c>
      <c r="B2270" s="3" t="s">
        <v>283</v>
      </c>
      <c r="C2270" s="3" t="s">
        <v>403</v>
      </c>
      <c r="D2270" s="3" t="s">
        <v>692</v>
      </c>
      <c r="E2270" s="3" t="s">
        <v>385</v>
      </c>
      <c r="F2270" s="16" t="n">
        <v>1</v>
      </c>
      <c r="G2270" s="15" t="n">
        <v>0</v>
      </c>
      <c r="H2270" s="16" t="n">
        <v>1</v>
      </c>
      <c r="I2270" s="33" t="n">
        <v>11285.64</v>
      </c>
      <c r="J2270" s="33" t="n">
        <v>11285.64</v>
      </c>
    </row>
    <row r="2271" customFormat="false" ht="15" hidden="false" customHeight="false" outlineLevel="0" collapsed="false">
      <c r="A2271" s="3" t="s">
        <v>2661</v>
      </c>
      <c r="B2271" s="3" t="s">
        <v>283</v>
      </c>
      <c r="C2271" s="3" t="s">
        <v>396</v>
      </c>
      <c r="D2271" s="3" t="s">
        <v>418</v>
      </c>
      <c r="E2271" s="3" t="s">
        <v>382</v>
      </c>
      <c r="F2271" s="16" t="n">
        <v>1</v>
      </c>
      <c r="G2271" s="15" t="n">
        <v>0.3</v>
      </c>
      <c r="H2271" s="16" t="n">
        <v>1</v>
      </c>
      <c r="I2271" s="33" t="n">
        <v>11278.2</v>
      </c>
      <c r="J2271" s="33" t="n">
        <v>16111.68</v>
      </c>
    </row>
    <row r="2272" customFormat="false" ht="15" hidden="false" customHeight="false" outlineLevel="0" collapsed="false">
      <c r="A2272" s="3" t="s">
        <v>2662</v>
      </c>
      <c r="B2272" s="3" t="s">
        <v>283</v>
      </c>
      <c r="C2272" s="3" t="s">
        <v>401</v>
      </c>
      <c r="D2272" s="3" t="s">
        <v>392</v>
      </c>
      <c r="E2272" s="3" t="s">
        <v>398</v>
      </c>
      <c r="F2272" s="16" t="n">
        <v>12</v>
      </c>
      <c r="G2272" s="15" t="n">
        <v>0</v>
      </c>
      <c r="H2272" s="16" t="n">
        <v>2</v>
      </c>
      <c r="I2272" s="33" t="n">
        <v>11275.2</v>
      </c>
      <c r="J2272" s="33" t="n">
        <v>11275.2</v>
      </c>
    </row>
    <row r="2273" customFormat="false" ht="15" hidden="false" customHeight="false" outlineLevel="0" collapsed="false">
      <c r="A2273" s="3" t="s">
        <v>2663</v>
      </c>
      <c r="B2273" s="3" t="s">
        <v>283</v>
      </c>
      <c r="C2273" s="3" t="s">
        <v>380</v>
      </c>
      <c r="D2273" s="3" t="s">
        <v>392</v>
      </c>
      <c r="E2273" s="3" t="s">
        <v>385</v>
      </c>
      <c r="F2273" s="16" t="n">
        <v>1</v>
      </c>
      <c r="G2273" s="15" t="n">
        <v>0</v>
      </c>
      <c r="H2273" s="16" t="n">
        <v>1</v>
      </c>
      <c r="I2273" s="33" t="n">
        <v>11273.4</v>
      </c>
      <c r="J2273" s="33" t="n">
        <v>11273.4</v>
      </c>
    </row>
    <row r="2274" customFormat="false" ht="15" hidden="false" customHeight="false" outlineLevel="0" collapsed="false">
      <c r="A2274" s="3" t="s">
        <v>2664</v>
      </c>
      <c r="B2274" s="3" t="s">
        <v>283</v>
      </c>
      <c r="C2274" s="3" t="s">
        <v>403</v>
      </c>
      <c r="D2274" s="3" t="s">
        <v>692</v>
      </c>
      <c r="E2274" s="3" t="s">
        <v>398</v>
      </c>
      <c r="F2274" s="16" t="n">
        <v>1</v>
      </c>
      <c r="G2274" s="15" t="n">
        <v>0.15</v>
      </c>
      <c r="H2274" s="16" t="n">
        <v>1</v>
      </c>
      <c r="I2274" s="33" t="n">
        <v>11265.6</v>
      </c>
      <c r="J2274" s="33" t="n">
        <v>13253.64</v>
      </c>
    </row>
    <row r="2275" customFormat="false" ht="15" hidden="false" customHeight="false" outlineLevel="0" collapsed="false">
      <c r="A2275" s="3" t="s">
        <v>2665</v>
      </c>
      <c r="B2275" s="3" t="s">
        <v>283</v>
      </c>
      <c r="C2275" s="3" t="s">
        <v>387</v>
      </c>
      <c r="D2275" s="3" t="s">
        <v>392</v>
      </c>
      <c r="E2275" s="3" t="s">
        <v>398</v>
      </c>
      <c r="F2275" s="16" t="n">
        <v>1</v>
      </c>
      <c r="G2275" s="15" t="n">
        <v>0</v>
      </c>
      <c r="H2275" s="16" t="n">
        <v>1</v>
      </c>
      <c r="I2275" s="33" t="n">
        <v>11265.12</v>
      </c>
      <c r="J2275" s="33" t="n">
        <v>11265.12</v>
      </c>
    </row>
    <row r="2276" customFormat="false" ht="15" hidden="false" customHeight="false" outlineLevel="0" collapsed="false">
      <c r="A2276" s="3" t="s">
        <v>2666</v>
      </c>
      <c r="B2276" s="3" t="s">
        <v>283</v>
      </c>
      <c r="C2276" s="3" t="s">
        <v>403</v>
      </c>
      <c r="D2276" s="3" t="s">
        <v>692</v>
      </c>
      <c r="E2276" s="3" t="s">
        <v>385</v>
      </c>
      <c r="F2276" s="16" t="n">
        <v>12</v>
      </c>
      <c r="G2276" s="15" t="n">
        <v>0</v>
      </c>
      <c r="H2276" s="16" t="n">
        <v>11</v>
      </c>
      <c r="I2276" s="33" t="n">
        <v>11253.72</v>
      </c>
      <c r="J2276" s="33" t="n">
        <v>11253.72</v>
      </c>
    </row>
    <row r="2277" customFormat="false" ht="15" hidden="false" customHeight="false" outlineLevel="0" collapsed="false">
      <c r="A2277" s="3" t="s">
        <v>2667</v>
      </c>
      <c r="B2277" s="3" t="s">
        <v>283</v>
      </c>
      <c r="C2277" s="3" t="s">
        <v>405</v>
      </c>
      <c r="D2277" s="3" t="s">
        <v>392</v>
      </c>
      <c r="E2277" s="3" t="s">
        <v>398</v>
      </c>
      <c r="F2277" s="16" t="n">
        <v>1</v>
      </c>
      <c r="G2277" s="15" t="n">
        <v>0</v>
      </c>
      <c r="H2277" s="16" t="n">
        <v>1</v>
      </c>
      <c r="I2277" s="33" t="n">
        <v>11252.64</v>
      </c>
      <c r="J2277" s="33" t="n">
        <v>11252.64</v>
      </c>
    </row>
    <row r="2278" customFormat="false" ht="15" hidden="false" customHeight="false" outlineLevel="0" collapsed="false">
      <c r="A2278" s="3" t="s">
        <v>2668</v>
      </c>
      <c r="B2278" s="3" t="s">
        <v>283</v>
      </c>
      <c r="C2278" s="3" t="s">
        <v>387</v>
      </c>
      <c r="D2278" s="3" t="s">
        <v>388</v>
      </c>
      <c r="E2278" s="3" t="s">
        <v>398</v>
      </c>
      <c r="F2278" s="16" t="n">
        <v>1</v>
      </c>
      <c r="G2278" s="15" t="n">
        <v>0</v>
      </c>
      <c r="H2278" s="16" t="n">
        <v>1</v>
      </c>
      <c r="I2278" s="33" t="n">
        <v>11235.96</v>
      </c>
      <c r="J2278" s="33" t="n">
        <v>11235.96</v>
      </c>
    </row>
    <row r="2279" customFormat="false" ht="15" hidden="false" customHeight="false" outlineLevel="0" collapsed="false">
      <c r="A2279" s="3" t="s">
        <v>2669</v>
      </c>
      <c r="B2279" s="3" t="s">
        <v>283</v>
      </c>
      <c r="C2279" s="3" t="s">
        <v>401</v>
      </c>
      <c r="D2279" s="3" t="s">
        <v>692</v>
      </c>
      <c r="E2279" s="3" t="s">
        <v>382</v>
      </c>
      <c r="F2279" s="16" t="n">
        <v>12</v>
      </c>
      <c r="G2279" s="15" t="n">
        <v>0</v>
      </c>
      <c r="H2279" s="16" t="n">
        <v>4</v>
      </c>
      <c r="I2279" s="33" t="n">
        <v>11234.64</v>
      </c>
      <c r="J2279" s="33" t="n">
        <v>11234.64</v>
      </c>
    </row>
    <row r="2280" customFormat="false" ht="15" hidden="false" customHeight="false" outlineLevel="0" collapsed="false">
      <c r="A2280" s="3" t="s">
        <v>2670</v>
      </c>
      <c r="B2280" s="3" t="s">
        <v>283</v>
      </c>
      <c r="C2280" s="3" t="s">
        <v>401</v>
      </c>
      <c r="D2280" s="3" t="s">
        <v>692</v>
      </c>
      <c r="E2280" s="3" t="s">
        <v>398</v>
      </c>
      <c r="F2280" s="16" t="n">
        <v>12</v>
      </c>
      <c r="G2280" s="15" t="n">
        <v>0.3</v>
      </c>
      <c r="H2280" s="16" t="n">
        <v>5</v>
      </c>
      <c r="I2280" s="33" t="n">
        <v>11233.32</v>
      </c>
      <c r="J2280" s="33" t="n">
        <v>16047.6</v>
      </c>
    </row>
    <row r="2281" customFormat="false" ht="15" hidden="false" customHeight="false" outlineLevel="0" collapsed="false">
      <c r="A2281" s="3" t="s">
        <v>2671</v>
      </c>
      <c r="B2281" s="3" t="s">
        <v>283</v>
      </c>
      <c r="C2281" s="3" t="s">
        <v>405</v>
      </c>
      <c r="D2281" s="3" t="s">
        <v>418</v>
      </c>
      <c r="E2281" s="3" t="s">
        <v>398</v>
      </c>
      <c r="F2281" s="16" t="n">
        <v>1</v>
      </c>
      <c r="G2281" s="15" t="n">
        <v>0</v>
      </c>
      <c r="H2281" s="16" t="n">
        <v>1</v>
      </c>
      <c r="I2281" s="33" t="n">
        <v>11210.16</v>
      </c>
      <c r="J2281" s="33" t="n">
        <v>11210.16</v>
      </c>
    </row>
    <row r="2282" customFormat="false" ht="15" hidden="false" customHeight="false" outlineLevel="0" collapsed="false">
      <c r="A2282" s="3" t="s">
        <v>2672</v>
      </c>
      <c r="B2282" s="3" t="s">
        <v>283</v>
      </c>
      <c r="C2282" s="3" t="s">
        <v>380</v>
      </c>
      <c r="D2282" s="3" t="s">
        <v>392</v>
      </c>
      <c r="E2282" s="3" t="s">
        <v>398</v>
      </c>
      <c r="F2282" s="16" t="n">
        <v>12</v>
      </c>
      <c r="G2282" s="15" t="n">
        <v>0.1</v>
      </c>
      <c r="H2282" s="16" t="n">
        <v>6</v>
      </c>
      <c r="I2282" s="33" t="n">
        <v>11199.36</v>
      </c>
      <c r="J2282" s="33" t="n">
        <v>12443.76</v>
      </c>
    </row>
    <row r="2283" customFormat="false" ht="15" hidden="false" customHeight="false" outlineLevel="0" collapsed="false">
      <c r="A2283" s="3" t="s">
        <v>2673</v>
      </c>
      <c r="B2283" s="3" t="s">
        <v>283</v>
      </c>
      <c r="C2283" s="3" t="s">
        <v>405</v>
      </c>
      <c r="D2283" s="3" t="s">
        <v>418</v>
      </c>
      <c r="E2283" s="3" t="s">
        <v>398</v>
      </c>
      <c r="F2283" s="16" t="n">
        <v>12</v>
      </c>
      <c r="G2283" s="15" t="n">
        <v>0.075</v>
      </c>
      <c r="H2283" s="16" t="n">
        <v>5</v>
      </c>
      <c r="I2283" s="33" t="n">
        <v>11190.84</v>
      </c>
      <c r="J2283" s="33" t="n">
        <v>12098.16</v>
      </c>
    </row>
    <row r="2284" customFormat="false" ht="15" hidden="false" customHeight="false" outlineLevel="0" collapsed="false">
      <c r="A2284" s="3" t="s">
        <v>2674</v>
      </c>
      <c r="B2284" s="3" t="s">
        <v>283</v>
      </c>
      <c r="C2284" s="3" t="s">
        <v>387</v>
      </c>
      <c r="D2284" s="3" t="s">
        <v>392</v>
      </c>
      <c r="E2284" s="3" t="s">
        <v>398</v>
      </c>
      <c r="F2284" s="16" t="n">
        <v>12</v>
      </c>
      <c r="G2284" s="15" t="n">
        <v>0</v>
      </c>
      <c r="H2284" s="16" t="n">
        <v>9</v>
      </c>
      <c r="I2284" s="33" t="n">
        <v>11181.72</v>
      </c>
      <c r="J2284" s="33" t="n">
        <v>11181.72</v>
      </c>
    </row>
    <row r="2285" customFormat="false" ht="15" hidden="false" customHeight="false" outlineLevel="0" collapsed="false">
      <c r="A2285" s="3" t="s">
        <v>2675</v>
      </c>
      <c r="B2285" s="3" t="s">
        <v>283</v>
      </c>
      <c r="C2285" s="3" t="s">
        <v>396</v>
      </c>
      <c r="D2285" s="3" t="s">
        <v>692</v>
      </c>
      <c r="E2285" s="3" t="s">
        <v>398</v>
      </c>
      <c r="F2285" s="16" t="n">
        <v>12</v>
      </c>
      <c r="G2285" s="15" t="n">
        <v>0.15</v>
      </c>
      <c r="H2285" s="16" t="n">
        <v>9</v>
      </c>
      <c r="I2285" s="33" t="n">
        <v>11170.2</v>
      </c>
      <c r="J2285" s="33" t="n">
        <v>13141.44</v>
      </c>
    </row>
    <row r="2286" customFormat="false" ht="15" hidden="false" customHeight="false" outlineLevel="0" collapsed="false">
      <c r="A2286" s="3" t="s">
        <v>2676</v>
      </c>
      <c r="B2286" s="3" t="s">
        <v>283</v>
      </c>
      <c r="C2286" s="3" t="s">
        <v>380</v>
      </c>
      <c r="D2286" s="3" t="s">
        <v>418</v>
      </c>
      <c r="E2286" s="3" t="s">
        <v>398</v>
      </c>
      <c r="F2286" s="16" t="n">
        <v>1</v>
      </c>
      <c r="G2286" s="15" t="n">
        <v>0</v>
      </c>
      <c r="H2286" s="16" t="n">
        <v>1</v>
      </c>
      <c r="I2286" s="33" t="n">
        <v>11164.44</v>
      </c>
      <c r="J2286" s="33" t="n">
        <v>11164.44</v>
      </c>
    </row>
    <row r="2287" customFormat="false" ht="15" hidden="false" customHeight="false" outlineLevel="0" collapsed="false">
      <c r="A2287" s="3" t="s">
        <v>2677</v>
      </c>
      <c r="B2287" s="3" t="s">
        <v>283</v>
      </c>
      <c r="C2287" s="3" t="s">
        <v>405</v>
      </c>
      <c r="D2287" s="3" t="s">
        <v>418</v>
      </c>
      <c r="E2287" s="3" t="s">
        <v>385</v>
      </c>
      <c r="F2287" s="16" t="n">
        <v>12</v>
      </c>
      <c r="G2287" s="15" t="n">
        <v>0</v>
      </c>
      <c r="H2287" s="16" t="n">
        <v>8</v>
      </c>
      <c r="I2287" s="33" t="n">
        <v>11162.76</v>
      </c>
      <c r="J2287" s="33" t="n">
        <v>11162.76</v>
      </c>
    </row>
    <row r="2288" customFormat="false" ht="15" hidden="false" customHeight="false" outlineLevel="0" collapsed="false">
      <c r="A2288" s="3" t="s">
        <v>2678</v>
      </c>
      <c r="B2288" s="3" t="s">
        <v>283</v>
      </c>
      <c r="C2288" s="3" t="s">
        <v>380</v>
      </c>
      <c r="D2288" s="3" t="s">
        <v>392</v>
      </c>
      <c r="E2288" s="3" t="s">
        <v>398</v>
      </c>
      <c r="F2288" s="16" t="n">
        <v>12</v>
      </c>
      <c r="G2288" s="15" t="n">
        <v>0.125</v>
      </c>
      <c r="H2288" s="16" t="n">
        <v>11</v>
      </c>
      <c r="I2288" s="33" t="n">
        <v>11159.4</v>
      </c>
      <c r="J2288" s="33" t="n">
        <v>12753.6</v>
      </c>
    </row>
    <row r="2289" customFormat="false" ht="15" hidden="false" customHeight="false" outlineLevel="0" collapsed="false">
      <c r="A2289" s="3" t="s">
        <v>2679</v>
      </c>
      <c r="B2289" s="3" t="s">
        <v>283</v>
      </c>
      <c r="C2289" s="3" t="s">
        <v>405</v>
      </c>
      <c r="D2289" s="3" t="s">
        <v>392</v>
      </c>
      <c r="E2289" s="3" t="s">
        <v>382</v>
      </c>
      <c r="F2289" s="16" t="n">
        <v>1</v>
      </c>
      <c r="G2289" s="15" t="n">
        <v>0</v>
      </c>
      <c r="H2289" s="16" t="n">
        <v>1</v>
      </c>
      <c r="I2289" s="33" t="n">
        <v>11155.68</v>
      </c>
      <c r="J2289" s="33" t="n">
        <v>11155.68</v>
      </c>
    </row>
    <row r="2290" customFormat="false" ht="15" hidden="false" customHeight="false" outlineLevel="0" collapsed="false">
      <c r="A2290" s="3" t="s">
        <v>2680</v>
      </c>
      <c r="B2290" s="3" t="s">
        <v>283</v>
      </c>
      <c r="C2290" s="3" t="s">
        <v>403</v>
      </c>
      <c r="D2290" s="3" t="s">
        <v>418</v>
      </c>
      <c r="E2290" s="3" t="s">
        <v>398</v>
      </c>
      <c r="F2290" s="16" t="n">
        <v>12</v>
      </c>
      <c r="G2290" s="15" t="n">
        <v>0.075</v>
      </c>
      <c r="H2290" s="16" t="n">
        <v>5</v>
      </c>
      <c r="I2290" s="33" t="n">
        <v>11145.12</v>
      </c>
      <c r="J2290" s="33" t="n">
        <v>12048.72</v>
      </c>
    </row>
    <row r="2291" customFormat="false" ht="15" hidden="false" customHeight="false" outlineLevel="0" collapsed="false">
      <c r="A2291" s="3" t="s">
        <v>2681</v>
      </c>
      <c r="B2291" s="3" t="s">
        <v>283</v>
      </c>
      <c r="C2291" s="3" t="s">
        <v>396</v>
      </c>
      <c r="D2291" s="3" t="s">
        <v>418</v>
      </c>
      <c r="E2291" s="3" t="s">
        <v>398</v>
      </c>
      <c r="F2291" s="16" t="n">
        <v>1</v>
      </c>
      <c r="G2291" s="15" t="n">
        <v>0</v>
      </c>
      <c r="H2291" s="16" t="n">
        <v>1</v>
      </c>
      <c r="I2291" s="33" t="n">
        <v>11129.52</v>
      </c>
      <c r="J2291" s="33" t="n">
        <v>11129.52</v>
      </c>
    </row>
    <row r="2292" customFormat="false" ht="15" hidden="false" customHeight="false" outlineLevel="0" collapsed="false">
      <c r="A2292" s="3" t="s">
        <v>2682</v>
      </c>
      <c r="B2292" s="3" t="s">
        <v>283</v>
      </c>
      <c r="C2292" s="3" t="s">
        <v>401</v>
      </c>
      <c r="D2292" s="3" t="s">
        <v>392</v>
      </c>
      <c r="E2292" s="3" t="s">
        <v>398</v>
      </c>
      <c r="F2292" s="16" t="n">
        <v>12</v>
      </c>
      <c r="G2292" s="15" t="n">
        <v>0.1</v>
      </c>
      <c r="H2292" s="16" t="n">
        <v>6</v>
      </c>
      <c r="I2292" s="33" t="n">
        <v>11126.64</v>
      </c>
      <c r="J2292" s="33" t="n">
        <v>12363</v>
      </c>
    </row>
    <row r="2293" customFormat="false" ht="15" hidden="false" customHeight="false" outlineLevel="0" collapsed="false">
      <c r="A2293" s="3" t="s">
        <v>2683</v>
      </c>
      <c r="B2293" s="3" t="s">
        <v>283</v>
      </c>
      <c r="C2293" s="3" t="s">
        <v>387</v>
      </c>
      <c r="D2293" s="3" t="s">
        <v>392</v>
      </c>
      <c r="E2293" s="3" t="s">
        <v>398</v>
      </c>
      <c r="F2293" s="16" t="n">
        <v>12</v>
      </c>
      <c r="G2293" s="15" t="n">
        <v>0</v>
      </c>
      <c r="H2293" s="16" t="n">
        <v>6</v>
      </c>
      <c r="I2293" s="33" t="n">
        <v>11121.24</v>
      </c>
      <c r="J2293" s="33" t="n">
        <v>11121.24</v>
      </c>
    </row>
    <row r="2294" customFormat="false" ht="15" hidden="false" customHeight="false" outlineLevel="0" collapsed="false">
      <c r="A2294" s="3" t="s">
        <v>2684</v>
      </c>
      <c r="B2294" s="3" t="s">
        <v>283</v>
      </c>
      <c r="C2294" s="3" t="s">
        <v>380</v>
      </c>
      <c r="D2294" s="3" t="s">
        <v>392</v>
      </c>
      <c r="E2294" s="3" t="s">
        <v>382</v>
      </c>
      <c r="F2294" s="16" t="n">
        <v>1</v>
      </c>
      <c r="G2294" s="15" t="n">
        <v>0.1</v>
      </c>
      <c r="H2294" s="16" t="n">
        <v>1</v>
      </c>
      <c r="I2294" s="33" t="n">
        <v>11114.64</v>
      </c>
      <c r="J2294" s="33" t="n">
        <v>12349.56</v>
      </c>
    </row>
    <row r="2295" customFormat="false" ht="15" hidden="false" customHeight="false" outlineLevel="0" collapsed="false">
      <c r="A2295" s="3" t="s">
        <v>2685</v>
      </c>
      <c r="B2295" s="3" t="s">
        <v>283</v>
      </c>
      <c r="C2295" s="3" t="s">
        <v>403</v>
      </c>
      <c r="D2295" s="3" t="s">
        <v>418</v>
      </c>
      <c r="E2295" s="3" t="s">
        <v>398</v>
      </c>
      <c r="F2295" s="16" t="n">
        <v>12</v>
      </c>
      <c r="G2295" s="15" t="n">
        <v>0.35</v>
      </c>
      <c r="H2295" s="16" t="n">
        <v>12</v>
      </c>
      <c r="I2295" s="33" t="n">
        <v>11114.16</v>
      </c>
      <c r="J2295" s="33" t="n">
        <v>17098.68</v>
      </c>
    </row>
    <row r="2296" customFormat="false" ht="15" hidden="false" customHeight="false" outlineLevel="0" collapsed="false">
      <c r="A2296" s="3" t="s">
        <v>2686</v>
      </c>
      <c r="B2296" s="3" t="s">
        <v>283</v>
      </c>
      <c r="C2296" s="3" t="s">
        <v>396</v>
      </c>
      <c r="D2296" s="3" t="s">
        <v>692</v>
      </c>
      <c r="E2296" s="3" t="s">
        <v>385</v>
      </c>
      <c r="F2296" s="16" t="n">
        <v>12</v>
      </c>
      <c r="G2296" s="15" t="n">
        <v>0</v>
      </c>
      <c r="H2296" s="16" t="n">
        <v>2</v>
      </c>
      <c r="I2296" s="33" t="n">
        <v>11109.84</v>
      </c>
      <c r="J2296" s="33" t="n">
        <v>11109.84</v>
      </c>
    </row>
    <row r="2297" customFormat="false" ht="15" hidden="false" customHeight="false" outlineLevel="0" collapsed="false">
      <c r="A2297" s="3" t="s">
        <v>2687</v>
      </c>
      <c r="B2297" s="3" t="s">
        <v>283</v>
      </c>
      <c r="C2297" s="3" t="s">
        <v>387</v>
      </c>
      <c r="D2297" s="3" t="s">
        <v>418</v>
      </c>
      <c r="E2297" s="3" t="s">
        <v>398</v>
      </c>
      <c r="F2297" s="16" t="n">
        <v>1</v>
      </c>
      <c r="G2297" s="15" t="n">
        <v>0.1</v>
      </c>
      <c r="H2297" s="16" t="n">
        <v>1</v>
      </c>
      <c r="I2297" s="33" t="n">
        <v>11092.2</v>
      </c>
      <c r="J2297" s="33" t="n">
        <v>12324.72</v>
      </c>
    </row>
    <row r="2298" customFormat="false" ht="15" hidden="false" customHeight="false" outlineLevel="0" collapsed="false">
      <c r="A2298" s="3" t="s">
        <v>2688</v>
      </c>
      <c r="B2298" s="3" t="s">
        <v>283</v>
      </c>
      <c r="C2298" s="3" t="s">
        <v>403</v>
      </c>
      <c r="D2298" s="3" t="s">
        <v>692</v>
      </c>
      <c r="E2298" s="3" t="s">
        <v>398</v>
      </c>
      <c r="F2298" s="16" t="n">
        <v>1</v>
      </c>
      <c r="G2298" s="15" t="n">
        <v>0.15</v>
      </c>
      <c r="H2298" s="16" t="n">
        <v>1</v>
      </c>
      <c r="I2298" s="33" t="n">
        <v>11090.88</v>
      </c>
      <c r="J2298" s="33" t="n">
        <v>13048.08</v>
      </c>
    </row>
    <row r="2299" customFormat="false" ht="15" hidden="false" customHeight="false" outlineLevel="0" collapsed="false">
      <c r="A2299" s="3" t="s">
        <v>2689</v>
      </c>
      <c r="B2299" s="3" t="s">
        <v>283</v>
      </c>
      <c r="C2299" s="3" t="s">
        <v>401</v>
      </c>
      <c r="D2299" s="3" t="s">
        <v>418</v>
      </c>
      <c r="E2299" s="3" t="s">
        <v>398</v>
      </c>
      <c r="F2299" s="16" t="n">
        <v>12</v>
      </c>
      <c r="G2299" s="15" t="n">
        <v>0.1</v>
      </c>
      <c r="H2299" s="16" t="n">
        <v>4</v>
      </c>
      <c r="I2299" s="33" t="n">
        <v>11081.88</v>
      </c>
      <c r="J2299" s="33" t="n">
        <v>12313.2</v>
      </c>
    </row>
    <row r="2300" customFormat="false" ht="15" hidden="false" customHeight="false" outlineLevel="0" collapsed="false">
      <c r="A2300" s="3" t="s">
        <v>2690</v>
      </c>
      <c r="B2300" s="3" t="s">
        <v>283</v>
      </c>
      <c r="C2300" s="3" t="s">
        <v>403</v>
      </c>
      <c r="D2300" s="3" t="s">
        <v>418</v>
      </c>
      <c r="E2300" s="3" t="s">
        <v>398</v>
      </c>
      <c r="F2300" s="16" t="n">
        <v>1</v>
      </c>
      <c r="G2300" s="15" t="n">
        <v>0</v>
      </c>
      <c r="H2300" s="16" t="n">
        <v>1</v>
      </c>
      <c r="I2300" s="33" t="n">
        <v>11077.44</v>
      </c>
      <c r="J2300" s="33" t="n">
        <v>11077.44</v>
      </c>
    </row>
    <row r="2301" customFormat="false" ht="15" hidden="false" customHeight="false" outlineLevel="0" collapsed="false">
      <c r="A2301" s="3" t="s">
        <v>2691</v>
      </c>
      <c r="B2301" s="3" t="s">
        <v>283</v>
      </c>
      <c r="C2301" s="3" t="s">
        <v>403</v>
      </c>
      <c r="D2301" s="3" t="s">
        <v>692</v>
      </c>
      <c r="E2301" s="3" t="s">
        <v>398</v>
      </c>
      <c r="F2301" s="16" t="n">
        <v>1</v>
      </c>
      <c r="G2301" s="15" t="n">
        <v>0.2</v>
      </c>
      <c r="H2301" s="16" t="n">
        <v>1</v>
      </c>
      <c r="I2301" s="33" t="n">
        <v>11077.08</v>
      </c>
      <c r="J2301" s="33" t="n">
        <v>13846.32</v>
      </c>
    </row>
    <row r="2302" customFormat="false" ht="15" hidden="false" customHeight="false" outlineLevel="0" collapsed="false">
      <c r="A2302" s="3" t="s">
        <v>2692</v>
      </c>
      <c r="B2302" s="3" t="s">
        <v>283</v>
      </c>
      <c r="C2302" s="3" t="s">
        <v>401</v>
      </c>
      <c r="D2302" s="3" t="s">
        <v>418</v>
      </c>
      <c r="E2302" s="3" t="s">
        <v>398</v>
      </c>
      <c r="F2302" s="16" t="n">
        <v>12</v>
      </c>
      <c r="G2302" s="15" t="n">
        <v>0</v>
      </c>
      <c r="H2302" s="16" t="n">
        <v>2</v>
      </c>
      <c r="I2302" s="33" t="n">
        <v>11067.48</v>
      </c>
      <c r="J2302" s="33" t="n">
        <v>11067.48</v>
      </c>
    </row>
    <row r="2303" customFormat="false" ht="15" hidden="false" customHeight="false" outlineLevel="0" collapsed="false">
      <c r="A2303" s="3" t="s">
        <v>2693</v>
      </c>
      <c r="B2303" s="3" t="s">
        <v>283</v>
      </c>
      <c r="C2303" s="3" t="s">
        <v>405</v>
      </c>
      <c r="D2303" s="3" t="s">
        <v>418</v>
      </c>
      <c r="E2303" s="3" t="s">
        <v>398</v>
      </c>
      <c r="F2303" s="16" t="n">
        <v>12</v>
      </c>
      <c r="G2303" s="15" t="n">
        <v>0</v>
      </c>
      <c r="H2303" s="16" t="n">
        <v>2</v>
      </c>
      <c r="I2303" s="33" t="n">
        <v>11064</v>
      </c>
      <c r="J2303" s="33" t="n">
        <v>11064</v>
      </c>
    </row>
    <row r="2304" customFormat="false" ht="15" hidden="false" customHeight="false" outlineLevel="0" collapsed="false">
      <c r="A2304" s="3" t="s">
        <v>2694</v>
      </c>
      <c r="B2304" s="3" t="s">
        <v>283</v>
      </c>
      <c r="C2304" s="3" t="s">
        <v>401</v>
      </c>
      <c r="D2304" s="3" t="s">
        <v>392</v>
      </c>
      <c r="E2304" s="3" t="s">
        <v>382</v>
      </c>
      <c r="F2304" s="16" t="n">
        <v>12</v>
      </c>
      <c r="G2304" s="15" t="n">
        <v>0</v>
      </c>
      <c r="H2304" s="16" t="n">
        <v>5</v>
      </c>
      <c r="I2304" s="33" t="n">
        <v>11055.12</v>
      </c>
      <c r="J2304" s="33" t="n">
        <v>11055.12</v>
      </c>
    </row>
    <row r="2305" customFormat="false" ht="15" hidden="false" customHeight="false" outlineLevel="0" collapsed="false">
      <c r="A2305" s="3" t="s">
        <v>2695</v>
      </c>
      <c r="B2305" s="3" t="s">
        <v>283</v>
      </c>
      <c r="C2305" s="3" t="s">
        <v>387</v>
      </c>
      <c r="D2305" s="3" t="s">
        <v>418</v>
      </c>
      <c r="E2305" s="3" t="s">
        <v>398</v>
      </c>
      <c r="F2305" s="16" t="n">
        <v>1</v>
      </c>
      <c r="G2305" s="15" t="n">
        <v>0</v>
      </c>
      <c r="H2305" s="16" t="n">
        <v>1</v>
      </c>
      <c r="I2305" s="33" t="n">
        <v>11012.88</v>
      </c>
      <c r="J2305" s="33" t="n">
        <v>11012.88</v>
      </c>
    </row>
    <row r="2306" customFormat="false" ht="15" hidden="false" customHeight="false" outlineLevel="0" collapsed="false">
      <c r="A2306" s="3" t="s">
        <v>2696</v>
      </c>
      <c r="B2306" s="3" t="s">
        <v>283</v>
      </c>
      <c r="C2306" s="3" t="s">
        <v>403</v>
      </c>
      <c r="D2306" s="3" t="s">
        <v>418</v>
      </c>
      <c r="E2306" s="3" t="s">
        <v>398</v>
      </c>
      <c r="F2306" s="16" t="n">
        <v>1</v>
      </c>
      <c r="G2306" s="15" t="n">
        <v>0.3</v>
      </c>
      <c r="H2306" s="16" t="n">
        <v>1</v>
      </c>
      <c r="I2306" s="33" t="n">
        <v>11000.64</v>
      </c>
      <c r="J2306" s="33" t="n">
        <v>15715.2</v>
      </c>
    </row>
    <row r="2307" customFormat="false" ht="15" hidden="false" customHeight="false" outlineLevel="0" collapsed="false">
      <c r="A2307" s="3" t="s">
        <v>2697</v>
      </c>
      <c r="B2307" s="3" t="s">
        <v>283</v>
      </c>
      <c r="C2307" s="3" t="s">
        <v>403</v>
      </c>
      <c r="D2307" s="3" t="s">
        <v>392</v>
      </c>
      <c r="E2307" s="3" t="s">
        <v>398</v>
      </c>
      <c r="F2307" s="16" t="n">
        <v>12</v>
      </c>
      <c r="G2307" s="15" t="n">
        <v>0</v>
      </c>
      <c r="H2307" s="16" t="n">
        <v>7</v>
      </c>
      <c r="I2307" s="33" t="n">
        <v>10999.44</v>
      </c>
      <c r="J2307" s="33" t="n">
        <v>10999.44</v>
      </c>
    </row>
    <row r="2308" customFormat="false" ht="15" hidden="false" customHeight="false" outlineLevel="0" collapsed="false">
      <c r="A2308" s="3" t="s">
        <v>2698</v>
      </c>
      <c r="B2308" s="3" t="s">
        <v>283</v>
      </c>
      <c r="C2308" s="3" t="s">
        <v>387</v>
      </c>
      <c r="D2308" s="3" t="s">
        <v>392</v>
      </c>
      <c r="E2308" s="3" t="s">
        <v>382</v>
      </c>
      <c r="F2308" s="16" t="n">
        <v>1</v>
      </c>
      <c r="G2308" s="15" t="n">
        <v>0</v>
      </c>
      <c r="H2308" s="16" t="n">
        <v>1</v>
      </c>
      <c r="I2308" s="33" t="n">
        <v>10989.6</v>
      </c>
      <c r="J2308" s="33" t="n">
        <v>10989.6</v>
      </c>
    </row>
    <row r="2309" customFormat="false" ht="15" hidden="false" customHeight="false" outlineLevel="0" collapsed="false">
      <c r="A2309" s="3" t="s">
        <v>2699</v>
      </c>
      <c r="B2309" s="3" t="s">
        <v>283</v>
      </c>
      <c r="C2309" s="3" t="s">
        <v>396</v>
      </c>
      <c r="D2309" s="3" t="s">
        <v>692</v>
      </c>
      <c r="E2309" s="3" t="s">
        <v>385</v>
      </c>
      <c r="F2309" s="16" t="n">
        <v>12</v>
      </c>
      <c r="G2309" s="15" t="n">
        <v>0</v>
      </c>
      <c r="H2309" s="16" t="n">
        <v>9</v>
      </c>
      <c r="I2309" s="33" t="n">
        <v>10989.12</v>
      </c>
      <c r="J2309" s="33" t="n">
        <v>10989.12</v>
      </c>
    </row>
    <row r="2310" customFormat="false" ht="15" hidden="false" customHeight="false" outlineLevel="0" collapsed="false">
      <c r="A2310" s="3" t="s">
        <v>2700</v>
      </c>
      <c r="B2310" s="3" t="s">
        <v>283</v>
      </c>
      <c r="C2310" s="3" t="s">
        <v>396</v>
      </c>
      <c r="D2310" s="3" t="s">
        <v>418</v>
      </c>
      <c r="E2310" s="3" t="s">
        <v>398</v>
      </c>
      <c r="F2310" s="16" t="n">
        <v>12</v>
      </c>
      <c r="G2310" s="15" t="n">
        <v>0</v>
      </c>
      <c r="H2310" s="16" t="n">
        <v>7</v>
      </c>
      <c r="I2310" s="33" t="n">
        <v>10986.6</v>
      </c>
      <c r="J2310" s="33" t="n">
        <v>10986.6</v>
      </c>
    </row>
    <row r="2311" customFormat="false" ht="15" hidden="false" customHeight="false" outlineLevel="0" collapsed="false">
      <c r="A2311" s="3" t="s">
        <v>2701</v>
      </c>
      <c r="B2311" s="3" t="s">
        <v>283</v>
      </c>
      <c r="C2311" s="3" t="s">
        <v>384</v>
      </c>
      <c r="D2311" s="3" t="s">
        <v>392</v>
      </c>
      <c r="E2311" s="3" t="s">
        <v>385</v>
      </c>
      <c r="F2311" s="16" t="n">
        <v>1</v>
      </c>
      <c r="G2311" s="15" t="n">
        <v>0</v>
      </c>
      <c r="H2311" s="16" t="n">
        <v>1</v>
      </c>
      <c r="I2311" s="33" t="n">
        <v>10973.88</v>
      </c>
      <c r="J2311" s="33" t="n">
        <v>10973.88</v>
      </c>
    </row>
    <row r="2312" customFormat="false" ht="15" hidden="false" customHeight="false" outlineLevel="0" collapsed="false">
      <c r="A2312" s="3" t="s">
        <v>2702</v>
      </c>
      <c r="B2312" s="3" t="s">
        <v>283</v>
      </c>
      <c r="C2312" s="3" t="s">
        <v>401</v>
      </c>
      <c r="D2312" s="3" t="s">
        <v>388</v>
      </c>
      <c r="E2312" s="3" t="s">
        <v>398</v>
      </c>
      <c r="F2312" s="16" t="n">
        <v>12</v>
      </c>
      <c r="G2312" s="15" t="n">
        <v>0.1</v>
      </c>
      <c r="H2312" s="16" t="n">
        <v>5</v>
      </c>
      <c r="I2312" s="33" t="n">
        <v>10967.16</v>
      </c>
      <c r="J2312" s="33" t="n">
        <v>12185.76</v>
      </c>
    </row>
    <row r="2313" customFormat="false" ht="15" hidden="false" customHeight="false" outlineLevel="0" collapsed="false">
      <c r="A2313" s="3" t="s">
        <v>2703</v>
      </c>
      <c r="B2313" s="3" t="s">
        <v>283</v>
      </c>
      <c r="C2313" s="3" t="s">
        <v>405</v>
      </c>
      <c r="D2313" s="3" t="s">
        <v>392</v>
      </c>
      <c r="E2313" s="3" t="s">
        <v>398</v>
      </c>
      <c r="F2313" s="16" t="n">
        <v>12</v>
      </c>
      <c r="G2313" s="15" t="n">
        <v>0.1</v>
      </c>
      <c r="H2313" s="16" t="n">
        <v>4</v>
      </c>
      <c r="I2313" s="33" t="n">
        <v>10960.08</v>
      </c>
      <c r="J2313" s="33" t="n">
        <v>12177.96</v>
      </c>
    </row>
    <row r="2314" customFormat="false" ht="15" hidden="false" customHeight="false" outlineLevel="0" collapsed="false">
      <c r="A2314" s="3" t="s">
        <v>2704</v>
      </c>
      <c r="B2314" s="3" t="s">
        <v>283</v>
      </c>
      <c r="C2314" s="3" t="s">
        <v>401</v>
      </c>
      <c r="D2314" s="3" t="s">
        <v>692</v>
      </c>
      <c r="E2314" s="3" t="s">
        <v>398</v>
      </c>
      <c r="F2314" s="16" t="n">
        <v>1</v>
      </c>
      <c r="G2314" s="15" t="n">
        <v>0.1</v>
      </c>
      <c r="H2314" s="16" t="n">
        <v>1</v>
      </c>
      <c r="I2314" s="33" t="n">
        <v>10956.6</v>
      </c>
      <c r="J2314" s="33" t="n">
        <v>12174</v>
      </c>
    </row>
    <row r="2315" customFormat="false" ht="15" hidden="false" customHeight="false" outlineLevel="0" collapsed="false">
      <c r="A2315" s="3" t="s">
        <v>2705</v>
      </c>
      <c r="B2315" s="3" t="s">
        <v>283</v>
      </c>
      <c r="C2315" s="3" t="s">
        <v>384</v>
      </c>
      <c r="D2315" s="3" t="s">
        <v>381</v>
      </c>
      <c r="E2315" s="3" t="s">
        <v>398</v>
      </c>
      <c r="F2315" s="16" t="n">
        <v>1</v>
      </c>
      <c r="G2315" s="15" t="n">
        <v>0</v>
      </c>
      <c r="H2315" s="16" t="n">
        <v>1</v>
      </c>
      <c r="I2315" s="33" t="n">
        <v>10950.96</v>
      </c>
      <c r="J2315" s="33" t="n">
        <v>10950.96</v>
      </c>
    </row>
    <row r="2316" customFormat="false" ht="15" hidden="false" customHeight="false" outlineLevel="0" collapsed="false">
      <c r="A2316" s="3" t="s">
        <v>2706</v>
      </c>
      <c r="B2316" s="3" t="s">
        <v>283</v>
      </c>
      <c r="C2316" s="3" t="s">
        <v>380</v>
      </c>
      <c r="D2316" s="3" t="s">
        <v>418</v>
      </c>
      <c r="E2316" s="3" t="s">
        <v>398</v>
      </c>
      <c r="F2316" s="16" t="n">
        <v>1</v>
      </c>
      <c r="G2316" s="15" t="n">
        <v>0</v>
      </c>
      <c r="H2316" s="16" t="n">
        <v>1</v>
      </c>
      <c r="I2316" s="33" t="n">
        <v>10944.6</v>
      </c>
      <c r="J2316" s="33" t="n">
        <v>10944.6</v>
      </c>
    </row>
    <row r="2317" customFormat="false" ht="15" hidden="false" customHeight="false" outlineLevel="0" collapsed="false">
      <c r="A2317" s="3" t="s">
        <v>2707</v>
      </c>
      <c r="B2317" s="3" t="s">
        <v>283</v>
      </c>
      <c r="C2317" s="3" t="s">
        <v>401</v>
      </c>
      <c r="D2317" s="3" t="s">
        <v>381</v>
      </c>
      <c r="E2317" s="3" t="s">
        <v>398</v>
      </c>
      <c r="F2317" s="16" t="n">
        <v>12</v>
      </c>
      <c r="G2317" s="15" t="n">
        <v>0</v>
      </c>
      <c r="H2317" s="16" t="n">
        <v>5</v>
      </c>
      <c r="I2317" s="33" t="n">
        <v>10921.08</v>
      </c>
      <c r="J2317" s="33" t="n">
        <v>10921.08</v>
      </c>
    </row>
    <row r="2318" customFormat="false" ht="15" hidden="false" customHeight="false" outlineLevel="0" collapsed="false">
      <c r="A2318" s="3" t="s">
        <v>2708</v>
      </c>
      <c r="B2318" s="3" t="s">
        <v>283</v>
      </c>
      <c r="C2318" s="3" t="s">
        <v>387</v>
      </c>
      <c r="D2318" s="3" t="s">
        <v>418</v>
      </c>
      <c r="E2318" s="3" t="s">
        <v>398</v>
      </c>
      <c r="F2318" s="16" t="n">
        <v>12</v>
      </c>
      <c r="G2318" s="15" t="n">
        <v>0.25</v>
      </c>
      <c r="H2318" s="16" t="n">
        <v>7</v>
      </c>
      <c r="I2318" s="33" t="n">
        <v>10920.72</v>
      </c>
      <c r="J2318" s="33" t="n">
        <v>14560.92</v>
      </c>
    </row>
    <row r="2319" customFormat="false" ht="15" hidden="false" customHeight="false" outlineLevel="0" collapsed="false">
      <c r="A2319" s="3" t="s">
        <v>2709</v>
      </c>
      <c r="B2319" s="3" t="s">
        <v>283</v>
      </c>
      <c r="C2319" s="3" t="s">
        <v>380</v>
      </c>
      <c r="D2319" s="3" t="s">
        <v>392</v>
      </c>
      <c r="E2319" s="3" t="s">
        <v>398</v>
      </c>
      <c r="F2319" s="16" t="n">
        <v>1</v>
      </c>
      <c r="G2319" s="15" t="n">
        <v>0</v>
      </c>
      <c r="H2319" s="16" t="n">
        <v>1</v>
      </c>
      <c r="I2319" s="33" t="n">
        <v>10919.64</v>
      </c>
      <c r="J2319" s="33" t="n">
        <v>10919.64</v>
      </c>
    </row>
    <row r="2320" customFormat="false" ht="15" hidden="false" customHeight="false" outlineLevel="0" collapsed="false">
      <c r="A2320" s="3" t="s">
        <v>2710</v>
      </c>
      <c r="B2320" s="3" t="s">
        <v>283</v>
      </c>
      <c r="C2320" s="3" t="s">
        <v>401</v>
      </c>
      <c r="D2320" s="3" t="s">
        <v>692</v>
      </c>
      <c r="E2320" s="3" t="s">
        <v>382</v>
      </c>
      <c r="F2320" s="16" t="n">
        <v>12</v>
      </c>
      <c r="G2320" s="15" t="n">
        <v>0.1</v>
      </c>
      <c r="H2320" s="16" t="n">
        <v>4</v>
      </c>
      <c r="I2320" s="33" t="n">
        <v>10911.96</v>
      </c>
      <c r="J2320" s="33" t="n">
        <v>12124.44</v>
      </c>
    </row>
    <row r="2321" customFormat="false" ht="15" hidden="false" customHeight="false" outlineLevel="0" collapsed="false">
      <c r="A2321" s="3" t="s">
        <v>2711</v>
      </c>
      <c r="B2321" s="3" t="s">
        <v>283</v>
      </c>
      <c r="C2321" s="3" t="s">
        <v>405</v>
      </c>
      <c r="D2321" s="3" t="s">
        <v>392</v>
      </c>
      <c r="E2321" s="3" t="s">
        <v>398</v>
      </c>
      <c r="F2321" s="16" t="n">
        <v>12</v>
      </c>
      <c r="G2321" s="15" t="n">
        <v>0</v>
      </c>
      <c r="H2321" s="16" t="n">
        <v>8</v>
      </c>
      <c r="I2321" s="33" t="n">
        <v>10910.04</v>
      </c>
      <c r="J2321" s="33" t="n">
        <v>10910.04</v>
      </c>
    </row>
    <row r="2322" customFormat="false" ht="15" hidden="false" customHeight="false" outlineLevel="0" collapsed="false">
      <c r="A2322" s="3" t="s">
        <v>2712</v>
      </c>
      <c r="B2322" s="3" t="s">
        <v>283</v>
      </c>
      <c r="C2322" s="3" t="s">
        <v>401</v>
      </c>
      <c r="D2322" s="3" t="s">
        <v>388</v>
      </c>
      <c r="E2322" s="3" t="s">
        <v>385</v>
      </c>
      <c r="F2322" s="16" t="n">
        <v>12</v>
      </c>
      <c r="G2322" s="15" t="n">
        <v>0</v>
      </c>
      <c r="H2322" s="16" t="n">
        <v>2</v>
      </c>
      <c r="I2322" s="33" t="n">
        <v>10902.24</v>
      </c>
      <c r="J2322" s="33" t="n">
        <v>10902.24</v>
      </c>
    </row>
    <row r="2323" customFormat="false" ht="15" hidden="false" customHeight="false" outlineLevel="0" collapsed="false">
      <c r="A2323" s="3" t="s">
        <v>2713</v>
      </c>
      <c r="B2323" s="3" t="s">
        <v>283</v>
      </c>
      <c r="C2323" s="3" t="s">
        <v>380</v>
      </c>
      <c r="D2323" s="3" t="s">
        <v>392</v>
      </c>
      <c r="E2323" s="3" t="s">
        <v>398</v>
      </c>
      <c r="F2323" s="16" t="n">
        <v>1</v>
      </c>
      <c r="G2323" s="15" t="n">
        <v>0</v>
      </c>
      <c r="H2323" s="16" t="n">
        <v>1</v>
      </c>
      <c r="I2323" s="33" t="n">
        <v>10898.16</v>
      </c>
      <c r="J2323" s="33" t="n">
        <v>10898.16</v>
      </c>
    </row>
    <row r="2324" customFormat="false" ht="15" hidden="false" customHeight="false" outlineLevel="0" collapsed="false">
      <c r="A2324" s="3" t="s">
        <v>2714</v>
      </c>
      <c r="B2324" s="3" t="s">
        <v>283</v>
      </c>
      <c r="C2324" s="3" t="s">
        <v>384</v>
      </c>
      <c r="D2324" s="3" t="s">
        <v>692</v>
      </c>
      <c r="E2324" s="3" t="s">
        <v>398</v>
      </c>
      <c r="F2324" s="16" t="n">
        <v>1</v>
      </c>
      <c r="G2324" s="15" t="n">
        <v>0</v>
      </c>
      <c r="H2324" s="16" t="n">
        <v>1</v>
      </c>
      <c r="I2324" s="33" t="n">
        <v>10866.36</v>
      </c>
      <c r="J2324" s="33" t="n">
        <v>10866.36</v>
      </c>
    </row>
    <row r="2325" customFormat="false" ht="15" hidden="false" customHeight="false" outlineLevel="0" collapsed="false">
      <c r="A2325" s="3" t="s">
        <v>2715</v>
      </c>
      <c r="B2325" s="3" t="s">
        <v>283</v>
      </c>
      <c r="C2325" s="3" t="s">
        <v>384</v>
      </c>
      <c r="D2325" s="3" t="s">
        <v>418</v>
      </c>
      <c r="E2325" s="3" t="s">
        <v>385</v>
      </c>
      <c r="F2325" s="16" t="n">
        <v>12</v>
      </c>
      <c r="G2325" s="15" t="n">
        <v>0.4</v>
      </c>
      <c r="H2325" s="16" t="n">
        <v>11</v>
      </c>
      <c r="I2325" s="33" t="n">
        <v>10847.04</v>
      </c>
      <c r="J2325" s="33" t="n">
        <v>18078.36</v>
      </c>
    </row>
    <row r="2326" customFormat="false" ht="15" hidden="false" customHeight="false" outlineLevel="0" collapsed="false">
      <c r="A2326" s="3" t="s">
        <v>2716</v>
      </c>
      <c r="B2326" s="3" t="s">
        <v>283</v>
      </c>
      <c r="C2326" s="3" t="s">
        <v>403</v>
      </c>
      <c r="D2326" s="3" t="s">
        <v>692</v>
      </c>
      <c r="E2326" s="3" t="s">
        <v>382</v>
      </c>
      <c r="F2326" s="16" t="n">
        <v>1</v>
      </c>
      <c r="G2326" s="15" t="n">
        <v>0</v>
      </c>
      <c r="H2326" s="16" t="n">
        <v>1</v>
      </c>
      <c r="I2326" s="33" t="n">
        <v>10845.72</v>
      </c>
      <c r="J2326" s="33" t="n">
        <v>10845.72</v>
      </c>
    </row>
    <row r="2327" customFormat="false" ht="15" hidden="false" customHeight="false" outlineLevel="0" collapsed="false">
      <c r="A2327" s="3" t="s">
        <v>2717</v>
      </c>
      <c r="B2327" s="3" t="s">
        <v>283</v>
      </c>
      <c r="C2327" s="3" t="s">
        <v>384</v>
      </c>
      <c r="D2327" s="3" t="s">
        <v>692</v>
      </c>
      <c r="E2327" s="3" t="s">
        <v>385</v>
      </c>
      <c r="F2327" s="16" t="n">
        <v>12</v>
      </c>
      <c r="G2327" s="15" t="n">
        <v>0</v>
      </c>
      <c r="H2327" s="16" t="n">
        <v>10</v>
      </c>
      <c r="I2327" s="33" t="n">
        <v>10839</v>
      </c>
      <c r="J2327" s="33" t="n">
        <v>10839</v>
      </c>
    </row>
    <row r="2328" customFormat="false" ht="15" hidden="false" customHeight="false" outlineLevel="0" collapsed="false">
      <c r="A2328" s="3" t="s">
        <v>2718</v>
      </c>
      <c r="B2328" s="3" t="s">
        <v>283</v>
      </c>
      <c r="C2328" s="3" t="s">
        <v>403</v>
      </c>
      <c r="D2328" s="3" t="s">
        <v>388</v>
      </c>
      <c r="E2328" s="3" t="s">
        <v>398</v>
      </c>
      <c r="F2328" s="16" t="n">
        <v>12</v>
      </c>
      <c r="G2328" s="15" t="n">
        <v>0.1</v>
      </c>
      <c r="H2328" s="16" t="n">
        <v>6</v>
      </c>
      <c r="I2328" s="33" t="n">
        <v>10835.88</v>
      </c>
      <c r="J2328" s="33" t="n">
        <v>12039.84</v>
      </c>
    </row>
    <row r="2329" customFormat="false" ht="15" hidden="false" customHeight="false" outlineLevel="0" collapsed="false">
      <c r="A2329" s="3" t="s">
        <v>2719</v>
      </c>
      <c r="B2329" s="3" t="s">
        <v>283</v>
      </c>
      <c r="C2329" s="3" t="s">
        <v>380</v>
      </c>
      <c r="D2329" s="3" t="s">
        <v>392</v>
      </c>
      <c r="E2329" s="3" t="s">
        <v>398</v>
      </c>
      <c r="F2329" s="16" t="n">
        <v>1</v>
      </c>
      <c r="G2329" s="15" t="n">
        <v>0</v>
      </c>
      <c r="H2329" s="16" t="n">
        <v>1</v>
      </c>
      <c r="I2329" s="33" t="n">
        <v>10835.16</v>
      </c>
      <c r="J2329" s="33" t="n">
        <v>10835.16</v>
      </c>
    </row>
    <row r="2330" customFormat="false" ht="15" hidden="false" customHeight="false" outlineLevel="0" collapsed="false">
      <c r="A2330" s="3" t="s">
        <v>2720</v>
      </c>
      <c r="B2330" s="3" t="s">
        <v>283</v>
      </c>
      <c r="C2330" s="3" t="s">
        <v>405</v>
      </c>
      <c r="D2330" s="3" t="s">
        <v>388</v>
      </c>
      <c r="E2330" s="3" t="s">
        <v>385</v>
      </c>
      <c r="F2330" s="16" t="n">
        <v>12</v>
      </c>
      <c r="G2330" s="15" t="n">
        <v>0</v>
      </c>
      <c r="H2330" s="16" t="n">
        <v>6</v>
      </c>
      <c r="I2330" s="33" t="n">
        <v>10831.2</v>
      </c>
      <c r="J2330" s="33" t="n">
        <v>10831.2</v>
      </c>
    </row>
    <row r="2331" customFormat="false" ht="15" hidden="false" customHeight="false" outlineLevel="0" collapsed="false">
      <c r="A2331" s="3" t="s">
        <v>2721</v>
      </c>
      <c r="B2331" s="3" t="s">
        <v>283</v>
      </c>
      <c r="C2331" s="3" t="s">
        <v>396</v>
      </c>
      <c r="D2331" s="3" t="s">
        <v>392</v>
      </c>
      <c r="E2331" s="3" t="s">
        <v>385</v>
      </c>
      <c r="F2331" s="16" t="n">
        <v>1</v>
      </c>
      <c r="G2331" s="15" t="n">
        <v>0.2</v>
      </c>
      <c r="H2331" s="16" t="n">
        <v>1</v>
      </c>
      <c r="I2331" s="33" t="n">
        <v>10827.84</v>
      </c>
      <c r="J2331" s="33" t="n">
        <v>13534.8</v>
      </c>
    </row>
    <row r="2332" customFormat="false" ht="15" hidden="false" customHeight="false" outlineLevel="0" collapsed="false">
      <c r="A2332" s="3" t="s">
        <v>2722</v>
      </c>
      <c r="B2332" s="3" t="s">
        <v>283</v>
      </c>
      <c r="C2332" s="3" t="s">
        <v>384</v>
      </c>
      <c r="D2332" s="3" t="s">
        <v>392</v>
      </c>
      <c r="E2332" s="3" t="s">
        <v>382</v>
      </c>
      <c r="F2332" s="16" t="n">
        <v>1</v>
      </c>
      <c r="G2332" s="15" t="n">
        <v>0.1</v>
      </c>
      <c r="H2332" s="16" t="n">
        <v>1</v>
      </c>
      <c r="I2332" s="33" t="n">
        <v>10823.52</v>
      </c>
      <c r="J2332" s="33" t="n">
        <v>12026.16</v>
      </c>
    </row>
    <row r="2333" customFormat="false" ht="15" hidden="false" customHeight="false" outlineLevel="0" collapsed="false">
      <c r="A2333" s="3" t="s">
        <v>2723</v>
      </c>
      <c r="B2333" s="3" t="s">
        <v>283</v>
      </c>
      <c r="C2333" s="3" t="s">
        <v>380</v>
      </c>
      <c r="D2333" s="3" t="s">
        <v>392</v>
      </c>
      <c r="E2333" s="3" t="s">
        <v>398</v>
      </c>
      <c r="F2333" s="16" t="n">
        <v>12</v>
      </c>
      <c r="G2333" s="15" t="n">
        <v>0.05</v>
      </c>
      <c r="H2333" s="16" t="n">
        <v>9</v>
      </c>
      <c r="I2333" s="33" t="n">
        <v>10804.92</v>
      </c>
      <c r="J2333" s="33" t="n">
        <v>11373.6</v>
      </c>
    </row>
    <row r="2334" customFormat="false" ht="15" hidden="false" customHeight="false" outlineLevel="0" collapsed="false">
      <c r="A2334" s="3" t="s">
        <v>2724</v>
      </c>
      <c r="B2334" s="3" t="s">
        <v>283</v>
      </c>
      <c r="C2334" s="3" t="s">
        <v>401</v>
      </c>
      <c r="D2334" s="3" t="s">
        <v>392</v>
      </c>
      <c r="E2334" s="3" t="s">
        <v>398</v>
      </c>
      <c r="F2334" s="16" t="n">
        <v>12</v>
      </c>
      <c r="G2334" s="15" t="n">
        <v>0</v>
      </c>
      <c r="H2334" s="16" t="n">
        <v>3</v>
      </c>
      <c r="I2334" s="33" t="n">
        <v>10788.24</v>
      </c>
      <c r="J2334" s="33" t="n">
        <v>10788.24</v>
      </c>
    </row>
    <row r="2335" customFormat="false" ht="15" hidden="false" customHeight="false" outlineLevel="0" collapsed="false">
      <c r="A2335" s="3" t="s">
        <v>2725</v>
      </c>
      <c r="B2335" s="3" t="s">
        <v>283</v>
      </c>
      <c r="C2335" s="3" t="s">
        <v>384</v>
      </c>
      <c r="D2335" s="3" t="s">
        <v>392</v>
      </c>
      <c r="E2335" s="3" t="s">
        <v>398</v>
      </c>
      <c r="F2335" s="16" t="n">
        <v>12</v>
      </c>
      <c r="G2335" s="15" t="n">
        <v>0</v>
      </c>
      <c r="H2335" s="16" t="n">
        <v>2</v>
      </c>
      <c r="I2335" s="33" t="n">
        <v>10784.52</v>
      </c>
      <c r="J2335" s="33" t="n">
        <v>10784.52</v>
      </c>
    </row>
    <row r="2336" customFormat="false" ht="15" hidden="false" customHeight="false" outlineLevel="0" collapsed="false">
      <c r="A2336" s="3" t="s">
        <v>2726</v>
      </c>
      <c r="B2336" s="3" t="s">
        <v>283</v>
      </c>
      <c r="C2336" s="3" t="s">
        <v>405</v>
      </c>
      <c r="D2336" s="3" t="s">
        <v>418</v>
      </c>
      <c r="E2336" s="3" t="s">
        <v>398</v>
      </c>
      <c r="F2336" s="16" t="n">
        <v>12</v>
      </c>
      <c r="G2336" s="15" t="n">
        <v>0.05</v>
      </c>
      <c r="H2336" s="16" t="n">
        <v>1</v>
      </c>
      <c r="I2336" s="33" t="n">
        <v>10781.4</v>
      </c>
      <c r="J2336" s="33" t="n">
        <v>11348.88</v>
      </c>
    </row>
    <row r="2337" customFormat="false" ht="15" hidden="false" customHeight="false" outlineLevel="0" collapsed="false">
      <c r="A2337" s="3" t="s">
        <v>2727</v>
      </c>
      <c r="B2337" s="3" t="s">
        <v>283</v>
      </c>
      <c r="C2337" s="3" t="s">
        <v>380</v>
      </c>
      <c r="D2337" s="3" t="s">
        <v>381</v>
      </c>
      <c r="E2337" s="3" t="s">
        <v>398</v>
      </c>
      <c r="F2337" s="16" t="n">
        <v>1</v>
      </c>
      <c r="G2337" s="15" t="n">
        <v>0</v>
      </c>
      <c r="H2337" s="16" t="n">
        <v>1</v>
      </c>
      <c r="I2337" s="33" t="n">
        <v>10776</v>
      </c>
      <c r="J2337" s="33" t="n">
        <v>10776</v>
      </c>
    </row>
    <row r="2338" customFormat="false" ht="15" hidden="false" customHeight="false" outlineLevel="0" collapsed="false">
      <c r="A2338" s="3" t="s">
        <v>2728</v>
      </c>
      <c r="B2338" s="3" t="s">
        <v>283</v>
      </c>
      <c r="C2338" s="3" t="s">
        <v>387</v>
      </c>
      <c r="D2338" s="3" t="s">
        <v>692</v>
      </c>
      <c r="E2338" s="3" t="s">
        <v>398</v>
      </c>
      <c r="F2338" s="16" t="n">
        <v>12</v>
      </c>
      <c r="G2338" s="15" t="n">
        <v>0</v>
      </c>
      <c r="H2338" s="16" t="n">
        <v>7</v>
      </c>
      <c r="I2338" s="33" t="n">
        <v>10769.88</v>
      </c>
      <c r="J2338" s="33" t="n">
        <v>10769.88</v>
      </c>
    </row>
    <row r="2339" customFormat="false" ht="15" hidden="false" customHeight="false" outlineLevel="0" collapsed="false">
      <c r="A2339" s="3" t="s">
        <v>2729</v>
      </c>
      <c r="B2339" s="3" t="s">
        <v>283</v>
      </c>
      <c r="C2339" s="3" t="s">
        <v>387</v>
      </c>
      <c r="D2339" s="3" t="s">
        <v>418</v>
      </c>
      <c r="E2339" s="3" t="s">
        <v>398</v>
      </c>
      <c r="F2339" s="16" t="n">
        <v>1</v>
      </c>
      <c r="G2339" s="15" t="n">
        <v>0</v>
      </c>
      <c r="H2339" s="16" t="n">
        <v>1</v>
      </c>
      <c r="I2339" s="33" t="n">
        <v>10758.48</v>
      </c>
      <c r="J2339" s="33" t="n">
        <v>10758.48</v>
      </c>
    </row>
    <row r="2340" customFormat="false" ht="15" hidden="false" customHeight="false" outlineLevel="0" collapsed="false">
      <c r="A2340" s="3" t="s">
        <v>2730</v>
      </c>
      <c r="B2340" s="3" t="s">
        <v>283</v>
      </c>
      <c r="C2340" s="3" t="s">
        <v>403</v>
      </c>
      <c r="D2340" s="3" t="s">
        <v>418</v>
      </c>
      <c r="E2340" s="3" t="s">
        <v>398</v>
      </c>
      <c r="F2340" s="16" t="n">
        <v>12</v>
      </c>
      <c r="G2340" s="15" t="n">
        <v>0.2</v>
      </c>
      <c r="H2340" s="16" t="n">
        <v>11</v>
      </c>
      <c r="I2340" s="33" t="n">
        <v>10753.44</v>
      </c>
      <c r="J2340" s="33" t="n">
        <v>13441.8</v>
      </c>
    </row>
    <row r="2341" customFormat="false" ht="15" hidden="false" customHeight="false" outlineLevel="0" collapsed="false">
      <c r="A2341" s="3" t="s">
        <v>2731</v>
      </c>
      <c r="B2341" s="3" t="s">
        <v>283</v>
      </c>
      <c r="C2341" s="3" t="s">
        <v>380</v>
      </c>
      <c r="D2341" s="3" t="s">
        <v>418</v>
      </c>
      <c r="E2341" s="3" t="s">
        <v>385</v>
      </c>
      <c r="F2341" s="16" t="n">
        <v>12</v>
      </c>
      <c r="G2341" s="15" t="n">
        <v>0.25</v>
      </c>
      <c r="H2341" s="16" t="n">
        <v>10</v>
      </c>
      <c r="I2341" s="33" t="n">
        <v>10747.56</v>
      </c>
      <c r="J2341" s="33" t="n">
        <v>14330.16</v>
      </c>
    </row>
    <row r="2342" customFormat="false" ht="15" hidden="false" customHeight="false" outlineLevel="0" collapsed="false">
      <c r="A2342" s="3" t="s">
        <v>2732</v>
      </c>
      <c r="B2342" s="3" t="s">
        <v>283</v>
      </c>
      <c r="C2342" s="3" t="s">
        <v>387</v>
      </c>
      <c r="D2342" s="3" t="s">
        <v>692</v>
      </c>
      <c r="E2342" s="3" t="s">
        <v>398</v>
      </c>
      <c r="F2342" s="16" t="n">
        <v>1</v>
      </c>
      <c r="G2342" s="15" t="n">
        <v>0</v>
      </c>
      <c r="H2342" s="16" t="n">
        <v>1</v>
      </c>
      <c r="I2342" s="33" t="n">
        <v>10747.32</v>
      </c>
      <c r="J2342" s="33" t="n">
        <v>10747.32</v>
      </c>
    </row>
    <row r="2343" customFormat="false" ht="15" hidden="false" customHeight="false" outlineLevel="0" collapsed="false">
      <c r="A2343" s="3" t="s">
        <v>2733</v>
      </c>
      <c r="B2343" s="3" t="s">
        <v>283</v>
      </c>
      <c r="C2343" s="3" t="s">
        <v>401</v>
      </c>
      <c r="D2343" s="3" t="s">
        <v>692</v>
      </c>
      <c r="E2343" s="3" t="s">
        <v>382</v>
      </c>
      <c r="F2343" s="16" t="n">
        <v>1</v>
      </c>
      <c r="G2343" s="15" t="n">
        <v>0.1</v>
      </c>
      <c r="H2343" s="16" t="n">
        <v>1</v>
      </c>
      <c r="I2343" s="33" t="n">
        <v>10746.84</v>
      </c>
      <c r="J2343" s="33" t="n">
        <v>11940.96</v>
      </c>
    </row>
    <row r="2344" customFormat="false" ht="15" hidden="false" customHeight="false" outlineLevel="0" collapsed="false">
      <c r="A2344" s="3" t="s">
        <v>2734</v>
      </c>
      <c r="B2344" s="3" t="s">
        <v>283</v>
      </c>
      <c r="C2344" s="3" t="s">
        <v>405</v>
      </c>
      <c r="D2344" s="3" t="s">
        <v>692</v>
      </c>
      <c r="E2344" s="3" t="s">
        <v>398</v>
      </c>
      <c r="F2344" s="16" t="n">
        <v>1</v>
      </c>
      <c r="G2344" s="15" t="n">
        <v>0</v>
      </c>
      <c r="H2344" s="16" t="n">
        <v>1</v>
      </c>
      <c r="I2344" s="33" t="n">
        <v>10744.68</v>
      </c>
      <c r="J2344" s="33" t="n">
        <v>10744.68</v>
      </c>
    </row>
    <row r="2345" customFormat="false" ht="15" hidden="false" customHeight="false" outlineLevel="0" collapsed="false">
      <c r="A2345" s="3" t="s">
        <v>2735</v>
      </c>
      <c r="B2345" s="3" t="s">
        <v>283</v>
      </c>
      <c r="C2345" s="3" t="s">
        <v>384</v>
      </c>
      <c r="D2345" s="3" t="s">
        <v>392</v>
      </c>
      <c r="E2345" s="3" t="s">
        <v>385</v>
      </c>
      <c r="F2345" s="16" t="n">
        <v>1</v>
      </c>
      <c r="G2345" s="15" t="n">
        <v>0</v>
      </c>
      <c r="H2345" s="16" t="n">
        <v>1</v>
      </c>
      <c r="I2345" s="33" t="n">
        <v>10742.88</v>
      </c>
      <c r="J2345" s="33" t="n">
        <v>10742.88</v>
      </c>
    </row>
    <row r="2346" customFormat="false" ht="15" hidden="false" customHeight="false" outlineLevel="0" collapsed="false">
      <c r="A2346" s="3" t="s">
        <v>2736</v>
      </c>
      <c r="B2346" s="3" t="s">
        <v>283</v>
      </c>
      <c r="C2346" s="3" t="s">
        <v>403</v>
      </c>
      <c r="D2346" s="3" t="s">
        <v>418</v>
      </c>
      <c r="E2346" s="3" t="s">
        <v>398</v>
      </c>
      <c r="F2346" s="16" t="n">
        <v>12</v>
      </c>
      <c r="G2346" s="15" t="n">
        <v>0</v>
      </c>
      <c r="H2346" s="16" t="n">
        <v>4</v>
      </c>
      <c r="I2346" s="33" t="n">
        <v>10742.28</v>
      </c>
      <c r="J2346" s="33" t="n">
        <v>10742.28</v>
      </c>
    </row>
    <row r="2347" customFormat="false" ht="15" hidden="false" customHeight="false" outlineLevel="0" collapsed="false">
      <c r="A2347" s="3" t="s">
        <v>2737</v>
      </c>
      <c r="B2347" s="3" t="s">
        <v>283</v>
      </c>
      <c r="C2347" s="3" t="s">
        <v>401</v>
      </c>
      <c r="D2347" s="3" t="s">
        <v>392</v>
      </c>
      <c r="E2347" s="3" t="s">
        <v>382</v>
      </c>
      <c r="F2347" s="16" t="n">
        <v>1</v>
      </c>
      <c r="G2347" s="15" t="n">
        <v>0</v>
      </c>
      <c r="H2347" s="16" t="n">
        <v>1</v>
      </c>
      <c r="I2347" s="33" t="n">
        <v>10739.88</v>
      </c>
      <c r="J2347" s="33" t="n">
        <v>10739.88</v>
      </c>
    </row>
    <row r="2348" customFormat="false" ht="15" hidden="false" customHeight="false" outlineLevel="0" collapsed="false">
      <c r="A2348" s="3" t="s">
        <v>2738</v>
      </c>
      <c r="B2348" s="3" t="s">
        <v>283</v>
      </c>
      <c r="C2348" s="3" t="s">
        <v>380</v>
      </c>
      <c r="D2348" s="3" t="s">
        <v>392</v>
      </c>
      <c r="E2348" s="3" t="s">
        <v>398</v>
      </c>
      <c r="F2348" s="16" t="n">
        <v>12</v>
      </c>
      <c r="G2348" s="15" t="n">
        <v>0.4</v>
      </c>
      <c r="H2348" s="16" t="n">
        <v>5</v>
      </c>
      <c r="I2348" s="33" t="n">
        <v>10736.28</v>
      </c>
      <c r="J2348" s="33" t="n">
        <v>17893.8</v>
      </c>
    </row>
    <row r="2349" customFormat="false" ht="15" hidden="false" customHeight="false" outlineLevel="0" collapsed="false">
      <c r="A2349" s="3" t="s">
        <v>2739</v>
      </c>
      <c r="B2349" s="3" t="s">
        <v>283</v>
      </c>
      <c r="C2349" s="3" t="s">
        <v>387</v>
      </c>
      <c r="D2349" s="3" t="s">
        <v>418</v>
      </c>
      <c r="E2349" s="3" t="s">
        <v>398</v>
      </c>
      <c r="F2349" s="16" t="n">
        <v>1</v>
      </c>
      <c r="G2349" s="15" t="n">
        <v>0</v>
      </c>
      <c r="H2349" s="16" t="n">
        <v>1</v>
      </c>
      <c r="I2349" s="33" t="n">
        <v>10725.96</v>
      </c>
      <c r="J2349" s="33" t="n">
        <v>10725.96</v>
      </c>
    </row>
    <row r="2350" customFormat="false" ht="15" hidden="false" customHeight="false" outlineLevel="0" collapsed="false">
      <c r="A2350" s="3" t="s">
        <v>2740</v>
      </c>
      <c r="B2350" s="3" t="s">
        <v>283</v>
      </c>
      <c r="C2350" s="3" t="s">
        <v>401</v>
      </c>
      <c r="D2350" s="3" t="s">
        <v>692</v>
      </c>
      <c r="E2350" s="3" t="s">
        <v>398</v>
      </c>
      <c r="F2350" s="16" t="n">
        <v>12</v>
      </c>
      <c r="G2350" s="15" t="n">
        <v>0</v>
      </c>
      <c r="H2350" s="16" t="n">
        <v>6</v>
      </c>
      <c r="I2350" s="33" t="n">
        <v>10716.12</v>
      </c>
      <c r="J2350" s="33" t="n">
        <v>10716.12</v>
      </c>
    </row>
    <row r="2351" customFormat="false" ht="15" hidden="false" customHeight="false" outlineLevel="0" collapsed="false">
      <c r="A2351" s="3" t="s">
        <v>2741</v>
      </c>
      <c r="B2351" s="3" t="s">
        <v>283</v>
      </c>
      <c r="C2351" s="3" t="s">
        <v>384</v>
      </c>
      <c r="D2351" s="3" t="s">
        <v>388</v>
      </c>
      <c r="E2351" s="3" t="s">
        <v>385</v>
      </c>
      <c r="F2351" s="16" t="n">
        <v>1</v>
      </c>
      <c r="G2351" s="15" t="n">
        <v>0</v>
      </c>
      <c r="H2351" s="16" t="n">
        <v>1</v>
      </c>
      <c r="I2351" s="33" t="n">
        <v>10708.56</v>
      </c>
      <c r="J2351" s="33" t="n">
        <v>10708.56</v>
      </c>
    </row>
    <row r="2352" customFormat="false" ht="15" hidden="false" customHeight="false" outlineLevel="0" collapsed="false">
      <c r="A2352" s="3" t="s">
        <v>2742</v>
      </c>
      <c r="B2352" s="3" t="s">
        <v>283</v>
      </c>
      <c r="C2352" s="3" t="s">
        <v>396</v>
      </c>
      <c r="D2352" s="3" t="s">
        <v>692</v>
      </c>
      <c r="E2352" s="3" t="s">
        <v>398</v>
      </c>
      <c r="F2352" s="16" t="n">
        <v>1</v>
      </c>
      <c r="G2352" s="15" t="n">
        <v>0</v>
      </c>
      <c r="H2352" s="16" t="n">
        <v>1</v>
      </c>
      <c r="I2352" s="33" t="n">
        <v>10706.88</v>
      </c>
      <c r="J2352" s="33" t="n">
        <v>10706.88</v>
      </c>
    </row>
    <row r="2353" customFormat="false" ht="15" hidden="false" customHeight="false" outlineLevel="0" collapsed="false">
      <c r="A2353" s="3" t="s">
        <v>2743</v>
      </c>
      <c r="B2353" s="3" t="s">
        <v>283</v>
      </c>
      <c r="C2353" s="3" t="s">
        <v>396</v>
      </c>
      <c r="D2353" s="3" t="s">
        <v>418</v>
      </c>
      <c r="E2353" s="3" t="s">
        <v>398</v>
      </c>
      <c r="F2353" s="16" t="n">
        <v>1</v>
      </c>
      <c r="G2353" s="15" t="n">
        <v>0</v>
      </c>
      <c r="H2353" s="16" t="n">
        <v>1</v>
      </c>
      <c r="I2353" s="33" t="n">
        <v>10690.92</v>
      </c>
      <c r="J2353" s="33" t="n">
        <v>10690.92</v>
      </c>
    </row>
    <row r="2354" customFormat="false" ht="15" hidden="false" customHeight="false" outlineLevel="0" collapsed="false">
      <c r="A2354" s="3" t="s">
        <v>2744</v>
      </c>
      <c r="B2354" s="3" t="s">
        <v>283</v>
      </c>
      <c r="C2354" s="3" t="s">
        <v>384</v>
      </c>
      <c r="D2354" s="3" t="s">
        <v>392</v>
      </c>
      <c r="E2354" s="3" t="s">
        <v>398</v>
      </c>
      <c r="F2354" s="16" t="n">
        <v>1</v>
      </c>
      <c r="G2354" s="15" t="n">
        <v>0.4</v>
      </c>
      <c r="H2354" s="16" t="n">
        <v>1</v>
      </c>
      <c r="I2354" s="33" t="n">
        <v>10671</v>
      </c>
      <c r="J2354" s="33" t="n">
        <v>17784.96</v>
      </c>
    </row>
    <row r="2355" customFormat="false" ht="15" hidden="false" customHeight="false" outlineLevel="0" collapsed="false">
      <c r="A2355" s="3" t="s">
        <v>2745</v>
      </c>
      <c r="B2355" s="3" t="s">
        <v>283</v>
      </c>
      <c r="C2355" s="3" t="s">
        <v>387</v>
      </c>
      <c r="D2355" s="3" t="s">
        <v>381</v>
      </c>
      <c r="E2355" s="3" t="s">
        <v>398</v>
      </c>
      <c r="F2355" s="16" t="n">
        <v>12</v>
      </c>
      <c r="G2355" s="15" t="n">
        <v>0.1</v>
      </c>
      <c r="H2355" s="16" t="n">
        <v>6</v>
      </c>
      <c r="I2355" s="33" t="n">
        <v>10666.56</v>
      </c>
      <c r="J2355" s="33" t="n">
        <v>11851.8</v>
      </c>
    </row>
    <row r="2356" customFormat="false" ht="15" hidden="false" customHeight="false" outlineLevel="0" collapsed="false">
      <c r="A2356" s="3" t="s">
        <v>2746</v>
      </c>
      <c r="B2356" s="3" t="s">
        <v>283</v>
      </c>
      <c r="C2356" s="3" t="s">
        <v>401</v>
      </c>
      <c r="D2356" s="3" t="s">
        <v>392</v>
      </c>
      <c r="E2356" s="3" t="s">
        <v>382</v>
      </c>
      <c r="F2356" s="16" t="n">
        <v>12</v>
      </c>
      <c r="G2356" s="15" t="n">
        <v>0</v>
      </c>
      <c r="H2356" s="16" t="n">
        <v>11</v>
      </c>
      <c r="I2356" s="33" t="n">
        <v>10666.2</v>
      </c>
      <c r="J2356" s="33" t="n">
        <v>10666.2</v>
      </c>
    </row>
    <row r="2357" customFormat="false" ht="15" hidden="false" customHeight="false" outlineLevel="0" collapsed="false">
      <c r="A2357" s="3" t="s">
        <v>2747</v>
      </c>
      <c r="B2357" s="3" t="s">
        <v>283</v>
      </c>
      <c r="C2357" s="3" t="s">
        <v>405</v>
      </c>
      <c r="D2357" s="3" t="s">
        <v>418</v>
      </c>
      <c r="E2357" s="3" t="s">
        <v>398</v>
      </c>
      <c r="F2357" s="16" t="n">
        <v>12</v>
      </c>
      <c r="G2357" s="15" t="n">
        <v>0.25</v>
      </c>
      <c r="H2357" s="16" t="n">
        <v>12</v>
      </c>
      <c r="I2357" s="33" t="n">
        <v>10663.68</v>
      </c>
      <c r="J2357" s="33" t="n">
        <v>14218.2</v>
      </c>
    </row>
    <row r="2358" customFormat="false" ht="15" hidden="false" customHeight="false" outlineLevel="0" collapsed="false">
      <c r="A2358" s="3" t="s">
        <v>2748</v>
      </c>
      <c r="B2358" s="3" t="s">
        <v>283</v>
      </c>
      <c r="C2358" s="3" t="s">
        <v>405</v>
      </c>
      <c r="D2358" s="3" t="s">
        <v>392</v>
      </c>
      <c r="E2358" s="3" t="s">
        <v>398</v>
      </c>
      <c r="F2358" s="16" t="n">
        <v>12</v>
      </c>
      <c r="G2358" s="15" t="n">
        <v>0</v>
      </c>
      <c r="H2358" s="16" t="n">
        <v>2</v>
      </c>
      <c r="I2358" s="33" t="n">
        <v>10616.04</v>
      </c>
      <c r="J2358" s="33" t="n">
        <v>10616.04</v>
      </c>
    </row>
    <row r="2359" customFormat="false" ht="15" hidden="false" customHeight="false" outlineLevel="0" collapsed="false">
      <c r="A2359" s="3" t="s">
        <v>2749</v>
      </c>
      <c r="B2359" s="3" t="s">
        <v>283</v>
      </c>
      <c r="C2359" s="3" t="s">
        <v>384</v>
      </c>
      <c r="D2359" s="3" t="s">
        <v>692</v>
      </c>
      <c r="E2359" s="3" t="s">
        <v>382</v>
      </c>
      <c r="F2359" s="16" t="n">
        <v>1</v>
      </c>
      <c r="G2359" s="15" t="n">
        <v>0.1</v>
      </c>
      <c r="H2359" s="16" t="n">
        <v>1</v>
      </c>
      <c r="I2359" s="33" t="n">
        <v>10607.52</v>
      </c>
      <c r="J2359" s="33" t="n">
        <v>11786.04</v>
      </c>
    </row>
    <row r="2360" customFormat="false" ht="15" hidden="false" customHeight="false" outlineLevel="0" collapsed="false">
      <c r="A2360" s="3" t="s">
        <v>2750</v>
      </c>
      <c r="B2360" s="3" t="s">
        <v>283</v>
      </c>
      <c r="C2360" s="3" t="s">
        <v>384</v>
      </c>
      <c r="D2360" s="3" t="s">
        <v>692</v>
      </c>
      <c r="E2360" s="3" t="s">
        <v>398</v>
      </c>
      <c r="F2360" s="16" t="n">
        <v>12</v>
      </c>
      <c r="G2360" s="15" t="n">
        <v>0.1</v>
      </c>
      <c r="H2360" s="16" t="n">
        <v>1</v>
      </c>
      <c r="I2360" s="33" t="n">
        <v>10597.08</v>
      </c>
      <c r="J2360" s="33" t="n">
        <v>11774.52</v>
      </c>
    </row>
    <row r="2361" customFormat="false" ht="15" hidden="false" customHeight="false" outlineLevel="0" collapsed="false">
      <c r="A2361" s="3" t="s">
        <v>2751</v>
      </c>
      <c r="B2361" s="3" t="s">
        <v>283</v>
      </c>
      <c r="C2361" s="3" t="s">
        <v>396</v>
      </c>
      <c r="D2361" s="3" t="s">
        <v>392</v>
      </c>
      <c r="E2361" s="3" t="s">
        <v>398</v>
      </c>
      <c r="F2361" s="16" t="n">
        <v>12</v>
      </c>
      <c r="G2361" s="15" t="n">
        <v>0.1</v>
      </c>
      <c r="H2361" s="16" t="n">
        <v>1</v>
      </c>
      <c r="I2361" s="33" t="n">
        <v>10595.88</v>
      </c>
      <c r="J2361" s="33" t="n">
        <v>11773.32</v>
      </c>
    </row>
    <row r="2362" customFormat="false" ht="15" hidden="false" customHeight="false" outlineLevel="0" collapsed="false">
      <c r="A2362" s="3" t="s">
        <v>2752</v>
      </c>
      <c r="B2362" s="3" t="s">
        <v>283</v>
      </c>
      <c r="C2362" s="3" t="s">
        <v>380</v>
      </c>
      <c r="D2362" s="3" t="s">
        <v>418</v>
      </c>
      <c r="E2362" s="3" t="s">
        <v>398</v>
      </c>
      <c r="F2362" s="16" t="n">
        <v>1</v>
      </c>
      <c r="G2362" s="15" t="n">
        <v>0.05</v>
      </c>
      <c r="H2362" s="16" t="n">
        <v>1</v>
      </c>
      <c r="I2362" s="33" t="n">
        <v>10589.52</v>
      </c>
      <c r="J2362" s="33" t="n">
        <v>11146.92</v>
      </c>
    </row>
    <row r="2363" customFormat="false" ht="15" hidden="false" customHeight="false" outlineLevel="0" collapsed="false">
      <c r="A2363" s="3" t="s">
        <v>2753</v>
      </c>
      <c r="B2363" s="3" t="s">
        <v>283</v>
      </c>
      <c r="C2363" s="3" t="s">
        <v>387</v>
      </c>
      <c r="D2363" s="3" t="s">
        <v>692</v>
      </c>
      <c r="E2363" s="3" t="s">
        <v>398</v>
      </c>
      <c r="F2363" s="16" t="n">
        <v>1</v>
      </c>
      <c r="G2363" s="15" t="n">
        <v>0.1</v>
      </c>
      <c r="H2363" s="16" t="n">
        <v>1</v>
      </c>
      <c r="I2363" s="33" t="n">
        <v>10588.68</v>
      </c>
      <c r="J2363" s="33" t="n">
        <v>11765.16</v>
      </c>
    </row>
    <row r="2364" customFormat="false" ht="15" hidden="false" customHeight="false" outlineLevel="0" collapsed="false">
      <c r="A2364" s="3" t="s">
        <v>2754</v>
      </c>
      <c r="B2364" s="3" t="s">
        <v>283</v>
      </c>
      <c r="C2364" s="3" t="s">
        <v>403</v>
      </c>
      <c r="D2364" s="3" t="s">
        <v>692</v>
      </c>
      <c r="E2364" s="3" t="s">
        <v>382</v>
      </c>
      <c r="F2364" s="16" t="n">
        <v>12</v>
      </c>
      <c r="G2364" s="15" t="n">
        <v>0</v>
      </c>
      <c r="H2364" s="16" t="n">
        <v>12</v>
      </c>
      <c r="I2364" s="33" t="n">
        <v>10587.36</v>
      </c>
      <c r="J2364" s="33" t="n">
        <v>10587.36</v>
      </c>
    </row>
    <row r="2365" customFormat="false" ht="15" hidden="false" customHeight="false" outlineLevel="0" collapsed="false">
      <c r="A2365" s="3" t="s">
        <v>2755</v>
      </c>
      <c r="B2365" s="3" t="s">
        <v>283</v>
      </c>
      <c r="C2365" s="3" t="s">
        <v>405</v>
      </c>
      <c r="D2365" s="3" t="s">
        <v>392</v>
      </c>
      <c r="E2365" s="3" t="s">
        <v>398</v>
      </c>
      <c r="F2365" s="16" t="n">
        <v>12</v>
      </c>
      <c r="G2365" s="15" t="n">
        <v>0.2</v>
      </c>
      <c r="H2365" s="16" t="n">
        <v>6</v>
      </c>
      <c r="I2365" s="33" t="n">
        <v>10582.56</v>
      </c>
      <c r="J2365" s="33" t="n">
        <v>13228.2</v>
      </c>
    </row>
    <row r="2366" customFormat="false" ht="15" hidden="false" customHeight="false" outlineLevel="0" collapsed="false">
      <c r="A2366" s="3" t="s">
        <v>2756</v>
      </c>
      <c r="B2366" s="3" t="s">
        <v>283</v>
      </c>
      <c r="C2366" s="3" t="s">
        <v>396</v>
      </c>
      <c r="D2366" s="3" t="s">
        <v>692</v>
      </c>
      <c r="E2366" s="3" t="s">
        <v>398</v>
      </c>
      <c r="F2366" s="16" t="n">
        <v>1</v>
      </c>
      <c r="G2366" s="15" t="n">
        <v>0</v>
      </c>
      <c r="H2366" s="16" t="n">
        <v>1</v>
      </c>
      <c r="I2366" s="33" t="n">
        <v>10581.96</v>
      </c>
      <c r="J2366" s="33" t="n">
        <v>10581.96</v>
      </c>
    </row>
    <row r="2367" customFormat="false" ht="15" hidden="false" customHeight="false" outlineLevel="0" collapsed="false">
      <c r="A2367" s="3" t="s">
        <v>2757</v>
      </c>
      <c r="B2367" s="3" t="s">
        <v>283</v>
      </c>
      <c r="C2367" s="3" t="s">
        <v>401</v>
      </c>
      <c r="D2367" s="3" t="s">
        <v>692</v>
      </c>
      <c r="E2367" s="3" t="s">
        <v>398</v>
      </c>
      <c r="F2367" s="16" t="n">
        <v>12</v>
      </c>
      <c r="G2367" s="15" t="n">
        <v>0</v>
      </c>
      <c r="H2367" s="16" t="n">
        <v>10</v>
      </c>
      <c r="I2367" s="33" t="n">
        <v>10578.48</v>
      </c>
      <c r="J2367" s="33" t="n">
        <v>10578.48</v>
      </c>
    </row>
    <row r="2368" customFormat="false" ht="15" hidden="false" customHeight="false" outlineLevel="0" collapsed="false">
      <c r="A2368" s="3" t="s">
        <v>2758</v>
      </c>
      <c r="B2368" s="3" t="s">
        <v>283</v>
      </c>
      <c r="C2368" s="3" t="s">
        <v>403</v>
      </c>
      <c r="D2368" s="3" t="s">
        <v>392</v>
      </c>
      <c r="E2368" s="3" t="s">
        <v>398</v>
      </c>
      <c r="F2368" s="16" t="n">
        <v>12</v>
      </c>
      <c r="G2368" s="15" t="n">
        <v>0</v>
      </c>
      <c r="H2368" s="16" t="n">
        <v>6</v>
      </c>
      <c r="I2368" s="33" t="n">
        <v>10577.4</v>
      </c>
      <c r="J2368" s="33" t="n">
        <v>10577.4</v>
      </c>
    </row>
    <row r="2369" customFormat="false" ht="15" hidden="false" customHeight="false" outlineLevel="0" collapsed="false">
      <c r="A2369" s="3" t="s">
        <v>2759</v>
      </c>
      <c r="B2369" s="3" t="s">
        <v>283</v>
      </c>
      <c r="C2369" s="3" t="s">
        <v>405</v>
      </c>
      <c r="D2369" s="3" t="s">
        <v>392</v>
      </c>
      <c r="E2369" s="3" t="s">
        <v>398</v>
      </c>
      <c r="F2369" s="16" t="n">
        <v>1</v>
      </c>
      <c r="G2369" s="15" t="n">
        <v>0</v>
      </c>
      <c r="H2369" s="16" t="n">
        <v>1</v>
      </c>
      <c r="I2369" s="33" t="n">
        <v>10569.24</v>
      </c>
      <c r="J2369" s="33" t="n">
        <v>10569.24</v>
      </c>
    </row>
    <row r="2370" customFormat="false" ht="15" hidden="false" customHeight="false" outlineLevel="0" collapsed="false">
      <c r="A2370" s="3" t="s">
        <v>2760</v>
      </c>
      <c r="B2370" s="3" t="s">
        <v>283</v>
      </c>
      <c r="C2370" s="3" t="s">
        <v>405</v>
      </c>
      <c r="D2370" s="3" t="s">
        <v>692</v>
      </c>
      <c r="E2370" s="3" t="s">
        <v>398</v>
      </c>
      <c r="F2370" s="16" t="n">
        <v>1</v>
      </c>
      <c r="G2370" s="15" t="n">
        <v>0</v>
      </c>
      <c r="H2370" s="16" t="n">
        <v>1</v>
      </c>
      <c r="I2370" s="33" t="n">
        <v>10538.64</v>
      </c>
      <c r="J2370" s="33" t="n">
        <v>10538.64</v>
      </c>
    </row>
    <row r="2371" customFormat="false" ht="15" hidden="false" customHeight="false" outlineLevel="0" collapsed="false">
      <c r="A2371" s="3" t="s">
        <v>2761</v>
      </c>
      <c r="B2371" s="3" t="s">
        <v>283</v>
      </c>
      <c r="C2371" s="3" t="s">
        <v>405</v>
      </c>
      <c r="D2371" s="3" t="s">
        <v>418</v>
      </c>
      <c r="E2371" s="3" t="s">
        <v>398</v>
      </c>
      <c r="F2371" s="16" t="n">
        <v>12</v>
      </c>
      <c r="G2371" s="15" t="n">
        <v>0.1</v>
      </c>
      <c r="H2371" s="16" t="n">
        <v>8</v>
      </c>
      <c r="I2371" s="33" t="n">
        <v>10538.04</v>
      </c>
      <c r="J2371" s="33" t="n">
        <v>11709</v>
      </c>
    </row>
    <row r="2372" customFormat="false" ht="15" hidden="false" customHeight="false" outlineLevel="0" collapsed="false">
      <c r="A2372" s="3" t="s">
        <v>2762</v>
      </c>
      <c r="B2372" s="3" t="s">
        <v>283</v>
      </c>
      <c r="C2372" s="3" t="s">
        <v>387</v>
      </c>
      <c r="D2372" s="3" t="s">
        <v>381</v>
      </c>
      <c r="E2372" s="3" t="s">
        <v>398</v>
      </c>
      <c r="F2372" s="16" t="n">
        <v>1</v>
      </c>
      <c r="G2372" s="15" t="n">
        <v>0</v>
      </c>
      <c r="H2372" s="16" t="n">
        <v>1</v>
      </c>
      <c r="I2372" s="33" t="n">
        <v>10533.72</v>
      </c>
      <c r="J2372" s="33" t="n">
        <v>10533.72</v>
      </c>
    </row>
    <row r="2373" customFormat="false" ht="15" hidden="false" customHeight="false" outlineLevel="0" collapsed="false">
      <c r="A2373" s="3" t="s">
        <v>2763</v>
      </c>
      <c r="B2373" s="3" t="s">
        <v>283</v>
      </c>
      <c r="C2373" s="3" t="s">
        <v>380</v>
      </c>
      <c r="D2373" s="3" t="s">
        <v>692</v>
      </c>
      <c r="E2373" s="3" t="s">
        <v>398</v>
      </c>
      <c r="F2373" s="16" t="n">
        <v>1</v>
      </c>
      <c r="G2373" s="15" t="n">
        <v>0.35</v>
      </c>
      <c r="H2373" s="16" t="n">
        <v>1</v>
      </c>
      <c r="I2373" s="33" t="n">
        <v>10529.4</v>
      </c>
      <c r="J2373" s="33" t="n">
        <v>16199.04</v>
      </c>
    </row>
    <row r="2374" customFormat="false" ht="15" hidden="false" customHeight="false" outlineLevel="0" collapsed="false">
      <c r="A2374" s="3" t="s">
        <v>2764</v>
      </c>
      <c r="B2374" s="3" t="s">
        <v>283</v>
      </c>
      <c r="C2374" s="3" t="s">
        <v>380</v>
      </c>
      <c r="D2374" s="3" t="s">
        <v>392</v>
      </c>
      <c r="E2374" s="3" t="s">
        <v>398</v>
      </c>
      <c r="F2374" s="16" t="n">
        <v>1</v>
      </c>
      <c r="G2374" s="15" t="n">
        <v>0</v>
      </c>
      <c r="H2374" s="16" t="n">
        <v>1</v>
      </c>
      <c r="I2374" s="33" t="n">
        <v>10518.36</v>
      </c>
      <c r="J2374" s="33" t="n">
        <v>10518.36</v>
      </c>
    </row>
    <row r="2375" customFormat="false" ht="15" hidden="false" customHeight="false" outlineLevel="0" collapsed="false">
      <c r="A2375" s="3" t="s">
        <v>2765</v>
      </c>
      <c r="B2375" s="3" t="s">
        <v>283</v>
      </c>
      <c r="C2375" s="3" t="s">
        <v>405</v>
      </c>
      <c r="D2375" s="3" t="s">
        <v>392</v>
      </c>
      <c r="E2375" s="3" t="s">
        <v>398</v>
      </c>
      <c r="F2375" s="16" t="n">
        <v>12</v>
      </c>
      <c r="G2375" s="15" t="n">
        <v>0</v>
      </c>
      <c r="H2375" s="16" t="n">
        <v>7</v>
      </c>
      <c r="I2375" s="33" t="n">
        <v>10489.68</v>
      </c>
      <c r="J2375" s="33" t="n">
        <v>10489.68</v>
      </c>
    </row>
    <row r="2376" customFormat="false" ht="15" hidden="false" customHeight="false" outlineLevel="0" collapsed="false">
      <c r="A2376" s="3" t="s">
        <v>2766</v>
      </c>
      <c r="B2376" s="3" t="s">
        <v>283</v>
      </c>
      <c r="C2376" s="3" t="s">
        <v>380</v>
      </c>
      <c r="D2376" s="3" t="s">
        <v>388</v>
      </c>
      <c r="E2376" s="3" t="s">
        <v>398</v>
      </c>
      <c r="F2376" s="16" t="n">
        <v>12</v>
      </c>
      <c r="G2376" s="15" t="n">
        <v>0.25</v>
      </c>
      <c r="H2376" s="16" t="n">
        <v>1</v>
      </c>
      <c r="I2376" s="33" t="n">
        <v>10488.72</v>
      </c>
      <c r="J2376" s="33" t="n">
        <v>13984.92</v>
      </c>
    </row>
    <row r="2377" customFormat="false" ht="15" hidden="false" customHeight="false" outlineLevel="0" collapsed="false">
      <c r="A2377" s="3" t="s">
        <v>2767</v>
      </c>
      <c r="B2377" s="3" t="s">
        <v>283</v>
      </c>
      <c r="C2377" s="3" t="s">
        <v>380</v>
      </c>
      <c r="D2377" s="3" t="s">
        <v>381</v>
      </c>
      <c r="E2377" s="3" t="s">
        <v>385</v>
      </c>
      <c r="F2377" s="16" t="n">
        <v>1</v>
      </c>
      <c r="G2377" s="15" t="n">
        <v>0.05</v>
      </c>
      <c r="H2377" s="16" t="n">
        <v>1</v>
      </c>
      <c r="I2377" s="33" t="n">
        <v>10475.76</v>
      </c>
      <c r="J2377" s="33" t="n">
        <v>11027.16</v>
      </c>
    </row>
    <row r="2378" customFormat="false" ht="15" hidden="false" customHeight="false" outlineLevel="0" collapsed="false">
      <c r="A2378" s="3" t="s">
        <v>2768</v>
      </c>
      <c r="B2378" s="3" t="s">
        <v>283</v>
      </c>
      <c r="C2378" s="3" t="s">
        <v>405</v>
      </c>
      <c r="D2378" s="3" t="s">
        <v>381</v>
      </c>
      <c r="E2378" s="3" t="s">
        <v>398</v>
      </c>
      <c r="F2378" s="16" t="n">
        <v>1</v>
      </c>
      <c r="G2378" s="15" t="n">
        <v>0</v>
      </c>
      <c r="H2378" s="16" t="n">
        <v>1</v>
      </c>
      <c r="I2378" s="33" t="n">
        <v>10472.28</v>
      </c>
      <c r="J2378" s="33" t="n">
        <v>10472.28</v>
      </c>
    </row>
    <row r="2379" customFormat="false" ht="15" hidden="false" customHeight="false" outlineLevel="0" collapsed="false">
      <c r="A2379" s="3" t="s">
        <v>2769</v>
      </c>
      <c r="B2379" s="3" t="s">
        <v>283</v>
      </c>
      <c r="C2379" s="3" t="s">
        <v>384</v>
      </c>
      <c r="D2379" s="3" t="s">
        <v>392</v>
      </c>
      <c r="E2379" s="3" t="s">
        <v>382</v>
      </c>
      <c r="F2379" s="16" t="n">
        <v>1</v>
      </c>
      <c r="G2379" s="15" t="n">
        <v>0</v>
      </c>
      <c r="H2379" s="16" t="n">
        <v>1</v>
      </c>
      <c r="I2379" s="33" t="n">
        <v>10436.52</v>
      </c>
      <c r="J2379" s="33" t="n">
        <v>10436.52</v>
      </c>
    </row>
    <row r="2380" customFormat="false" ht="15" hidden="false" customHeight="false" outlineLevel="0" collapsed="false">
      <c r="A2380" s="3" t="s">
        <v>2770</v>
      </c>
      <c r="B2380" s="3" t="s">
        <v>283</v>
      </c>
      <c r="C2380" s="3" t="s">
        <v>401</v>
      </c>
      <c r="D2380" s="3" t="s">
        <v>392</v>
      </c>
      <c r="E2380" s="3" t="s">
        <v>398</v>
      </c>
      <c r="F2380" s="16" t="n">
        <v>1</v>
      </c>
      <c r="G2380" s="15" t="n">
        <v>0</v>
      </c>
      <c r="H2380" s="16" t="n">
        <v>1</v>
      </c>
      <c r="I2380" s="33" t="n">
        <v>10434.84</v>
      </c>
      <c r="J2380" s="33" t="n">
        <v>10434.84</v>
      </c>
    </row>
    <row r="2381" customFormat="false" ht="15" hidden="false" customHeight="false" outlineLevel="0" collapsed="false">
      <c r="A2381" s="3" t="s">
        <v>2771</v>
      </c>
      <c r="B2381" s="3" t="s">
        <v>283</v>
      </c>
      <c r="C2381" s="3" t="s">
        <v>380</v>
      </c>
      <c r="D2381" s="3" t="s">
        <v>692</v>
      </c>
      <c r="E2381" s="3" t="s">
        <v>398</v>
      </c>
      <c r="F2381" s="16" t="n">
        <v>1</v>
      </c>
      <c r="G2381" s="15" t="n">
        <v>0</v>
      </c>
      <c r="H2381" s="16" t="n">
        <v>1</v>
      </c>
      <c r="I2381" s="33" t="n">
        <v>10433.64</v>
      </c>
      <c r="J2381" s="33" t="n">
        <v>10433.64</v>
      </c>
    </row>
    <row r="2382" customFormat="false" ht="15" hidden="false" customHeight="false" outlineLevel="0" collapsed="false">
      <c r="A2382" s="3" t="s">
        <v>2772</v>
      </c>
      <c r="B2382" s="3" t="s">
        <v>283</v>
      </c>
      <c r="C2382" s="3" t="s">
        <v>380</v>
      </c>
      <c r="D2382" s="3" t="s">
        <v>418</v>
      </c>
      <c r="E2382" s="3" t="s">
        <v>398</v>
      </c>
      <c r="F2382" s="16" t="n">
        <v>12</v>
      </c>
      <c r="G2382" s="15" t="n">
        <v>0</v>
      </c>
      <c r="H2382" s="16" t="n">
        <v>7</v>
      </c>
      <c r="I2382" s="33" t="n">
        <v>10420.68</v>
      </c>
      <c r="J2382" s="33" t="n">
        <v>10420.68</v>
      </c>
    </row>
    <row r="2383" customFormat="false" ht="15" hidden="false" customHeight="false" outlineLevel="0" collapsed="false">
      <c r="A2383" s="3" t="s">
        <v>2773</v>
      </c>
      <c r="B2383" s="3" t="s">
        <v>283</v>
      </c>
      <c r="C2383" s="3" t="s">
        <v>403</v>
      </c>
      <c r="D2383" s="3" t="s">
        <v>392</v>
      </c>
      <c r="E2383" s="3" t="s">
        <v>398</v>
      </c>
      <c r="F2383" s="16" t="n">
        <v>12</v>
      </c>
      <c r="G2383" s="15" t="n">
        <v>0.1</v>
      </c>
      <c r="H2383" s="16" t="n">
        <v>10</v>
      </c>
      <c r="I2383" s="33" t="n">
        <v>10417.44</v>
      </c>
      <c r="J2383" s="33" t="n">
        <v>11574.84</v>
      </c>
    </row>
    <row r="2384" customFormat="false" ht="15" hidden="false" customHeight="false" outlineLevel="0" collapsed="false">
      <c r="A2384" s="3" t="s">
        <v>2774</v>
      </c>
      <c r="B2384" s="3" t="s">
        <v>283</v>
      </c>
      <c r="C2384" s="3" t="s">
        <v>380</v>
      </c>
      <c r="D2384" s="3" t="s">
        <v>692</v>
      </c>
      <c r="E2384" s="3" t="s">
        <v>398</v>
      </c>
      <c r="F2384" s="16" t="n">
        <v>1</v>
      </c>
      <c r="G2384" s="15" t="n">
        <v>0</v>
      </c>
      <c r="H2384" s="16" t="n">
        <v>1</v>
      </c>
      <c r="I2384" s="33" t="n">
        <v>10406.04</v>
      </c>
      <c r="J2384" s="33" t="n">
        <v>10406.04</v>
      </c>
    </row>
    <row r="2385" customFormat="false" ht="15" hidden="false" customHeight="false" outlineLevel="0" collapsed="false">
      <c r="A2385" s="3" t="s">
        <v>2775</v>
      </c>
      <c r="B2385" s="3" t="s">
        <v>283</v>
      </c>
      <c r="C2385" s="3" t="s">
        <v>401</v>
      </c>
      <c r="D2385" s="3" t="s">
        <v>692</v>
      </c>
      <c r="E2385" s="3" t="s">
        <v>385</v>
      </c>
      <c r="F2385" s="16" t="n">
        <v>12</v>
      </c>
      <c r="G2385" s="15" t="n">
        <v>0</v>
      </c>
      <c r="H2385" s="16" t="n">
        <v>7</v>
      </c>
      <c r="I2385" s="33" t="n">
        <v>10403.28</v>
      </c>
      <c r="J2385" s="33" t="n">
        <v>10403.28</v>
      </c>
    </row>
    <row r="2386" customFormat="false" ht="15" hidden="false" customHeight="false" outlineLevel="0" collapsed="false">
      <c r="A2386" s="3" t="s">
        <v>2776</v>
      </c>
      <c r="B2386" s="3" t="s">
        <v>283</v>
      </c>
      <c r="C2386" s="3" t="s">
        <v>387</v>
      </c>
      <c r="D2386" s="3" t="s">
        <v>388</v>
      </c>
      <c r="E2386" s="3" t="s">
        <v>398</v>
      </c>
      <c r="F2386" s="16" t="n">
        <v>12</v>
      </c>
      <c r="G2386" s="15" t="n">
        <v>0.3</v>
      </c>
      <c r="H2386" s="16" t="n">
        <v>2</v>
      </c>
      <c r="I2386" s="33" t="n">
        <v>10396.56</v>
      </c>
      <c r="J2386" s="33" t="n">
        <v>14852.16</v>
      </c>
    </row>
    <row r="2387" customFormat="false" ht="15" hidden="false" customHeight="false" outlineLevel="0" collapsed="false">
      <c r="A2387" s="3" t="s">
        <v>2777</v>
      </c>
      <c r="B2387" s="3" t="s">
        <v>283</v>
      </c>
      <c r="C2387" s="3" t="s">
        <v>387</v>
      </c>
      <c r="D2387" s="3" t="s">
        <v>692</v>
      </c>
      <c r="E2387" s="3" t="s">
        <v>398</v>
      </c>
      <c r="F2387" s="16" t="n">
        <v>1</v>
      </c>
      <c r="G2387" s="15" t="n">
        <v>0.1</v>
      </c>
      <c r="H2387" s="16" t="n">
        <v>1</v>
      </c>
      <c r="I2387" s="33" t="n">
        <v>10393.32</v>
      </c>
      <c r="J2387" s="33" t="n">
        <v>11548.2</v>
      </c>
    </row>
    <row r="2388" customFormat="false" ht="15" hidden="false" customHeight="false" outlineLevel="0" collapsed="false">
      <c r="A2388" s="3" t="s">
        <v>2778</v>
      </c>
      <c r="B2388" s="3" t="s">
        <v>283</v>
      </c>
      <c r="C2388" s="3" t="s">
        <v>405</v>
      </c>
      <c r="D2388" s="3" t="s">
        <v>388</v>
      </c>
      <c r="E2388" s="3" t="s">
        <v>398</v>
      </c>
      <c r="F2388" s="16" t="n">
        <v>1</v>
      </c>
      <c r="G2388" s="15" t="n">
        <v>0</v>
      </c>
      <c r="H2388" s="16" t="n">
        <v>1</v>
      </c>
      <c r="I2388" s="33" t="n">
        <v>10392.48</v>
      </c>
      <c r="J2388" s="33" t="n">
        <v>10392.48</v>
      </c>
    </row>
    <row r="2389" customFormat="false" ht="15" hidden="false" customHeight="false" outlineLevel="0" collapsed="false">
      <c r="A2389" s="3" t="s">
        <v>2779</v>
      </c>
      <c r="B2389" s="3" t="s">
        <v>283</v>
      </c>
      <c r="C2389" s="3" t="s">
        <v>387</v>
      </c>
      <c r="D2389" s="3" t="s">
        <v>418</v>
      </c>
      <c r="E2389" s="3" t="s">
        <v>385</v>
      </c>
      <c r="F2389" s="16" t="n">
        <v>1</v>
      </c>
      <c r="G2389" s="15" t="n">
        <v>0</v>
      </c>
      <c r="H2389" s="16" t="n">
        <v>1</v>
      </c>
      <c r="I2389" s="33" t="n">
        <v>10377.48</v>
      </c>
      <c r="J2389" s="33" t="n">
        <v>10377.48</v>
      </c>
    </row>
    <row r="2390" customFormat="false" ht="15" hidden="false" customHeight="false" outlineLevel="0" collapsed="false">
      <c r="A2390" s="3" t="s">
        <v>2780</v>
      </c>
      <c r="B2390" s="3" t="s">
        <v>283</v>
      </c>
      <c r="C2390" s="3" t="s">
        <v>384</v>
      </c>
      <c r="D2390" s="3" t="s">
        <v>392</v>
      </c>
      <c r="E2390" s="3" t="s">
        <v>398</v>
      </c>
      <c r="F2390" s="16" t="n">
        <v>12</v>
      </c>
      <c r="G2390" s="15" t="n">
        <v>0</v>
      </c>
      <c r="H2390" s="16" t="n">
        <v>1</v>
      </c>
      <c r="I2390" s="33" t="n">
        <v>10367.04</v>
      </c>
      <c r="J2390" s="33" t="n">
        <v>10367.04</v>
      </c>
    </row>
    <row r="2391" customFormat="false" ht="15" hidden="false" customHeight="false" outlineLevel="0" collapsed="false">
      <c r="A2391" s="3" t="s">
        <v>2781</v>
      </c>
      <c r="B2391" s="3" t="s">
        <v>283</v>
      </c>
      <c r="C2391" s="3" t="s">
        <v>403</v>
      </c>
      <c r="D2391" s="3" t="s">
        <v>692</v>
      </c>
      <c r="E2391" s="3" t="s">
        <v>382</v>
      </c>
      <c r="F2391" s="16" t="n">
        <v>1</v>
      </c>
      <c r="G2391" s="15" t="n">
        <v>0.15</v>
      </c>
      <c r="H2391" s="16" t="n">
        <v>1</v>
      </c>
      <c r="I2391" s="33" t="n">
        <v>10350.84</v>
      </c>
      <c r="J2391" s="33" t="n">
        <v>12177.48</v>
      </c>
    </row>
    <row r="2392" customFormat="false" ht="15" hidden="false" customHeight="false" outlineLevel="0" collapsed="false">
      <c r="A2392" s="3" t="s">
        <v>2782</v>
      </c>
      <c r="B2392" s="3" t="s">
        <v>283</v>
      </c>
      <c r="C2392" s="3" t="s">
        <v>387</v>
      </c>
      <c r="D2392" s="3" t="s">
        <v>692</v>
      </c>
      <c r="E2392" s="3" t="s">
        <v>398</v>
      </c>
      <c r="F2392" s="16" t="n">
        <v>1</v>
      </c>
      <c r="G2392" s="15" t="n">
        <v>0</v>
      </c>
      <c r="H2392" s="16" t="n">
        <v>1</v>
      </c>
      <c r="I2392" s="33" t="n">
        <v>10335.72</v>
      </c>
      <c r="J2392" s="33" t="n">
        <v>10335.72</v>
      </c>
    </row>
    <row r="2393" customFormat="false" ht="15" hidden="false" customHeight="false" outlineLevel="0" collapsed="false">
      <c r="A2393" s="3" t="s">
        <v>2783</v>
      </c>
      <c r="B2393" s="3" t="s">
        <v>283</v>
      </c>
      <c r="C2393" s="3" t="s">
        <v>380</v>
      </c>
      <c r="D2393" s="3" t="s">
        <v>418</v>
      </c>
      <c r="E2393" s="3" t="s">
        <v>398</v>
      </c>
      <c r="F2393" s="16" t="n">
        <v>12</v>
      </c>
      <c r="G2393" s="15" t="n">
        <v>0.1</v>
      </c>
      <c r="H2393" s="16" t="n">
        <v>1</v>
      </c>
      <c r="I2393" s="33" t="n">
        <v>10330.44</v>
      </c>
      <c r="J2393" s="33" t="n">
        <v>11478.24</v>
      </c>
    </row>
    <row r="2394" customFormat="false" ht="15" hidden="false" customHeight="false" outlineLevel="0" collapsed="false">
      <c r="A2394" s="3" t="s">
        <v>2784</v>
      </c>
      <c r="B2394" s="3" t="s">
        <v>283</v>
      </c>
      <c r="C2394" s="3" t="s">
        <v>401</v>
      </c>
      <c r="D2394" s="3" t="s">
        <v>392</v>
      </c>
      <c r="E2394" s="3" t="s">
        <v>398</v>
      </c>
      <c r="F2394" s="16" t="n">
        <v>12</v>
      </c>
      <c r="G2394" s="15" t="n">
        <v>0.15</v>
      </c>
      <c r="H2394" s="16" t="n">
        <v>12</v>
      </c>
      <c r="I2394" s="33" t="n">
        <v>10325.64</v>
      </c>
      <c r="J2394" s="33" t="n">
        <v>12147.84</v>
      </c>
    </row>
    <row r="2395" customFormat="false" ht="15" hidden="false" customHeight="false" outlineLevel="0" collapsed="false">
      <c r="A2395" s="3" t="s">
        <v>2785</v>
      </c>
      <c r="B2395" s="3" t="s">
        <v>283</v>
      </c>
      <c r="C2395" s="3" t="s">
        <v>396</v>
      </c>
      <c r="D2395" s="3" t="s">
        <v>692</v>
      </c>
      <c r="E2395" s="3" t="s">
        <v>385</v>
      </c>
      <c r="F2395" s="16" t="n">
        <v>12</v>
      </c>
      <c r="G2395" s="15" t="n">
        <v>0</v>
      </c>
      <c r="H2395" s="16" t="n">
        <v>1</v>
      </c>
      <c r="I2395" s="33" t="n">
        <v>10323.48</v>
      </c>
      <c r="J2395" s="33" t="n">
        <v>10323.48</v>
      </c>
    </row>
    <row r="2396" customFormat="false" ht="15" hidden="false" customHeight="false" outlineLevel="0" collapsed="false">
      <c r="A2396" s="3" t="s">
        <v>2786</v>
      </c>
      <c r="B2396" s="3" t="s">
        <v>283</v>
      </c>
      <c r="C2396" s="3" t="s">
        <v>396</v>
      </c>
      <c r="D2396" s="3" t="s">
        <v>418</v>
      </c>
      <c r="E2396" s="3" t="s">
        <v>398</v>
      </c>
      <c r="F2396" s="16" t="n">
        <v>1</v>
      </c>
      <c r="G2396" s="15" t="n">
        <v>0.05</v>
      </c>
      <c r="H2396" s="16" t="n">
        <v>1</v>
      </c>
      <c r="I2396" s="33" t="n">
        <v>10317.72</v>
      </c>
      <c r="J2396" s="33" t="n">
        <v>10860.72</v>
      </c>
    </row>
    <row r="2397" customFormat="false" ht="15" hidden="false" customHeight="false" outlineLevel="0" collapsed="false">
      <c r="A2397" s="3" t="s">
        <v>2787</v>
      </c>
      <c r="B2397" s="3" t="s">
        <v>283</v>
      </c>
      <c r="C2397" s="3" t="s">
        <v>387</v>
      </c>
      <c r="D2397" s="3" t="s">
        <v>388</v>
      </c>
      <c r="E2397" s="3" t="s">
        <v>382</v>
      </c>
      <c r="F2397" s="16" t="n">
        <v>1</v>
      </c>
      <c r="G2397" s="15" t="n">
        <v>0</v>
      </c>
      <c r="H2397" s="16" t="n">
        <v>1</v>
      </c>
      <c r="I2397" s="33" t="n">
        <v>10312.44</v>
      </c>
      <c r="J2397" s="33" t="n">
        <v>10312.44</v>
      </c>
    </row>
    <row r="2398" customFormat="false" ht="15" hidden="false" customHeight="false" outlineLevel="0" collapsed="false">
      <c r="A2398" s="3" t="s">
        <v>2788</v>
      </c>
      <c r="B2398" s="3" t="s">
        <v>283</v>
      </c>
      <c r="C2398" s="3" t="s">
        <v>401</v>
      </c>
      <c r="D2398" s="3" t="s">
        <v>392</v>
      </c>
      <c r="E2398" s="3" t="s">
        <v>398</v>
      </c>
      <c r="F2398" s="16" t="n">
        <v>12</v>
      </c>
      <c r="G2398" s="15" t="n">
        <v>0</v>
      </c>
      <c r="H2398" s="16" t="n">
        <v>9</v>
      </c>
      <c r="I2398" s="33" t="n">
        <v>10306.44</v>
      </c>
      <c r="J2398" s="33" t="n">
        <v>10306.44</v>
      </c>
    </row>
    <row r="2399" customFormat="false" ht="15" hidden="false" customHeight="false" outlineLevel="0" collapsed="false">
      <c r="A2399" s="3" t="s">
        <v>2789</v>
      </c>
      <c r="B2399" s="3" t="s">
        <v>283</v>
      </c>
      <c r="C2399" s="3" t="s">
        <v>403</v>
      </c>
      <c r="D2399" s="3" t="s">
        <v>392</v>
      </c>
      <c r="E2399" s="3" t="s">
        <v>385</v>
      </c>
      <c r="F2399" s="16" t="n">
        <v>1</v>
      </c>
      <c r="G2399" s="15" t="n">
        <v>0</v>
      </c>
      <c r="H2399" s="16" t="n">
        <v>1</v>
      </c>
      <c r="I2399" s="33" t="n">
        <v>10300.68</v>
      </c>
      <c r="J2399" s="33" t="n">
        <v>10300.68</v>
      </c>
    </row>
    <row r="2400" customFormat="false" ht="15" hidden="false" customHeight="false" outlineLevel="0" collapsed="false">
      <c r="A2400" s="3" t="s">
        <v>2790</v>
      </c>
      <c r="B2400" s="3" t="s">
        <v>283</v>
      </c>
      <c r="C2400" s="3" t="s">
        <v>387</v>
      </c>
      <c r="D2400" s="3" t="s">
        <v>692</v>
      </c>
      <c r="E2400" s="3" t="s">
        <v>382</v>
      </c>
      <c r="F2400" s="16" t="n">
        <v>1</v>
      </c>
      <c r="G2400" s="15" t="n">
        <v>0</v>
      </c>
      <c r="H2400" s="16" t="n">
        <v>1</v>
      </c>
      <c r="I2400" s="33" t="n">
        <v>10277.76</v>
      </c>
      <c r="J2400" s="33" t="n">
        <v>10277.76</v>
      </c>
    </row>
    <row r="2401" customFormat="false" ht="15" hidden="false" customHeight="false" outlineLevel="0" collapsed="false">
      <c r="A2401" s="3" t="s">
        <v>2791</v>
      </c>
      <c r="B2401" s="3" t="s">
        <v>283</v>
      </c>
      <c r="C2401" s="3" t="s">
        <v>396</v>
      </c>
      <c r="D2401" s="3" t="s">
        <v>392</v>
      </c>
      <c r="E2401" s="3" t="s">
        <v>382</v>
      </c>
      <c r="F2401" s="16" t="n">
        <v>1</v>
      </c>
      <c r="G2401" s="15" t="n">
        <v>0</v>
      </c>
      <c r="H2401" s="16" t="n">
        <v>1</v>
      </c>
      <c r="I2401" s="33" t="n">
        <v>10277.4</v>
      </c>
      <c r="J2401" s="33" t="n">
        <v>10277.4</v>
      </c>
    </row>
    <row r="2402" customFormat="false" ht="15" hidden="false" customHeight="false" outlineLevel="0" collapsed="false">
      <c r="A2402" s="3" t="s">
        <v>2792</v>
      </c>
      <c r="B2402" s="3" t="s">
        <v>283</v>
      </c>
      <c r="C2402" s="3" t="s">
        <v>380</v>
      </c>
      <c r="D2402" s="3" t="s">
        <v>392</v>
      </c>
      <c r="E2402" s="3" t="s">
        <v>398</v>
      </c>
      <c r="F2402" s="16" t="n">
        <v>12</v>
      </c>
      <c r="G2402" s="15" t="n">
        <v>0</v>
      </c>
      <c r="H2402" s="16" t="n">
        <v>4</v>
      </c>
      <c r="I2402" s="33" t="n">
        <v>10277.28</v>
      </c>
      <c r="J2402" s="33" t="n">
        <v>10277.28</v>
      </c>
    </row>
    <row r="2403" customFormat="false" ht="15" hidden="false" customHeight="false" outlineLevel="0" collapsed="false">
      <c r="A2403" s="3" t="s">
        <v>2793</v>
      </c>
      <c r="B2403" s="3" t="s">
        <v>283</v>
      </c>
      <c r="C2403" s="3" t="s">
        <v>401</v>
      </c>
      <c r="D2403" s="3" t="s">
        <v>692</v>
      </c>
      <c r="E2403" s="3" t="s">
        <v>398</v>
      </c>
      <c r="F2403" s="16" t="n">
        <v>1</v>
      </c>
      <c r="G2403" s="15" t="n">
        <v>0</v>
      </c>
      <c r="H2403" s="16" t="n">
        <v>1</v>
      </c>
      <c r="I2403" s="33" t="n">
        <v>10272</v>
      </c>
      <c r="J2403" s="33" t="n">
        <v>10272</v>
      </c>
    </row>
    <row r="2404" customFormat="false" ht="15" hidden="false" customHeight="false" outlineLevel="0" collapsed="false">
      <c r="A2404" s="3" t="s">
        <v>2794</v>
      </c>
      <c r="B2404" s="3" t="s">
        <v>283</v>
      </c>
      <c r="C2404" s="3" t="s">
        <v>396</v>
      </c>
      <c r="D2404" s="3" t="s">
        <v>381</v>
      </c>
      <c r="E2404" s="3" t="s">
        <v>398</v>
      </c>
      <c r="F2404" s="16" t="n">
        <v>1</v>
      </c>
      <c r="G2404" s="15" t="n">
        <v>0</v>
      </c>
      <c r="H2404" s="16" t="n">
        <v>1</v>
      </c>
      <c r="I2404" s="33" t="n">
        <v>10270.56</v>
      </c>
      <c r="J2404" s="33" t="n">
        <v>10270.56</v>
      </c>
    </row>
    <row r="2405" customFormat="false" ht="15" hidden="false" customHeight="false" outlineLevel="0" collapsed="false">
      <c r="A2405" s="3" t="s">
        <v>2795</v>
      </c>
      <c r="B2405" s="3" t="s">
        <v>283</v>
      </c>
      <c r="C2405" s="3" t="s">
        <v>380</v>
      </c>
      <c r="D2405" s="3" t="s">
        <v>692</v>
      </c>
      <c r="E2405" s="3" t="s">
        <v>398</v>
      </c>
      <c r="F2405" s="16" t="n">
        <v>1</v>
      </c>
      <c r="G2405" s="15" t="n">
        <v>0</v>
      </c>
      <c r="H2405" s="16" t="n">
        <v>1</v>
      </c>
      <c r="I2405" s="33" t="n">
        <v>10267.68</v>
      </c>
      <c r="J2405" s="33" t="n">
        <v>10267.68</v>
      </c>
    </row>
    <row r="2406" customFormat="false" ht="15" hidden="false" customHeight="false" outlineLevel="0" collapsed="false">
      <c r="A2406" s="3" t="s">
        <v>2796</v>
      </c>
      <c r="B2406" s="3" t="s">
        <v>283</v>
      </c>
      <c r="C2406" s="3" t="s">
        <v>403</v>
      </c>
      <c r="D2406" s="3" t="s">
        <v>418</v>
      </c>
      <c r="E2406" s="3" t="s">
        <v>382</v>
      </c>
      <c r="F2406" s="16" t="n">
        <v>1</v>
      </c>
      <c r="G2406" s="15" t="n">
        <v>0</v>
      </c>
      <c r="H2406" s="16" t="n">
        <v>1</v>
      </c>
      <c r="I2406" s="33" t="n">
        <v>10251.12</v>
      </c>
      <c r="J2406" s="33" t="n">
        <v>10251.12</v>
      </c>
    </row>
    <row r="2407" customFormat="false" ht="15" hidden="false" customHeight="false" outlineLevel="0" collapsed="false">
      <c r="A2407" s="3" t="s">
        <v>2797</v>
      </c>
      <c r="B2407" s="3" t="s">
        <v>283</v>
      </c>
      <c r="C2407" s="3" t="s">
        <v>380</v>
      </c>
      <c r="D2407" s="3" t="s">
        <v>692</v>
      </c>
      <c r="E2407" s="3" t="s">
        <v>385</v>
      </c>
      <c r="F2407" s="16" t="n">
        <v>12</v>
      </c>
      <c r="G2407" s="15" t="n">
        <v>0</v>
      </c>
      <c r="H2407" s="16" t="n">
        <v>1</v>
      </c>
      <c r="I2407" s="33" t="n">
        <v>10248.12</v>
      </c>
      <c r="J2407" s="33" t="n">
        <v>10248.12</v>
      </c>
    </row>
    <row r="2408" customFormat="false" ht="15" hidden="false" customHeight="false" outlineLevel="0" collapsed="false">
      <c r="A2408" s="3" t="s">
        <v>2798</v>
      </c>
      <c r="B2408" s="3" t="s">
        <v>283</v>
      </c>
      <c r="C2408" s="3" t="s">
        <v>403</v>
      </c>
      <c r="D2408" s="3" t="s">
        <v>692</v>
      </c>
      <c r="E2408" s="3" t="s">
        <v>398</v>
      </c>
      <c r="F2408" s="16" t="n">
        <v>1</v>
      </c>
      <c r="G2408" s="15" t="n">
        <v>0</v>
      </c>
      <c r="H2408" s="16" t="n">
        <v>1</v>
      </c>
      <c r="I2408" s="33" t="n">
        <v>10236.48</v>
      </c>
      <c r="J2408" s="33" t="n">
        <v>10236.48</v>
      </c>
    </row>
    <row r="2409" customFormat="false" ht="15" hidden="false" customHeight="false" outlineLevel="0" collapsed="false">
      <c r="A2409" s="3" t="s">
        <v>2799</v>
      </c>
      <c r="B2409" s="3" t="s">
        <v>283</v>
      </c>
      <c r="C2409" s="3" t="s">
        <v>396</v>
      </c>
      <c r="D2409" s="3" t="s">
        <v>692</v>
      </c>
      <c r="E2409" s="3" t="s">
        <v>398</v>
      </c>
      <c r="F2409" s="16" t="n">
        <v>12</v>
      </c>
      <c r="G2409" s="15" t="n">
        <v>0.1</v>
      </c>
      <c r="H2409" s="16" t="n">
        <v>7</v>
      </c>
      <c r="I2409" s="33" t="n">
        <v>10222.68</v>
      </c>
      <c r="J2409" s="33" t="n">
        <v>11358.48</v>
      </c>
    </row>
    <row r="2410" customFormat="false" ht="15" hidden="false" customHeight="false" outlineLevel="0" collapsed="false">
      <c r="A2410" s="3" t="s">
        <v>2800</v>
      </c>
      <c r="B2410" s="3" t="s">
        <v>283</v>
      </c>
      <c r="C2410" s="3" t="s">
        <v>384</v>
      </c>
      <c r="D2410" s="3" t="s">
        <v>692</v>
      </c>
      <c r="E2410" s="3" t="s">
        <v>385</v>
      </c>
      <c r="F2410" s="16" t="n">
        <v>12</v>
      </c>
      <c r="G2410" s="15" t="n">
        <v>0</v>
      </c>
      <c r="H2410" s="16" t="n">
        <v>10</v>
      </c>
      <c r="I2410" s="33" t="n">
        <v>10212.6</v>
      </c>
      <c r="J2410" s="33" t="n">
        <v>10212.6</v>
      </c>
    </row>
    <row r="2411" customFormat="false" ht="15" hidden="false" customHeight="false" outlineLevel="0" collapsed="false">
      <c r="A2411" s="3" t="s">
        <v>2801</v>
      </c>
      <c r="B2411" s="3" t="s">
        <v>283</v>
      </c>
      <c r="C2411" s="3" t="s">
        <v>384</v>
      </c>
      <c r="D2411" s="3" t="s">
        <v>418</v>
      </c>
      <c r="E2411" s="3" t="s">
        <v>398</v>
      </c>
      <c r="F2411" s="16" t="n">
        <v>1</v>
      </c>
      <c r="G2411" s="15" t="n">
        <v>0.05</v>
      </c>
      <c r="H2411" s="16" t="n">
        <v>1</v>
      </c>
      <c r="I2411" s="33" t="n">
        <v>10198.56</v>
      </c>
      <c r="J2411" s="33" t="n">
        <v>10735.32</v>
      </c>
    </row>
    <row r="2412" customFormat="false" ht="15" hidden="false" customHeight="false" outlineLevel="0" collapsed="false">
      <c r="A2412" s="3" t="s">
        <v>2802</v>
      </c>
      <c r="B2412" s="3" t="s">
        <v>283</v>
      </c>
      <c r="C2412" s="3" t="s">
        <v>403</v>
      </c>
      <c r="D2412" s="3" t="s">
        <v>692</v>
      </c>
      <c r="E2412" s="3" t="s">
        <v>398</v>
      </c>
      <c r="F2412" s="16" t="n">
        <v>1</v>
      </c>
      <c r="G2412" s="15" t="n">
        <v>0</v>
      </c>
      <c r="H2412" s="16" t="n">
        <v>1</v>
      </c>
      <c r="I2412" s="33" t="n">
        <v>10181.52</v>
      </c>
      <c r="J2412" s="33" t="n">
        <v>10181.52</v>
      </c>
    </row>
    <row r="2413" customFormat="false" ht="15" hidden="false" customHeight="false" outlineLevel="0" collapsed="false">
      <c r="A2413" s="3" t="s">
        <v>2803</v>
      </c>
      <c r="B2413" s="3" t="s">
        <v>283</v>
      </c>
      <c r="C2413" s="3" t="s">
        <v>403</v>
      </c>
      <c r="D2413" s="3" t="s">
        <v>418</v>
      </c>
      <c r="E2413" s="3" t="s">
        <v>385</v>
      </c>
      <c r="F2413" s="16" t="n">
        <v>12</v>
      </c>
      <c r="G2413" s="15" t="n">
        <v>0</v>
      </c>
      <c r="H2413" s="16" t="n">
        <v>6</v>
      </c>
      <c r="I2413" s="33" t="n">
        <v>10164.36</v>
      </c>
      <c r="J2413" s="33" t="n">
        <v>10164.36</v>
      </c>
    </row>
    <row r="2414" customFormat="false" ht="15" hidden="false" customHeight="false" outlineLevel="0" collapsed="false">
      <c r="A2414" s="3" t="s">
        <v>2804</v>
      </c>
      <c r="B2414" s="3" t="s">
        <v>283</v>
      </c>
      <c r="C2414" s="3" t="s">
        <v>401</v>
      </c>
      <c r="D2414" s="3" t="s">
        <v>381</v>
      </c>
      <c r="E2414" s="3" t="s">
        <v>398</v>
      </c>
      <c r="F2414" s="16" t="n">
        <v>12</v>
      </c>
      <c r="G2414" s="15" t="n">
        <v>0.05</v>
      </c>
      <c r="H2414" s="16" t="n">
        <v>11</v>
      </c>
      <c r="I2414" s="33" t="n">
        <v>10162.44</v>
      </c>
      <c r="J2414" s="33" t="n">
        <v>10697.28</v>
      </c>
    </row>
    <row r="2415" customFormat="false" ht="15" hidden="false" customHeight="false" outlineLevel="0" collapsed="false">
      <c r="A2415" s="3" t="s">
        <v>2805</v>
      </c>
      <c r="B2415" s="3" t="s">
        <v>283</v>
      </c>
      <c r="C2415" s="3" t="s">
        <v>396</v>
      </c>
      <c r="D2415" s="3" t="s">
        <v>692</v>
      </c>
      <c r="E2415" s="3" t="s">
        <v>398</v>
      </c>
      <c r="F2415" s="16" t="n">
        <v>12</v>
      </c>
      <c r="G2415" s="15" t="n">
        <v>0.1</v>
      </c>
      <c r="H2415" s="16" t="n">
        <v>4</v>
      </c>
      <c r="I2415" s="33" t="n">
        <v>10149.72</v>
      </c>
      <c r="J2415" s="33" t="n">
        <v>11277.48</v>
      </c>
    </row>
    <row r="2416" customFormat="false" ht="15" hidden="false" customHeight="false" outlineLevel="0" collapsed="false">
      <c r="A2416" s="3" t="s">
        <v>2806</v>
      </c>
      <c r="B2416" s="3" t="s">
        <v>283</v>
      </c>
      <c r="C2416" s="3" t="s">
        <v>403</v>
      </c>
      <c r="D2416" s="3" t="s">
        <v>418</v>
      </c>
      <c r="E2416" s="3" t="s">
        <v>398</v>
      </c>
      <c r="F2416" s="16" t="n">
        <v>1</v>
      </c>
      <c r="G2416" s="15" t="n">
        <v>0</v>
      </c>
      <c r="H2416" s="16" t="n">
        <v>1</v>
      </c>
      <c r="I2416" s="33" t="n">
        <v>10124.76</v>
      </c>
      <c r="J2416" s="33" t="n">
        <v>10124.76</v>
      </c>
    </row>
    <row r="2417" customFormat="false" ht="15" hidden="false" customHeight="false" outlineLevel="0" collapsed="false">
      <c r="A2417" s="3" t="s">
        <v>2807</v>
      </c>
      <c r="B2417" s="3" t="s">
        <v>283</v>
      </c>
      <c r="C2417" s="3" t="s">
        <v>401</v>
      </c>
      <c r="D2417" s="3" t="s">
        <v>692</v>
      </c>
      <c r="E2417" s="3" t="s">
        <v>382</v>
      </c>
      <c r="F2417" s="16" t="n">
        <v>1</v>
      </c>
      <c r="G2417" s="15" t="n">
        <v>0.25</v>
      </c>
      <c r="H2417" s="16" t="n">
        <v>1</v>
      </c>
      <c r="I2417" s="33" t="n">
        <v>10123.44</v>
      </c>
      <c r="J2417" s="33" t="n">
        <v>13497.96</v>
      </c>
    </row>
    <row r="2418" customFormat="false" ht="15" hidden="false" customHeight="false" outlineLevel="0" collapsed="false">
      <c r="A2418" s="3" t="s">
        <v>2808</v>
      </c>
      <c r="B2418" s="3" t="s">
        <v>283</v>
      </c>
      <c r="C2418" s="3" t="s">
        <v>380</v>
      </c>
      <c r="D2418" s="3" t="s">
        <v>381</v>
      </c>
      <c r="E2418" s="3" t="s">
        <v>398</v>
      </c>
      <c r="F2418" s="16" t="n">
        <v>12</v>
      </c>
      <c r="G2418" s="15" t="n">
        <v>0</v>
      </c>
      <c r="H2418" s="16" t="n">
        <v>2</v>
      </c>
      <c r="I2418" s="33" t="n">
        <v>10120.08</v>
      </c>
      <c r="J2418" s="33" t="n">
        <v>10120.08</v>
      </c>
    </row>
    <row r="2419" customFormat="false" ht="15" hidden="false" customHeight="false" outlineLevel="0" collapsed="false">
      <c r="A2419" s="3" t="s">
        <v>2809</v>
      </c>
      <c r="B2419" s="3" t="s">
        <v>283</v>
      </c>
      <c r="C2419" s="3" t="s">
        <v>403</v>
      </c>
      <c r="D2419" s="3" t="s">
        <v>388</v>
      </c>
      <c r="E2419" s="3" t="s">
        <v>398</v>
      </c>
      <c r="F2419" s="16" t="n">
        <v>1</v>
      </c>
      <c r="G2419" s="15" t="n">
        <v>0</v>
      </c>
      <c r="H2419" s="16" t="n">
        <v>1</v>
      </c>
      <c r="I2419" s="33" t="n">
        <v>10104</v>
      </c>
      <c r="J2419" s="33" t="n">
        <v>10104</v>
      </c>
    </row>
    <row r="2420" customFormat="false" ht="15" hidden="false" customHeight="false" outlineLevel="0" collapsed="false">
      <c r="A2420" s="3" t="s">
        <v>2810</v>
      </c>
      <c r="B2420" s="3" t="s">
        <v>283</v>
      </c>
      <c r="C2420" s="3" t="s">
        <v>401</v>
      </c>
      <c r="D2420" s="3" t="s">
        <v>388</v>
      </c>
      <c r="E2420" s="3" t="s">
        <v>385</v>
      </c>
      <c r="F2420" s="16" t="n">
        <v>1</v>
      </c>
      <c r="G2420" s="15" t="n">
        <v>0</v>
      </c>
      <c r="H2420" s="16" t="n">
        <v>1</v>
      </c>
      <c r="I2420" s="33" t="n">
        <v>10099.92</v>
      </c>
      <c r="J2420" s="33" t="n">
        <v>10099.92</v>
      </c>
    </row>
    <row r="2421" customFormat="false" ht="15" hidden="false" customHeight="false" outlineLevel="0" collapsed="false">
      <c r="A2421" s="3" t="s">
        <v>2811</v>
      </c>
      <c r="B2421" s="3" t="s">
        <v>283</v>
      </c>
      <c r="C2421" s="3" t="s">
        <v>380</v>
      </c>
      <c r="D2421" s="3" t="s">
        <v>692</v>
      </c>
      <c r="E2421" s="3" t="s">
        <v>385</v>
      </c>
      <c r="F2421" s="16" t="n">
        <v>12</v>
      </c>
      <c r="G2421" s="15" t="n">
        <v>0</v>
      </c>
      <c r="H2421" s="16" t="n">
        <v>9</v>
      </c>
      <c r="I2421" s="33" t="n">
        <v>10099.08</v>
      </c>
      <c r="J2421" s="33" t="n">
        <v>10099.08</v>
      </c>
    </row>
    <row r="2422" customFormat="false" ht="15" hidden="false" customHeight="false" outlineLevel="0" collapsed="false">
      <c r="A2422" s="3" t="s">
        <v>2812</v>
      </c>
      <c r="B2422" s="3" t="s">
        <v>283</v>
      </c>
      <c r="C2422" s="3" t="s">
        <v>380</v>
      </c>
      <c r="D2422" s="3" t="s">
        <v>692</v>
      </c>
      <c r="E2422" s="3" t="s">
        <v>398</v>
      </c>
      <c r="F2422" s="16" t="n">
        <v>1</v>
      </c>
      <c r="G2422" s="15" t="n">
        <v>0</v>
      </c>
      <c r="H2422" s="16" t="n">
        <v>1</v>
      </c>
      <c r="I2422" s="33" t="n">
        <v>10095.36</v>
      </c>
      <c r="J2422" s="33" t="n">
        <v>10095.36</v>
      </c>
    </row>
    <row r="2423" customFormat="false" ht="15" hidden="false" customHeight="false" outlineLevel="0" collapsed="false">
      <c r="A2423" s="3" t="s">
        <v>2813</v>
      </c>
      <c r="B2423" s="3" t="s">
        <v>283</v>
      </c>
      <c r="C2423" s="3" t="s">
        <v>387</v>
      </c>
      <c r="D2423" s="3" t="s">
        <v>388</v>
      </c>
      <c r="E2423" s="3" t="s">
        <v>398</v>
      </c>
      <c r="F2423" s="16" t="n">
        <v>1</v>
      </c>
      <c r="G2423" s="15" t="n">
        <v>0.25</v>
      </c>
      <c r="H2423" s="16" t="n">
        <v>1</v>
      </c>
      <c r="I2423" s="33" t="n">
        <v>10093.92</v>
      </c>
      <c r="J2423" s="33" t="n">
        <v>13458.48</v>
      </c>
    </row>
    <row r="2424" customFormat="false" ht="15" hidden="false" customHeight="false" outlineLevel="0" collapsed="false">
      <c r="A2424" s="3" t="s">
        <v>2814</v>
      </c>
      <c r="B2424" s="3" t="s">
        <v>283</v>
      </c>
      <c r="C2424" s="3" t="s">
        <v>403</v>
      </c>
      <c r="D2424" s="3" t="s">
        <v>381</v>
      </c>
      <c r="E2424" s="3" t="s">
        <v>398</v>
      </c>
      <c r="F2424" s="16" t="n">
        <v>1</v>
      </c>
      <c r="G2424" s="15" t="n">
        <v>0.1</v>
      </c>
      <c r="H2424" s="16" t="n">
        <v>1</v>
      </c>
      <c r="I2424" s="33" t="n">
        <v>10091.88</v>
      </c>
      <c r="J2424" s="33" t="n">
        <v>11213.16</v>
      </c>
    </row>
    <row r="2425" customFormat="false" ht="15" hidden="false" customHeight="false" outlineLevel="0" collapsed="false">
      <c r="A2425" s="3" t="s">
        <v>2815</v>
      </c>
      <c r="B2425" s="3" t="s">
        <v>283</v>
      </c>
      <c r="C2425" s="3" t="s">
        <v>384</v>
      </c>
      <c r="D2425" s="3" t="s">
        <v>381</v>
      </c>
      <c r="E2425" s="3" t="s">
        <v>385</v>
      </c>
      <c r="F2425" s="16" t="n">
        <v>1</v>
      </c>
      <c r="G2425" s="15" t="n">
        <v>0</v>
      </c>
      <c r="H2425" s="16" t="n">
        <v>1</v>
      </c>
      <c r="I2425" s="33" t="n">
        <v>10090.08</v>
      </c>
      <c r="J2425" s="33" t="n">
        <v>10090.08</v>
      </c>
    </row>
    <row r="2426" customFormat="false" ht="15" hidden="false" customHeight="false" outlineLevel="0" collapsed="false">
      <c r="A2426" s="3" t="s">
        <v>2816</v>
      </c>
      <c r="B2426" s="3" t="s">
        <v>283</v>
      </c>
      <c r="C2426" s="3" t="s">
        <v>387</v>
      </c>
      <c r="D2426" s="3" t="s">
        <v>388</v>
      </c>
      <c r="E2426" s="3" t="s">
        <v>382</v>
      </c>
      <c r="F2426" s="16" t="n">
        <v>12</v>
      </c>
      <c r="G2426" s="15" t="n">
        <v>0</v>
      </c>
      <c r="H2426" s="16" t="n">
        <v>6</v>
      </c>
      <c r="I2426" s="33" t="n">
        <v>10065.36</v>
      </c>
      <c r="J2426" s="33" t="n">
        <v>10065.36</v>
      </c>
    </row>
    <row r="2427" customFormat="false" ht="15" hidden="false" customHeight="false" outlineLevel="0" collapsed="false">
      <c r="A2427" s="3" t="s">
        <v>2817</v>
      </c>
      <c r="B2427" s="3" t="s">
        <v>283</v>
      </c>
      <c r="C2427" s="3" t="s">
        <v>401</v>
      </c>
      <c r="D2427" s="3" t="s">
        <v>692</v>
      </c>
      <c r="E2427" s="3" t="s">
        <v>398</v>
      </c>
      <c r="F2427" s="16" t="n">
        <v>12</v>
      </c>
      <c r="G2427" s="15" t="n">
        <v>0</v>
      </c>
      <c r="H2427" s="16" t="n">
        <v>4</v>
      </c>
      <c r="I2427" s="33" t="n">
        <v>10064.28</v>
      </c>
      <c r="J2427" s="33" t="n">
        <v>10064.28</v>
      </c>
    </row>
    <row r="2428" customFormat="false" ht="15" hidden="false" customHeight="false" outlineLevel="0" collapsed="false">
      <c r="A2428" s="3" t="s">
        <v>2818</v>
      </c>
      <c r="B2428" s="3" t="s">
        <v>283</v>
      </c>
      <c r="C2428" s="3" t="s">
        <v>380</v>
      </c>
      <c r="D2428" s="3" t="s">
        <v>388</v>
      </c>
      <c r="E2428" s="3" t="s">
        <v>398</v>
      </c>
      <c r="F2428" s="16" t="n">
        <v>1</v>
      </c>
      <c r="G2428" s="15" t="n">
        <v>0.3</v>
      </c>
      <c r="H2428" s="16" t="n">
        <v>1</v>
      </c>
      <c r="I2428" s="33" t="n">
        <v>10034.28</v>
      </c>
      <c r="J2428" s="33" t="n">
        <v>14334.72</v>
      </c>
    </row>
    <row r="2429" customFormat="false" ht="15" hidden="false" customHeight="false" outlineLevel="0" collapsed="false">
      <c r="A2429" s="3" t="s">
        <v>2819</v>
      </c>
      <c r="B2429" s="3" t="s">
        <v>283</v>
      </c>
      <c r="C2429" s="3" t="s">
        <v>387</v>
      </c>
      <c r="D2429" s="3" t="s">
        <v>388</v>
      </c>
      <c r="E2429" s="3" t="s">
        <v>398</v>
      </c>
      <c r="F2429" s="16" t="n">
        <v>1</v>
      </c>
      <c r="G2429" s="15" t="n">
        <v>0.2</v>
      </c>
      <c r="H2429" s="16" t="n">
        <v>1</v>
      </c>
      <c r="I2429" s="33" t="n">
        <v>10029.24</v>
      </c>
      <c r="J2429" s="33" t="n">
        <v>12536.52</v>
      </c>
    </row>
    <row r="2430" customFormat="false" ht="15" hidden="false" customHeight="false" outlineLevel="0" collapsed="false">
      <c r="A2430" s="3" t="s">
        <v>2820</v>
      </c>
      <c r="B2430" s="3" t="s">
        <v>283</v>
      </c>
      <c r="C2430" s="3" t="s">
        <v>380</v>
      </c>
      <c r="D2430" s="3" t="s">
        <v>418</v>
      </c>
      <c r="E2430" s="3" t="s">
        <v>382</v>
      </c>
      <c r="F2430" s="16" t="n">
        <v>1</v>
      </c>
      <c r="G2430" s="15" t="n">
        <v>0.1</v>
      </c>
      <c r="H2430" s="16" t="n">
        <v>1</v>
      </c>
      <c r="I2430" s="33" t="n">
        <v>10017.6</v>
      </c>
      <c r="J2430" s="33" t="n">
        <v>11130.72</v>
      </c>
    </row>
    <row r="2431" customFormat="false" ht="15" hidden="false" customHeight="false" outlineLevel="0" collapsed="false">
      <c r="A2431" s="3" t="s">
        <v>2821</v>
      </c>
      <c r="B2431" s="3" t="s">
        <v>283</v>
      </c>
      <c r="C2431" s="3" t="s">
        <v>387</v>
      </c>
      <c r="D2431" s="3" t="s">
        <v>692</v>
      </c>
      <c r="E2431" s="3" t="s">
        <v>382</v>
      </c>
      <c r="F2431" s="16" t="n">
        <v>12</v>
      </c>
      <c r="G2431" s="15" t="n">
        <v>0</v>
      </c>
      <c r="H2431" s="16" t="n">
        <v>4</v>
      </c>
      <c r="I2431" s="33" t="n">
        <v>10008.24</v>
      </c>
      <c r="J2431" s="33" t="n">
        <v>10008.24</v>
      </c>
    </row>
    <row r="2432" customFormat="false" ht="15" hidden="false" customHeight="false" outlineLevel="0" collapsed="false">
      <c r="A2432" s="3" t="s">
        <v>2822</v>
      </c>
      <c r="B2432" s="3" t="s">
        <v>283</v>
      </c>
      <c r="C2432" s="3" t="s">
        <v>380</v>
      </c>
      <c r="D2432" s="3" t="s">
        <v>388</v>
      </c>
      <c r="E2432" s="3" t="s">
        <v>382</v>
      </c>
      <c r="F2432" s="16" t="n">
        <v>12</v>
      </c>
      <c r="G2432" s="15" t="n">
        <v>0</v>
      </c>
      <c r="H2432" s="16" t="n">
        <v>12</v>
      </c>
      <c r="I2432" s="33" t="n">
        <v>10002.96</v>
      </c>
      <c r="J2432" s="33" t="n">
        <v>10002.96</v>
      </c>
    </row>
    <row r="2433" customFormat="false" ht="15" hidden="false" customHeight="false" outlineLevel="0" collapsed="false">
      <c r="A2433" s="3" t="s">
        <v>2823</v>
      </c>
      <c r="B2433" s="3" t="s">
        <v>283</v>
      </c>
      <c r="C2433" s="3" t="s">
        <v>396</v>
      </c>
      <c r="D2433" s="3" t="s">
        <v>418</v>
      </c>
      <c r="E2433" s="3" t="s">
        <v>398</v>
      </c>
      <c r="F2433" s="16" t="n">
        <v>1</v>
      </c>
      <c r="G2433" s="15" t="n">
        <v>0</v>
      </c>
      <c r="H2433" s="16" t="n">
        <v>1</v>
      </c>
      <c r="I2433" s="33" t="n">
        <v>9998.76</v>
      </c>
      <c r="J2433" s="33" t="n">
        <v>9998.76</v>
      </c>
    </row>
    <row r="2434" customFormat="false" ht="15" hidden="false" customHeight="false" outlineLevel="0" collapsed="false">
      <c r="A2434" s="3" t="s">
        <v>2824</v>
      </c>
      <c r="B2434" s="3" t="s">
        <v>283</v>
      </c>
      <c r="C2434" s="3" t="s">
        <v>401</v>
      </c>
      <c r="D2434" s="3" t="s">
        <v>388</v>
      </c>
      <c r="E2434" s="3" t="s">
        <v>398</v>
      </c>
      <c r="F2434" s="16" t="n">
        <v>1</v>
      </c>
      <c r="G2434" s="15" t="n">
        <v>0.15</v>
      </c>
      <c r="H2434" s="16" t="n">
        <v>1</v>
      </c>
      <c r="I2434" s="33" t="n">
        <v>9972.24</v>
      </c>
      <c r="J2434" s="33" t="n">
        <v>11732.04</v>
      </c>
    </row>
    <row r="2435" customFormat="false" ht="15" hidden="false" customHeight="false" outlineLevel="0" collapsed="false">
      <c r="A2435" s="3" t="s">
        <v>2825</v>
      </c>
      <c r="B2435" s="3" t="s">
        <v>283</v>
      </c>
      <c r="C2435" s="3" t="s">
        <v>396</v>
      </c>
      <c r="D2435" s="3" t="s">
        <v>388</v>
      </c>
      <c r="E2435" s="3" t="s">
        <v>398</v>
      </c>
      <c r="F2435" s="16" t="n">
        <v>12</v>
      </c>
      <c r="G2435" s="15" t="n">
        <v>0</v>
      </c>
      <c r="H2435" s="16" t="n">
        <v>1</v>
      </c>
      <c r="I2435" s="33" t="n">
        <v>9961.32</v>
      </c>
      <c r="J2435" s="33" t="n">
        <v>9961.32</v>
      </c>
    </row>
    <row r="2436" customFormat="false" ht="15" hidden="false" customHeight="false" outlineLevel="0" collapsed="false">
      <c r="A2436" s="3" t="s">
        <v>2826</v>
      </c>
      <c r="B2436" s="3" t="s">
        <v>283</v>
      </c>
      <c r="C2436" s="3" t="s">
        <v>403</v>
      </c>
      <c r="D2436" s="3" t="s">
        <v>392</v>
      </c>
      <c r="E2436" s="3" t="s">
        <v>398</v>
      </c>
      <c r="F2436" s="16" t="n">
        <v>1</v>
      </c>
      <c r="G2436" s="15" t="n">
        <v>0</v>
      </c>
      <c r="H2436" s="16" t="n">
        <v>1</v>
      </c>
      <c r="I2436" s="33" t="n">
        <v>9961.2</v>
      </c>
      <c r="J2436" s="33" t="n">
        <v>9961.2</v>
      </c>
    </row>
    <row r="2437" customFormat="false" ht="15" hidden="false" customHeight="false" outlineLevel="0" collapsed="false">
      <c r="A2437" s="3" t="s">
        <v>2827</v>
      </c>
      <c r="B2437" s="3" t="s">
        <v>283</v>
      </c>
      <c r="C2437" s="3" t="s">
        <v>401</v>
      </c>
      <c r="D2437" s="3" t="s">
        <v>381</v>
      </c>
      <c r="E2437" s="3" t="s">
        <v>385</v>
      </c>
      <c r="F2437" s="16" t="n">
        <v>1</v>
      </c>
      <c r="G2437" s="15" t="n">
        <v>0</v>
      </c>
      <c r="H2437" s="16" t="n">
        <v>1</v>
      </c>
      <c r="I2437" s="33" t="n">
        <v>9955.2</v>
      </c>
      <c r="J2437" s="33" t="n">
        <v>9955.2</v>
      </c>
    </row>
    <row r="2438" customFormat="false" ht="15" hidden="false" customHeight="false" outlineLevel="0" collapsed="false">
      <c r="A2438" s="3" t="s">
        <v>2828</v>
      </c>
      <c r="B2438" s="3" t="s">
        <v>283</v>
      </c>
      <c r="C2438" s="3" t="s">
        <v>380</v>
      </c>
      <c r="D2438" s="3" t="s">
        <v>418</v>
      </c>
      <c r="E2438" s="3" t="s">
        <v>398</v>
      </c>
      <c r="F2438" s="16" t="n">
        <v>1</v>
      </c>
      <c r="G2438" s="15" t="n">
        <v>0</v>
      </c>
      <c r="H2438" s="16" t="n">
        <v>1</v>
      </c>
      <c r="I2438" s="33" t="n">
        <v>9951.48</v>
      </c>
      <c r="J2438" s="33" t="n">
        <v>9951.48</v>
      </c>
    </row>
    <row r="2439" customFormat="false" ht="15" hidden="false" customHeight="false" outlineLevel="0" collapsed="false">
      <c r="A2439" s="3" t="s">
        <v>2829</v>
      </c>
      <c r="B2439" s="3" t="s">
        <v>283</v>
      </c>
      <c r="C2439" s="3" t="s">
        <v>380</v>
      </c>
      <c r="D2439" s="3" t="s">
        <v>418</v>
      </c>
      <c r="E2439" s="3" t="s">
        <v>398</v>
      </c>
      <c r="F2439" s="16" t="n">
        <v>12</v>
      </c>
      <c r="G2439" s="15" t="n">
        <v>0</v>
      </c>
      <c r="H2439" s="16" t="n">
        <v>4</v>
      </c>
      <c r="I2439" s="33" t="n">
        <v>9933.84</v>
      </c>
      <c r="J2439" s="33" t="n">
        <v>9933.84</v>
      </c>
    </row>
    <row r="2440" customFormat="false" ht="15" hidden="false" customHeight="false" outlineLevel="0" collapsed="false">
      <c r="A2440" s="3" t="s">
        <v>2830</v>
      </c>
      <c r="B2440" s="3" t="s">
        <v>283</v>
      </c>
      <c r="C2440" s="3" t="s">
        <v>387</v>
      </c>
      <c r="D2440" s="3" t="s">
        <v>692</v>
      </c>
      <c r="E2440" s="3" t="s">
        <v>398</v>
      </c>
      <c r="F2440" s="16" t="n">
        <v>1</v>
      </c>
      <c r="G2440" s="15" t="n">
        <v>0</v>
      </c>
      <c r="H2440" s="16" t="n">
        <v>1</v>
      </c>
      <c r="I2440" s="33" t="n">
        <v>9931.8</v>
      </c>
      <c r="J2440" s="33" t="n">
        <v>9931.8</v>
      </c>
    </row>
    <row r="2441" customFormat="false" ht="15" hidden="false" customHeight="false" outlineLevel="0" collapsed="false">
      <c r="A2441" s="3" t="s">
        <v>2831</v>
      </c>
      <c r="B2441" s="3" t="s">
        <v>283</v>
      </c>
      <c r="C2441" s="3" t="s">
        <v>387</v>
      </c>
      <c r="D2441" s="3" t="s">
        <v>692</v>
      </c>
      <c r="E2441" s="3" t="s">
        <v>385</v>
      </c>
      <c r="F2441" s="16" t="n">
        <v>12</v>
      </c>
      <c r="G2441" s="15" t="n">
        <v>0</v>
      </c>
      <c r="H2441" s="16" t="n">
        <v>1</v>
      </c>
      <c r="I2441" s="33" t="n">
        <v>9929.16</v>
      </c>
      <c r="J2441" s="33" t="n">
        <v>9929.16</v>
      </c>
    </row>
    <row r="2442" customFormat="false" ht="15" hidden="false" customHeight="false" outlineLevel="0" collapsed="false">
      <c r="A2442" s="3" t="s">
        <v>2832</v>
      </c>
      <c r="B2442" s="3" t="s">
        <v>283</v>
      </c>
      <c r="C2442" s="3" t="s">
        <v>387</v>
      </c>
      <c r="D2442" s="3" t="s">
        <v>392</v>
      </c>
      <c r="E2442" s="3" t="s">
        <v>385</v>
      </c>
      <c r="F2442" s="16" t="n">
        <v>1</v>
      </c>
      <c r="G2442" s="15" t="n">
        <v>0</v>
      </c>
      <c r="H2442" s="16" t="n">
        <v>1</v>
      </c>
      <c r="I2442" s="33" t="n">
        <v>9927.24</v>
      </c>
      <c r="J2442" s="33" t="n">
        <v>9927.24</v>
      </c>
    </row>
    <row r="2443" customFormat="false" ht="15" hidden="false" customHeight="false" outlineLevel="0" collapsed="false">
      <c r="A2443" s="3" t="s">
        <v>2833</v>
      </c>
      <c r="B2443" s="3" t="s">
        <v>283</v>
      </c>
      <c r="C2443" s="3" t="s">
        <v>405</v>
      </c>
      <c r="D2443" s="3" t="s">
        <v>418</v>
      </c>
      <c r="E2443" s="3" t="s">
        <v>385</v>
      </c>
      <c r="F2443" s="16" t="n">
        <v>12</v>
      </c>
      <c r="G2443" s="15" t="n">
        <v>0</v>
      </c>
      <c r="H2443" s="16" t="n">
        <v>9</v>
      </c>
      <c r="I2443" s="33" t="n">
        <v>9926.64</v>
      </c>
      <c r="J2443" s="33" t="n">
        <v>9926.64</v>
      </c>
    </row>
    <row r="2444" customFormat="false" ht="15" hidden="false" customHeight="false" outlineLevel="0" collapsed="false">
      <c r="A2444" s="3" t="s">
        <v>2834</v>
      </c>
      <c r="B2444" s="3" t="s">
        <v>283</v>
      </c>
      <c r="C2444" s="3" t="s">
        <v>396</v>
      </c>
      <c r="D2444" s="3" t="s">
        <v>418</v>
      </c>
      <c r="E2444" s="3" t="s">
        <v>382</v>
      </c>
      <c r="F2444" s="16" t="n">
        <v>1</v>
      </c>
      <c r="G2444" s="15" t="n">
        <v>0.05</v>
      </c>
      <c r="H2444" s="16" t="n">
        <v>1</v>
      </c>
      <c r="I2444" s="33" t="n">
        <v>9917.76</v>
      </c>
      <c r="J2444" s="33" t="n">
        <v>10439.76</v>
      </c>
    </row>
    <row r="2445" customFormat="false" ht="15" hidden="false" customHeight="false" outlineLevel="0" collapsed="false">
      <c r="A2445" s="3" t="s">
        <v>2835</v>
      </c>
      <c r="B2445" s="3" t="s">
        <v>283</v>
      </c>
      <c r="C2445" s="3" t="s">
        <v>387</v>
      </c>
      <c r="D2445" s="3" t="s">
        <v>381</v>
      </c>
      <c r="E2445" s="3" t="s">
        <v>382</v>
      </c>
      <c r="F2445" s="16" t="n">
        <v>1</v>
      </c>
      <c r="G2445" s="15" t="n">
        <v>0</v>
      </c>
      <c r="H2445" s="16" t="n">
        <v>1</v>
      </c>
      <c r="I2445" s="33" t="n">
        <v>9916.56</v>
      </c>
      <c r="J2445" s="33" t="n">
        <v>9916.56</v>
      </c>
    </row>
    <row r="2446" customFormat="false" ht="15" hidden="false" customHeight="false" outlineLevel="0" collapsed="false">
      <c r="A2446" s="3" t="s">
        <v>2836</v>
      </c>
      <c r="B2446" s="3" t="s">
        <v>283</v>
      </c>
      <c r="C2446" s="3" t="s">
        <v>403</v>
      </c>
      <c r="D2446" s="3" t="s">
        <v>692</v>
      </c>
      <c r="E2446" s="3" t="s">
        <v>385</v>
      </c>
      <c r="F2446" s="16" t="n">
        <v>1</v>
      </c>
      <c r="G2446" s="15" t="n">
        <v>0</v>
      </c>
      <c r="H2446" s="16" t="n">
        <v>1</v>
      </c>
      <c r="I2446" s="33" t="n">
        <v>9913.08</v>
      </c>
      <c r="J2446" s="33" t="n">
        <v>9913.08</v>
      </c>
    </row>
    <row r="2447" customFormat="false" ht="15" hidden="false" customHeight="false" outlineLevel="0" collapsed="false">
      <c r="A2447" s="3" t="s">
        <v>2837</v>
      </c>
      <c r="B2447" s="3" t="s">
        <v>283</v>
      </c>
      <c r="C2447" s="3" t="s">
        <v>405</v>
      </c>
      <c r="D2447" s="3" t="s">
        <v>392</v>
      </c>
      <c r="E2447" s="3" t="s">
        <v>382</v>
      </c>
      <c r="F2447" s="16" t="n">
        <v>12</v>
      </c>
      <c r="G2447" s="15" t="n">
        <v>0</v>
      </c>
      <c r="H2447" s="16" t="n">
        <v>8</v>
      </c>
      <c r="I2447" s="33" t="n">
        <v>9911.88</v>
      </c>
      <c r="J2447" s="33" t="n">
        <v>9911.88</v>
      </c>
    </row>
    <row r="2448" customFormat="false" ht="15" hidden="false" customHeight="false" outlineLevel="0" collapsed="false">
      <c r="A2448" s="3" t="s">
        <v>2838</v>
      </c>
      <c r="B2448" s="3" t="s">
        <v>283</v>
      </c>
      <c r="C2448" s="3" t="s">
        <v>401</v>
      </c>
      <c r="D2448" s="3" t="s">
        <v>392</v>
      </c>
      <c r="E2448" s="3" t="s">
        <v>398</v>
      </c>
      <c r="F2448" s="16" t="n">
        <v>12</v>
      </c>
      <c r="G2448" s="15" t="n">
        <v>0</v>
      </c>
      <c r="H2448" s="16" t="n">
        <v>11</v>
      </c>
      <c r="I2448" s="33" t="n">
        <v>9911.76</v>
      </c>
      <c r="J2448" s="33" t="n">
        <v>9911.76</v>
      </c>
    </row>
    <row r="2449" customFormat="false" ht="15" hidden="false" customHeight="false" outlineLevel="0" collapsed="false">
      <c r="A2449" s="3" t="s">
        <v>2839</v>
      </c>
      <c r="B2449" s="3" t="s">
        <v>283</v>
      </c>
      <c r="C2449" s="3" t="s">
        <v>384</v>
      </c>
      <c r="D2449" s="3" t="s">
        <v>692</v>
      </c>
      <c r="E2449" s="3" t="s">
        <v>398</v>
      </c>
      <c r="F2449" s="16" t="n">
        <v>12</v>
      </c>
      <c r="G2449" s="15" t="n">
        <v>0</v>
      </c>
      <c r="H2449" s="16" t="n">
        <v>9</v>
      </c>
      <c r="I2449" s="33" t="n">
        <v>9909.72</v>
      </c>
      <c r="J2449" s="33" t="n">
        <v>9909.72</v>
      </c>
    </row>
    <row r="2450" customFormat="false" ht="15" hidden="false" customHeight="false" outlineLevel="0" collapsed="false">
      <c r="A2450" s="3" t="s">
        <v>2840</v>
      </c>
      <c r="B2450" s="3" t="s">
        <v>283</v>
      </c>
      <c r="C2450" s="3" t="s">
        <v>387</v>
      </c>
      <c r="D2450" s="3" t="s">
        <v>392</v>
      </c>
      <c r="E2450" s="3" t="s">
        <v>385</v>
      </c>
      <c r="F2450" s="16" t="n">
        <v>12</v>
      </c>
      <c r="G2450" s="15" t="n">
        <v>0</v>
      </c>
      <c r="H2450" s="16" t="n">
        <v>5</v>
      </c>
      <c r="I2450" s="33" t="n">
        <v>9909.24</v>
      </c>
      <c r="J2450" s="33" t="n">
        <v>9909.24</v>
      </c>
    </row>
    <row r="2451" customFormat="false" ht="15" hidden="false" customHeight="false" outlineLevel="0" collapsed="false">
      <c r="A2451" s="3" t="s">
        <v>2841</v>
      </c>
      <c r="B2451" s="3" t="s">
        <v>283</v>
      </c>
      <c r="C2451" s="3" t="s">
        <v>401</v>
      </c>
      <c r="D2451" s="3" t="s">
        <v>392</v>
      </c>
      <c r="E2451" s="3" t="s">
        <v>382</v>
      </c>
      <c r="F2451" s="16" t="n">
        <v>1</v>
      </c>
      <c r="G2451" s="15" t="n">
        <v>0.1</v>
      </c>
      <c r="H2451" s="16" t="n">
        <v>1</v>
      </c>
      <c r="I2451" s="33" t="n">
        <v>9908.76</v>
      </c>
      <c r="J2451" s="33" t="n">
        <v>11009.76</v>
      </c>
    </row>
    <row r="2452" customFormat="false" ht="15" hidden="false" customHeight="false" outlineLevel="0" collapsed="false">
      <c r="A2452" s="3" t="s">
        <v>2842</v>
      </c>
      <c r="B2452" s="3" t="s">
        <v>283</v>
      </c>
      <c r="C2452" s="3" t="s">
        <v>387</v>
      </c>
      <c r="D2452" s="3" t="s">
        <v>418</v>
      </c>
      <c r="E2452" s="3" t="s">
        <v>385</v>
      </c>
      <c r="F2452" s="16" t="n">
        <v>1</v>
      </c>
      <c r="G2452" s="15" t="n">
        <v>0</v>
      </c>
      <c r="H2452" s="16" t="n">
        <v>1</v>
      </c>
      <c r="I2452" s="33" t="n">
        <v>9895.2</v>
      </c>
      <c r="J2452" s="33" t="n">
        <v>9895.2</v>
      </c>
    </row>
    <row r="2453" customFormat="false" ht="15" hidden="false" customHeight="false" outlineLevel="0" collapsed="false">
      <c r="A2453" s="3" t="s">
        <v>2843</v>
      </c>
      <c r="B2453" s="3" t="s">
        <v>283</v>
      </c>
      <c r="C2453" s="3" t="s">
        <v>387</v>
      </c>
      <c r="D2453" s="3" t="s">
        <v>418</v>
      </c>
      <c r="E2453" s="3" t="s">
        <v>398</v>
      </c>
      <c r="F2453" s="16" t="n">
        <v>1</v>
      </c>
      <c r="G2453" s="15" t="n">
        <v>0</v>
      </c>
      <c r="H2453" s="16" t="n">
        <v>1</v>
      </c>
      <c r="I2453" s="33" t="n">
        <v>9879.36</v>
      </c>
      <c r="J2453" s="33" t="n">
        <v>9879.36</v>
      </c>
    </row>
    <row r="2454" customFormat="false" ht="15" hidden="false" customHeight="false" outlineLevel="0" collapsed="false">
      <c r="A2454" s="3" t="s">
        <v>2844</v>
      </c>
      <c r="B2454" s="3" t="s">
        <v>283</v>
      </c>
      <c r="C2454" s="3" t="s">
        <v>396</v>
      </c>
      <c r="D2454" s="3" t="s">
        <v>418</v>
      </c>
      <c r="E2454" s="3" t="s">
        <v>398</v>
      </c>
      <c r="F2454" s="16" t="n">
        <v>1</v>
      </c>
      <c r="G2454" s="15" t="n">
        <v>0</v>
      </c>
      <c r="H2454" s="16" t="n">
        <v>1</v>
      </c>
      <c r="I2454" s="33" t="n">
        <v>9871.92</v>
      </c>
      <c r="J2454" s="33" t="n">
        <v>9871.92</v>
      </c>
    </row>
    <row r="2455" customFormat="false" ht="15" hidden="false" customHeight="false" outlineLevel="0" collapsed="false">
      <c r="A2455" s="3" t="s">
        <v>2845</v>
      </c>
      <c r="B2455" s="3" t="s">
        <v>283</v>
      </c>
      <c r="C2455" s="3" t="s">
        <v>401</v>
      </c>
      <c r="D2455" s="3" t="s">
        <v>381</v>
      </c>
      <c r="E2455" s="3" t="s">
        <v>385</v>
      </c>
      <c r="F2455" s="16" t="n">
        <v>1</v>
      </c>
      <c r="G2455" s="15" t="n">
        <v>0.05</v>
      </c>
      <c r="H2455" s="16" t="n">
        <v>1</v>
      </c>
      <c r="I2455" s="33" t="n">
        <v>9853.92</v>
      </c>
      <c r="J2455" s="33" t="n">
        <v>10372.56</v>
      </c>
    </row>
    <row r="2456" customFormat="false" ht="15" hidden="false" customHeight="false" outlineLevel="0" collapsed="false">
      <c r="A2456" s="3" t="s">
        <v>2846</v>
      </c>
      <c r="B2456" s="3" t="s">
        <v>283</v>
      </c>
      <c r="C2456" s="3" t="s">
        <v>387</v>
      </c>
      <c r="D2456" s="3" t="s">
        <v>692</v>
      </c>
      <c r="E2456" s="3" t="s">
        <v>398</v>
      </c>
      <c r="F2456" s="16" t="n">
        <v>1</v>
      </c>
      <c r="G2456" s="15" t="n">
        <v>0</v>
      </c>
      <c r="H2456" s="16" t="n">
        <v>1</v>
      </c>
      <c r="I2456" s="33" t="n">
        <v>9847.56</v>
      </c>
      <c r="J2456" s="33" t="n">
        <v>9847.56</v>
      </c>
    </row>
    <row r="2457" customFormat="false" ht="15" hidden="false" customHeight="false" outlineLevel="0" collapsed="false">
      <c r="A2457" s="3" t="s">
        <v>2847</v>
      </c>
      <c r="B2457" s="3" t="s">
        <v>283</v>
      </c>
      <c r="C2457" s="3" t="s">
        <v>401</v>
      </c>
      <c r="D2457" s="3" t="s">
        <v>692</v>
      </c>
      <c r="E2457" s="3" t="s">
        <v>398</v>
      </c>
      <c r="F2457" s="16" t="n">
        <v>12</v>
      </c>
      <c r="G2457" s="15" t="n">
        <v>0</v>
      </c>
      <c r="H2457" s="16" t="n">
        <v>4</v>
      </c>
      <c r="I2457" s="33" t="n">
        <v>9805.2</v>
      </c>
      <c r="J2457" s="33" t="n">
        <v>9805.2</v>
      </c>
    </row>
    <row r="2458" customFormat="false" ht="15" hidden="false" customHeight="false" outlineLevel="0" collapsed="false">
      <c r="A2458" s="3" t="s">
        <v>2848</v>
      </c>
      <c r="B2458" s="3" t="s">
        <v>283</v>
      </c>
      <c r="C2458" s="3" t="s">
        <v>396</v>
      </c>
      <c r="D2458" s="3" t="s">
        <v>392</v>
      </c>
      <c r="E2458" s="3" t="s">
        <v>385</v>
      </c>
      <c r="F2458" s="16" t="n">
        <v>1</v>
      </c>
      <c r="G2458" s="15" t="n">
        <v>0</v>
      </c>
      <c r="H2458" s="16" t="n">
        <v>1</v>
      </c>
      <c r="I2458" s="33" t="n">
        <v>9804.96</v>
      </c>
      <c r="J2458" s="33" t="n">
        <v>9804.96</v>
      </c>
    </row>
    <row r="2459" customFormat="false" ht="15" hidden="false" customHeight="false" outlineLevel="0" collapsed="false">
      <c r="A2459" s="3" t="s">
        <v>2849</v>
      </c>
      <c r="B2459" s="3" t="s">
        <v>283</v>
      </c>
      <c r="C2459" s="3" t="s">
        <v>403</v>
      </c>
      <c r="D2459" s="3" t="s">
        <v>392</v>
      </c>
      <c r="E2459" s="3" t="s">
        <v>398</v>
      </c>
      <c r="F2459" s="16" t="n">
        <v>1</v>
      </c>
      <c r="G2459" s="15" t="n">
        <v>0</v>
      </c>
      <c r="H2459" s="16" t="n">
        <v>1</v>
      </c>
      <c r="I2459" s="33" t="n">
        <v>9789</v>
      </c>
      <c r="J2459" s="33" t="n">
        <v>9789</v>
      </c>
    </row>
    <row r="2460" customFormat="false" ht="15" hidden="false" customHeight="false" outlineLevel="0" collapsed="false">
      <c r="A2460" s="3" t="s">
        <v>2850</v>
      </c>
      <c r="B2460" s="3" t="s">
        <v>283</v>
      </c>
      <c r="C2460" s="3" t="s">
        <v>396</v>
      </c>
      <c r="D2460" s="3" t="s">
        <v>392</v>
      </c>
      <c r="E2460" s="3" t="s">
        <v>398</v>
      </c>
      <c r="F2460" s="16" t="n">
        <v>12</v>
      </c>
      <c r="G2460" s="15" t="n">
        <v>0</v>
      </c>
      <c r="H2460" s="16" t="n">
        <v>10</v>
      </c>
      <c r="I2460" s="33" t="n">
        <v>9787.32</v>
      </c>
      <c r="J2460" s="33" t="n">
        <v>9787.32</v>
      </c>
    </row>
    <row r="2461" customFormat="false" ht="15" hidden="false" customHeight="false" outlineLevel="0" collapsed="false">
      <c r="A2461" s="3" t="s">
        <v>2851</v>
      </c>
      <c r="B2461" s="3" t="s">
        <v>283</v>
      </c>
      <c r="C2461" s="3" t="s">
        <v>396</v>
      </c>
      <c r="D2461" s="3" t="s">
        <v>381</v>
      </c>
      <c r="E2461" s="3" t="s">
        <v>398</v>
      </c>
      <c r="F2461" s="16" t="n">
        <v>1</v>
      </c>
      <c r="G2461" s="15" t="n">
        <v>0</v>
      </c>
      <c r="H2461" s="16" t="n">
        <v>1</v>
      </c>
      <c r="I2461" s="33" t="n">
        <v>9775.8</v>
      </c>
      <c r="J2461" s="33" t="n">
        <v>9775.8</v>
      </c>
    </row>
    <row r="2462" customFormat="false" ht="15" hidden="false" customHeight="false" outlineLevel="0" collapsed="false">
      <c r="A2462" s="3" t="s">
        <v>2852</v>
      </c>
      <c r="B2462" s="3" t="s">
        <v>283</v>
      </c>
      <c r="C2462" s="3" t="s">
        <v>403</v>
      </c>
      <c r="D2462" s="3" t="s">
        <v>692</v>
      </c>
      <c r="E2462" s="3" t="s">
        <v>382</v>
      </c>
      <c r="F2462" s="16" t="n">
        <v>1</v>
      </c>
      <c r="G2462" s="15" t="n">
        <v>0</v>
      </c>
      <c r="H2462" s="16" t="n">
        <v>1</v>
      </c>
      <c r="I2462" s="33" t="n">
        <v>9757.32</v>
      </c>
      <c r="J2462" s="33" t="n">
        <v>9757.32</v>
      </c>
    </row>
    <row r="2463" customFormat="false" ht="15" hidden="false" customHeight="false" outlineLevel="0" collapsed="false">
      <c r="A2463" s="3" t="s">
        <v>2853</v>
      </c>
      <c r="B2463" s="3" t="s">
        <v>283</v>
      </c>
      <c r="C2463" s="3" t="s">
        <v>396</v>
      </c>
      <c r="D2463" s="3" t="s">
        <v>692</v>
      </c>
      <c r="E2463" s="3" t="s">
        <v>385</v>
      </c>
      <c r="F2463" s="16" t="n">
        <v>1</v>
      </c>
      <c r="G2463" s="15" t="n">
        <v>0</v>
      </c>
      <c r="H2463" s="16" t="n">
        <v>1</v>
      </c>
      <c r="I2463" s="33" t="n">
        <v>9755.52</v>
      </c>
      <c r="J2463" s="33" t="n">
        <v>9755.52</v>
      </c>
    </row>
    <row r="2464" customFormat="false" ht="15" hidden="false" customHeight="false" outlineLevel="0" collapsed="false">
      <c r="A2464" s="3" t="s">
        <v>2854</v>
      </c>
      <c r="B2464" s="3" t="s">
        <v>283</v>
      </c>
      <c r="C2464" s="3" t="s">
        <v>401</v>
      </c>
      <c r="D2464" s="3" t="s">
        <v>692</v>
      </c>
      <c r="E2464" s="3" t="s">
        <v>382</v>
      </c>
      <c r="F2464" s="16" t="n">
        <v>12</v>
      </c>
      <c r="G2464" s="15" t="n">
        <v>0</v>
      </c>
      <c r="H2464" s="16" t="n">
        <v>8</v>
      </c>
      <c r="I2464" s="33" t="n">
        <v>9754.8</v>
      </c>
      <c r="J2464" s="33" t="n">
        <v>9754.8</v>
      </c>
    </row>
    <row r="2465" customFormat="false" ht="15" hidden="false" customHeight="false" outlineLevel="0" collapsed="false">
      <c r="A2465" s="3" t="s">
        <v>2855</v>
      </c>
      <c r="B2465" s="3" t="s">
        <v>283</v>
      </c>
      <c r="C2465" s="3" t="s">
        <v>380</v>
      </c>
      <c r="D2465" s="3" t="s">
        <v>418</v>
      </c>
      <c r="E2465" s="3" t="s">
        <v>398</v>
      </c>
      <c r="F2465" s="16" t="n">
        <v>1</v>
      </c>
      <c r="G2465" s="15" t="n">
        <v>0</v>
      </c>
      <c r="H2465" s="16" t="n">
        <v>1</v>
      </c>
      <c r="I2465" s="33" t="n">
        <v>9750.84</v>
      </c>
      <c r="J2465" s="33" t="n">
        <v>9750.84</v>
      </c>
    </row>
    <row r="2466" customFormat="false" ht="15" hidden="false" customHeight="false" outlineLevel="0" collapsed="false">
      <c r="A2466" s="3" t="s">
        <v>2856</v>
      </c>
      <c r="B2466" s="3" t="s">
        <v>283</v>
      </c>
      <c r="C2466" s="3" t="s">
        <v>405</v>
      </c>
      <c r="D2466" s="3" t="s">
        <v>388</v>
      </c>
      <c r="E2466" s="3" t="s">
        <v>382</v>
      </c>
      <c r="F2466" s="16" t="n">
        <v>1</v>
      </c>
      <c r="G2466" s="15" t="n">
        <v>0</v>
      </c>
      <c r="H2466" s="16" t="n">
        <v>1</v>
      </c>
      <c r="I2466" s="33" t="n">
        <v>9738.84</v>
      </c>
      <c r="J2466" s="33" t="n">
        <v>9738.84</v>
      </c>
    </row>
    <row r="2467" customFormat="false" ht="15" hidden="false" customHeight="false" outlineLevel="0" collapsed="false">
      <c r="A2467" s="3" t="s">
        <v>2857</v>
      </c>
      <c r="B2467" s="3" t="s">
        <v>283</v>
      </c>
      <c r="C2467" s="3" t="s">
        <v>387</v>
      </c>
      <c r="D2467" s="3" t="s">
        <v>692</v>
      </c>
      <c r="E2467" s="3" t="s">
        <v>398</v>
      </c>
      <c r="F2467" s="16" t="n">
        <v>12</v>
      </c>
      <c r="G2467" s="15" t="n">
        <v>0</v>
      </c>
      <c r="H2467" s="16" t="n">
        <v>5</v>
      </c>
      <c r="I2467" s="33" t="n">
        <v>9736.32</v>
      </c>
      <c r="J2467" s="33" t="n">
        <v>9736.32</v>
      </c>
    </row>
    <row r="2468" customFormat="false" ht="15" hidden="false" customHeight="false" outlineLevel="0" collapsed="false">
      <c r="A2468" s="3" t="s">
        <v>2858</v>
      </c>
      <c r="B2468" s="3" t="s">
        <v>283</v>
      </c>
      <c r="C2468" s="3" t="s">
        <v>396</v>
      </c>
      <c r="D2468" s="3" t="s">
        <v>418</v>
      </c>
      <c r="E2468" s="3" t="s">
        <v>398</v>
      </c>
      <c r="F2468" s="16" t="n">
        <v>1</v>
      </c>
      <c r="G2468" s="15" t="n">
        <v>0.2</v>
      </c>
      <c r="H2468" s="16" t="n">
        <v>1</v>
      </c>
      <c r="I2468" s="33" t="n">
        <v>9732.84</v>
      </c>
      <c r="J2468" s="33" t="n">
        <v>12165.96</v>
      </c>
    </row>
    <row r="2469" customFormat="false" ht="15" hidden="false" customHeight="false" outlineLevel="0" collapsed="false">
      <c r="A2469" s="3" t="s">
        <v>2859</v>
      </c>
      <c r="B2469" s="3" t="s">
        <v>283</v>
      </c>
      <c r="C2469" s="3" t="s">
        <v>396</v>
      </c>
      <c r="D2469" s="3" t="s">
        <v>381</v>
      </c>
      <c r="E2469" s="3" t="s">
        <v>398</v>
      </c>
      <c r="F2469" s="16" t="n">
        <v>12</v>
      </c>
      <c r="G2469" s="15" t="n">
        <v>0.3</v>
      </c>
      <c r="H2469" s="16" t="n">
        <v>6</v>
      </c>
      <c r="I2469" s="33" t="n">
        <v>9728.76</v>
      </c>
      <c r="J2469" s="33" t="n">
        <v>13898.28</v>
      </c>
    </row>
    <row r="2470" customFormat="false" ht="15" hidden="false" customHeight="false" outlineLevel="0" collapsed="false">
      <c r="A2470" s="3" t="s">
        <v>2860</v>
      </c>
      <c r="B2470" s="3" t="s">
        <v>283</v>
      </c>
      <c r="C2470" s="3" t="s">
        <v>384</v>
      </c>
      <c r="D2470" s="3" t="s">
        <v>418</v>
      </c>
      <c r="E2470" s="3" t="s">
        <v>398</v>
      </c>
      <c r="F2470" s="16" t="n">
        <v>1</v>
      </c>
      <c r="G2470" s="15" t="n">
        <v>0.15</v>
      </c>
      <c r="H2470" s="16" t="n">
        <v>1</v>
      </c>
      <c r="I2470" s="33" t="n">
        <v>9717</v>
      </c>
      <c r="J2470" s="33" t="n">
        <v>11431.68</v>
      </c>
    </row>
    <row r="2471" customFormat="false" ht="15" hidden="false" customHeight="false" outlineLevel="0" collapsed="false">
      <c r="A2471" s="3" t="s">
        <v>2861</v>
      </c>
      <c r="B2471" s="3" t="s">
        <v>283</v>
      </c>
      <c r="C2471" s="3" t="s">
        <v>403</v>
      </c>
      <c r="D2471" s="3" t="s">
        <v>692</v>
      </c>
      <c r="E2471" s="3" t="s">
        <v>382</v>
      </c>
      <c r="F2471" s="16" t="n">
        <v>1</v>
      </c>
      <c r="G2471" s="15" t="n">
        <v>0</v>
      </c>
      <c r="H2471" s="16" t="n">
        <v>1</v>
      </c>
      <c r="I2471" s="33" t="n">
        <v>9716.04</v>
      </c>
      <c r="J2471" s="33" t="n">
        <v>9716.04</v>
      </c>
    </row>
    <row r="2472" customFormat="false" ht="15" hidden="false" customHeight="false" outlineLevel="0" collapsed="false">
      <c r="A2472" s="3" t="s">
        <v>2862</v>
      </c>
      <c r="B2472" s="3" t="s">
        <v>283</v>
      </c>
      <c r="C2472" s="3" t="s">
        <v>396</v>
      </c>
      <c r="D2472" s="3" t="s">
        <v>392</v>
      </c>
      <c r="E2472" s="3" t="s">
        <v>398</v>
      </c>
      <c r="F2472" s="16" t="n">
        <v>12</v>
      </c>
      <c r="G2472" s="15" t="n">
        <v>0</v>
      </c>
      <c r="H2472" s="16" t="n">
        <v>9</v>
      </c>
      <c r="I2472" s="33" t="n">
        <v>9700.44</v>
      </c>
      <c r="J2472" s="33" t="n">
        <v>9700.44</v>
      </c>
    </row>
    <row r="2473" customFormat="false" ht="15" hidden="false" customHeight="false" outlineLevel="0" collapsed="false">
      <c r="A2473" s="3" t="s">
        <v>2863</v>
      </c>
      <c r="B2473" s="3" t="s">
        <v>283</v>
      </c>
      <c r="C2473" s="3" t="s">
        <v>387</v>
      </c>
      <c r="D2473" s="3" t="s">
        <v>392</v>
      </c>
      <c r="E2473" s="3" t="s">
        <v>385</v>
      </c>
      <c r="F2473" s="16" t="n">
        <v>1</v>
      </c>
      <c r="G2473" s="15" t="n">
        <v>0</v>
      </c>
      <c r="H2473" s="16" t="n">
        <v>1</v>
      </c>
      <c r="I2473" s="33" t="n">
        <v>9681.48</v>
      </c>
      <c r="J2473" s="33" t="n">
        <v>9681.48</v>
      </c>
    </row>
    <row r="2474" customFormat="false" ht="15" hidden="false" customHeight="false" outlineLevel="0" collapsed="false">
      <c r="A2474" s="3" t="s">
        <v>2864</v>
      </c>
      <c r="B2474" s="3" t="s">
        <v>283</v>
      </c>
      <c r="C2474" s="3" t="s">
        <v>396</v>
      </c>
      <c r="D2474" s="3" t="s">
        <v>418</v>
      </c>
      <c r="E2474" s="3" t="s">
        <v>398</v>
      </c>
      <c r="F2474" s="16" t="n">
        <v>1</v>
      </c>
      <c r="G2474" s="15" t="n">
        <v>0</v>
      </c>
      <c r="H2474" s="16" t="n">
        <v>1</v>
      </c>
      <c r="I2474" s="33" t="n">
        <v>9678.24</v>
      </c>
      <c r="J2474" s="33" t="n">
        <v>9678.24</v>
      </c>
    </row>
    <row r="2475" customFormat="false" ht="15" hidden="false" customHeight="false" outlineLevel="0" collapsed="false">
      <c r="A2475" s="3" t="s">
        <v>2865</v>
      </c>
      <c r="B2475" s="3" t="s">
        <v>283</v>
      </c>
      <c r="C2475" s="3" t="s">
        <v>401</v>
      </c>
      <c r="D2475" s="3" t="s">
        <v>381</v>
      </c>
      <c r="E2475" s="3" t="s">
        <v>385</v>
      </c>
      <c r="F2475" s="16" t="n">
        <v>12</v>
      </c>
      <c r="G2475" s="15" t="n">
        <v>0.1</v>
      </c>
      <c r="H2475" s="16" t="n">
        <v>10</v>
      </c>
      <c r="I2475" s="33" t="n">
        <v>9673.08</v>
      </c>
      <c r="J2475" s="33" t="n">
        <v>10747.92</v>
      </c>
    </row>
    <row r="2476" customFormat="false" ht="15" hidden="false" customHeight="false" outlineLevel="0" collapsed="false">
      <c r="A2476" s="3" t="s">
        <v>2866</v>
      </c>
      <c r="B2476" s="3" t="s">
        <v>283</v>
      </c>
      <c r="C2476" s="3" t="s">
        <v>396</v>
      </c>
      <c r="D2476" s="3" t="s">
        <v>418</v>
      </c>
      <c r="E2476" s="3" t="s">
        <v>398</v>
      </c>
      <c r="F2476" s="16" t="n">
        <v>1</v>
      </c>
      <c r="G2476" s="15" t="n">
        <v>0.1</v>
      </c>
      <c r="H2476" s="16" t="n">
        <v>1</v>
      </c>
      <c r="I2476" s="33" t="n">
        <v>9668.64</v>
      </c>
      <c r="J2476" s="33" t="n">
        <v>10742.88</v>
      </c>
    </row>
    <row r="2477" customFormat="false" ht="15" hidden="false" customHeight="false" outlineLevel="0" collapsed="false">
      <c r="A2477" s="3" t="s">
        <v>2867</v>
      </c>
      <c r="B2477" s="3" t="s">
        <v>283</v>
      </c>
      <c r="C2477" s="3" t="s">
        <v>401</v>
      </c>
      <c r="D2477" s="3" t="s">
        <v>418</v>
      </c>
      <c r="E2477" s="3" t="s">
        <v>398</v>
      </c>
      <c r="F2477" s="16" t="n">
        <v>12</v>
      </c>
      <c r="G2477" s="15" t="n">
        <v>0</v>
      </c>
      <c r="H2477" s="16" t="n">
        <v>4</v>
      </c>
      <c r="I2477" s="33" t="n">
        <v>9639.12</v>
      </c>
      <c r="J2477" s="33" t="n">
        <v>9639.12</v>
      </c>
    </row>
    <row r="2478" customFormat="false" ht="15" hidden="false" customHeight="false" outlineLevel="0" collapsed="false">
      <c r="A2478" s="3" t="s">
        <v>2868</v>
      </c>
      <c r="B2478" s="3" t="s">
        <v>283</v>
      </c>
      <c r="C2478" s="3" t="s">
        <v>380</v>
      </c>
      <c r="D2478" s="3" t="s">
        <v>392</v>
      </c>
      <c r="E2478" s="3" t="s">
        <v>385</v>
      </c>
      <c r="F2478" s="16" t="n">
        <v>1</v>
      </c>
      <c r="G2478" s="15" t="n">
        <v>0</v>
      </c>
      <c r="H2478" s="16" t="n">
        <v>1</v>
      </c>
      <c r="I2478" s="33" t="n">
        <v>9635.16</v>
      </c>
      <c r="J2478" s="33" t="n">
        <v>9635.16</v>
      </c>
    </row>
    <row r="2479" customFormat="false" ht="15" hidden="false" customHeight="false" outlineLevel="0" collapsed="false">
      <c r="A2479" s="3" t="s">
        <v>2869</v>
      </c>
      <c r="B2479" s="3" t="s">
        <v>283</v>
      </c>
      <c r="C2479" s="3" t="s">
        <v>401</v>
      </c>
      <c r="D2479" s="3" t="s">
        <v>418</v>
      </c>
      <c r="E2479" s="3" t="s">
        <v>398</v>
      </c>
      <c r="F2479" s="16" t="n">
        <v>12</v>
      </c>
      <c r="G2479" s="15" t="n">
        <v>0</v>
      </c>
      <c r="H2479" s="16" t="n">
        <v>8</v>
      </c>
      <c r="I2479" s="33" t="n">
        <v>9630.6</v>
      </c>
      <c r="J2479" s="33" t="n">
        <v>9630.6</v>
      </c>
    </row>
    <row r="2480" customFormat="false" ht="15" hidden="false" customHeight="false" outlineLevel="0" collapsed="false">
      <c r="A2480" s="3" t="s">
        <v>2870</v>
      </c>
      <c r="B2480" s="3" t="s">
        <v>283</v>
      </c>
      <c r="C2480" s="3" t="s">
        <v>401</v>
      </c>
      <c r="D2480" s="3" t="s">
        <v>381</v>
      </c>
      <c r="E2480" s="3" t="s">
        <v>398</v>
      </c>
      <c r="F2480" s="16" t="n">
        <v>12</v>
      </c>
      <c r="G2480" s="15" t="n">
        <v>0.1</v>
      </c>
      <c r="H2480" s="16" t="n">
        <v>1</v>
      </c>
      <c r="I2480" s="33" t="n">
        <v>9624.84</v>
      </c>
      <c r="J2480" s="33" t="n">
        <v>10694.16</v>
      </c>
    </row>
    <row r="2481" customFormat="false" ht="15" hidden="false" customHeight="false" outlineLevel="0" collapsed="false">
      <c r="A2481" s="3" t="s">
        <v>2871</v>
      </c>
      <c r="B2481" s="3" t="s">
        <v>283</v>
      </c>
      <c r="C2481" s="3" t="s">
        <v>384</v>
      </c>
      <c r="D2481" s="3" t="s">
        <v>692</v>
      </c>
      <c r="E2481" s="3" t="s">
        <v>398</v>
      </c>
      <c r="F2481" s="16" t="n">
        <v>12</v>
      </c>
      <c r="G2481" s="15" t="n">
        <v>0</v>
      </c>
      <c r="H2481" s="16" t="n">
        <v>8</v>
      </c>
      <c r="I2481" s="33" t="n">
        <v>9622.92</v>
      </c>
      <c r="J2481" s="33" t="n">
        <v>9622.92</v>
      </c>
    </row>
    <row r="2482" customFormat="false" ht="15" hidden="false" customHeight="false" outlineLevel="0" collapsed="false">
      <c r="A2482" s="3" t="s">
        <v>2872</v>
      </c>
      <c r="B2482" s="3" t="s">
        <v>283</v>
      </c>
      <c r="C2482" s="3" t="s">
        <v>384</v>
      </c>
      <c r="D2482" s="3" t="s">
        <v>392</v>
      </c>
      <c r="E2482" s="3" t="s">
        <v>385</v>
      </c>
      <c r="F2482" s="16" t="n">
        <v>1</v>
      </c>
      <c r="G2482" s="15" t="n">
        <v>0</v>
      </c>
      <c r="H2482" s="16" t="n">
        <v>1</v>
      </c>
      <c r="I2482" s="33" t="n">
        <v>9619.92</v>
      </c>
      <c r="J2482" s="33" t="n">
        <v>9619.92</v>
      </c>
    </row>
    <row r="2483" customFormat="false" ht="15" hidden="false" customHeight="false" outlineLevel="0" collapsed="false">
      <c r="A2483" s="3" t="s">
        <v>2873</v>
      </c>
      <c r="B2483" s="3" t="s">
        <v>283</v>
      </c>
      <c r="C2483" s="3" t="s">
        <v>401</v>
      </c>
      <c r="D2483" s="3" t="s">
        <v>381</v>
      </c>
      <c r="E2483" s="3" t="s">
        <v>398</v>
      </c>
      <c r="F2483" s="16" t="n">
        <v>1</v>
      </c>
      <c r="G2483" s="15" t="n">
        <v>0.1</v>
      </c>
      <c r="H2483" s="16" t="n">
        <v>1</v>
      </c>
      <c r="I2483" s="33" t="n">
        <v>9611.16</v>
      </c>
      <c r="J2483" s="33" t="n">
        <v>10679.16</v>
      </c>
    </row>
    <row r="2484" customFormat="false" ht="15" hidden="false" customHeight="false" outlineLevel="0" collapsed="false">
      <c r="A2484" s="3" t="s">
        <v>2874</v>
      </c>
      <c r="B2484" s="3" t="s">
        <v>283</v>
      </c>
      <c r="C2484" s="3" t="s">
        <v>384</v>
      </c>
      <c r="D2484" s="3" t="s">
        <v>381</v>
      </c>
      <c r="E2484" s="3" t="s">
        <v>398</v>
      </c>
      <c r="F2484" s="16" t="n">
        <v>1</v>
      </c>
      <c r="G2484" s="15" t="n">
        <v>0.05</v>
      </c>
      <c r="H2484" s="16" t="n">
        <v>1</v>
      </c>
      <c r="I2484" s="33" t="n">
        <v>9610.56</v>
      </c>
      <c r="J2484" s="33" t="n">
        <v>10116.36</v>
      </c>
    </row>
    <row r="2485" customFormat="false" ht="15" hidden="false" customHeight="false" outlineLevel="0" collapsed="false">
      <c r="A2485" s="3" t="s">
        <v>2875</v>
      </c>
      <c r="B2485" s="3" t="s">
        <v>283</v>
      </c>
      <c r="C2485" s="3" t="s">
        <v>403</v>
      </c>
      <c r="D2485" s="3" t="s">
        <v>692</v>
      </c>
      <c r="E2485" s="3" t="s">
        <v>385</v>
      </c>
      <c r="F2485" s="16" t="n">
        <v>1</v>
      </c>
      <c r="G2485" s="15" t="n">
        <v>0</v>
      </c>
      <c r="H2485" s="16" t="n">
        <v>1</v>
      </c>
      <c r="I2485" s="33" t="n">
        <v>9606.84</v>
      </c>
      <c r="J2485" s="33" t="n">
        <v>9606.84</v>
      </c>
    </row>
    <row r="2486" customFormat="false" ht="15" hidden="false" customHeight="false" outlineLevel="0" collapsed="false">
      <c r="A2486" s="3" t="s">
        <v>2876</v>
      </c>
      <c r="B2486" s="3" t="s">
        <v>283</v>
      </c>
      <c r="C2486" s="3" t="s">
        <v>403</v>
      </c>
      <c r="D2486" s="3" t="s">
        <v>388</v>
      </c>
      <c r="E2486" s="3" t="s">
        <v>382</v>
      </c>
      <c r="F2486" s="16" t="n">
        <v>1</v>
      </c>
      <c r="G2486" s="15" t="n">
        <v>0</v>
      </c>
      <c r="H2486" s="16" t="n">
        <v>1</v>
      </c>
      <c r="I2486" s="33" t="n">
        <v>9603.12</v>
      </c>
      <c r="J2486" s="33" t="n">
        <v>9603.12</v>
      </c>
    </row>
    <row r="2487" customFormat="false" ht="15" hidden="false" customHeight="false" outlineLevel="0" collapsed="false">
      <c r="A2487" s="3" t="s">
        <v>2877</v>
      </c>
      <c r="B2487" s="3" t="s">
        <v>283</v>
      </c>
      <c r="C2487" s="3" t="s">
        <v>403</v>
      </c>
      <c r="D2487" s="3" t="s">
        <v>692</v>
      </c>
      <c r="E2487" s="3" t="s">
        <v>398</v>
      </c>
      <c r="F2487" s="16" t="n">
        <v>1</v>
      </c>
      <c r="G2487" s="15" t="n">
        <v>0.1</v>
      </c>
      <c r="H2487" s="16" t="n">
        <v>1</v>
      </c>
      <c r="I2487" s="33" t="n">
        <v>9594.24</v>
      </c>
      <c r="J2487" s="33" t="n">
        <v>10660.32</v>
      </c>
    </row>
    <row r="2488" customFormat="false" ht="15" hidden="false" customHeight="false" outlineLevel="0" collapsed="false">
      <c r="A2488" s="3" t="s">
        <v>2878</v>
      </c>
      <c r="B2488" s="3" t="s">
        <v>283</v>
      </c>
      <c r="C2488" s="3" t="s">
        <v>387</v>
      </c>
      <c r="D2488" s="3" t="s">
        <v>418</v>
      </c>
      <c r="E2488" s="3" t="s">
        <v>398</v>
      </c>
      <c r="F2488" s="16" t="n">
        <v>12</v>
      </c>
      <c r="G2488" s="15" t="n">
        <v>0</v>
      </c>
      <c r="H2488" s="16" t="n">
        <v>5</v>
      </c>
      <c r="I2488" s="33" t="n">
        <v>9585.84</v>
      </c>
      <c r="J2488" s="33" t="n">
        <v>9585.84</v>
      </c>
    </row>
    <row r="2489" customFormat="false" ht="15" hidden="false" customHeight="false" outlineLevel="0" collapsed="false">
      <c r="A2489" s="3" t="s">
        <v>2879</v>
      </c>
      <c r="B2489" s="3" t="s">
        <v>283</v>
      </c>
      <c r="C2489" s="3" t="s">
        <v>396</v>
      </c>
      <c r="D2489" s="3" t="s">
        <v>388</v>
      </c>
      <c r="E2489" s="3" t="s">
        <v>385</v>
      </c>
      <c r="F2489" s="16" t="n">
        <v>1</v>
      </c>
      <c r="G2489" s="15" t="n">
        <v>0</v>
      </c>
      <c r="H2489" s="16" t="n">
        <v>1</v>
      </c>
      <c r="I2489" s="33" t="n">
        <v>9578.64</v>
      </c>
      <c r="J2489" s="33" t="n">
        <v>9578.64</v>
      </c>
    </row>
    <row r="2490" customFormat="false" ht="15" hidden="false" customHeight="false" outlineLevel="0" collapsed="false">
      <c r="A2490" s="3" t="s">
        <v>2880</v>
      </c>
      <c r="B2490" s="3" t="s">
        <v>283</v>
      </c>
      <c r="C2490" s="3" t="s">
        <v>387</v>
      </c>
      <c r="D2490" s="3" t="s">
        <v>692</v>
      </c>
      <c r="E2490" s="3" t="s">
        <v>398</v>
      </c>
      <c r="F2490" s="16" t="n">
        <v>1</v>
      </c>
      <c r="G2490" s="15" t="n">
        <v>0.35</v>
      </c>
      <c r="H2490" s="16" t="n">
        <v>1</v>
      </c>
      <c r="I2490" s="33" t="n">
        <v>9568.92</v>
      </c>
      <c r="J2490" s="33" t="n">
        <v>14721.48</v>
      </c>
    </row>
    <row r="2491" customFormat="false" ht="15" hidden="false" customHeight="false" outlineLevel="0" collapsed="false">
      <c r="A2491" s="3" t="s">
        <v>2881</v>
      </c>
      <c r="B2491" s="3" t="s">
        <v>283</v>
      </c>
      <c r="C2491" s="3" t="s">
        <v>380</v>
      </c>
      <c r="D2491" s="3" t="s">
        <v>392</v>
      </c>
      <c r="E2491" s="3" t="s">
        <v>398</v>
      </c>
      <c r="F2491" s="16" t="n">
        <v>1</v>
      </c>
      <c r="G2491" s="15" t="n">
        <v>0.2</v>
      </c>
      <c r="H2491" s="16" t="n">
        <v>1</v>
      </c>
      <c r="I2491" s="33" t="n">
        <v>9553.44</v>
      </c>
      <c r="J2491" s="33" t="n">
        <v>11941.92</v>
      </c>
    </row>
    <row r="2492" customFormat="false" ht="15" hidden="false" customHeight="false" outlineLevel="0" collapsed="false">
      <c r="A2492" s="3" t="s">
        <v>2882</v>
      </c>
      <c r="B2492" s="3" t="s">
        <v>283</v>
      </c>
      <c r="C2492" s="3" t="s">
        <v>384</v>
      </c>
      <c r="D2492" s="3" t="s">
        <v>692</v>
      </c>
      <c r="E2492" s="3" t="s">
        <v>398</v>
      </c>
      <c r="F2492" s="16" t="n">
        <v>1</v>
      </c>
      <c r="G2492" s="15" t="n">
        <v>0</v>
      </c>
      <c r="H2492" s="16" t="n">
        <v>1</v>
      </c>
      <c r="I2492" s="33" t="n">
        <v>9543.84</v>
      </c>
      <c r="J2492" s="33" t="n">
        <v>9543.84</v>
      </c>
    </row>
    <row r="2493" customFormat="false" ht="15" hidden="false" customHeight="false" outlineLevel="0" collapsed="false">
      <c r="A2493" s="3" t="s">
        <v>2883</v>
      </c>
      <c r="B2493" s="3" t="s">
        <v>283</v>
      </c>
      <c r="C2493" s="3" t="s">
        <v>403</v>
      </c>
      <c r="D2493" s="3" t="s">
        <v>692</v>
      </c>
      <c r="E2493" s="3" t="s">
        <v>398</v>
      </c>
      <c r="F2493" s="16" t="n">
        <v>12</v>
      </c>
      <c r="G2493" s="15" t="n">
        <v>0</v>
      </c>
      <c r="H2493" s="16" t="n">
        <v>3</v>
      </c>
      <c r="I2493" s="33" t="n">
        <v>9540.36</v>
      </c>
      <c r="J2493" s="33" t="n">
        <v>9540.36</v>
      </c>
    </row>
    <row r="2494" customFormat="false" ht="15" hidden="false" customHeight="false" outlineLevel="0" collapsed="false">
      <c r="A2494" s="3" t="s">
        <v>2884</v>
      </c>
      <c r="B2494" s="3" t="s">
        <v>283</v>
      </c>
      <c r="C2494" s="3" t="s">
        <v>403</v>
      </c>
      <c r="D2494" s="3" t="s">
        <v>418</v>
      </c>
      <c r="E2494" s="3" t="s">
        <v>398</v>
      </c>
      <c r="F2494" s="16" t="n">
        <v>12</v>
      </c>
      <c r="G2494" s="15" t="n">
        <v>0</v>
      </c>
      <c r="H2494" s="16" t="n">
        <v>4</v>
      </c>
      <c r="I2494" s="33" t="n">
        <v>9535.08</v>
      </c>
      <c r="J2494" s="33" t="n">
        <v>9535.08</v>
      </c>
    </row>
    <row r="2495" customFormat="false" ht="15" hidden="false" customHeight="false" outlineLevel="0" collapsed="false">
      <c r="A2495" s="3" t="s">
        <v>2885</v>
      </c>
      <c r="B2495" s="3" t="s">
        <v>283</v>
      </c>
      <c r="C2495" s="3" t="s">
        <v>387</v>
      </c>
      <c r="D2495" s="3" t="s">
        <v>692</v>
      </c>
      <c r="E2495" s="3" t="s">
        <v>385</v>
      </c>
      <c r="F2495" s="16" t="n">
        <v>1</v>
      </c>
      <c r="G2495" s="15" t="n">
        <v>0</v>
      </c>
      <c r="H2495" s="16" t="n">
        <v>1</v>
      </c>
      <c r="I2495" s="33" t="n">
        <v>9529.44</v>
      </c>
      <c r="J2495" s="33" t="n">
        <v>9529.44</v>
      </c>
    </row>
    <row r="2496" customFormat="false" ht="15" hidden="false" customHeight="false" outlineLevel="0" collapsed="false">
      <c r="A2496" s="3" t="s">
        <v>2886</v>
      </c>
      <c r="B2496" s="3" t="s">
        <v>283</v>
      </c>
      <c r="C2496" s="3" t="s">
        <v>396</v>
      </c>
      <c r="D2496" s="3" t="s">
        <v>692</v>
      </c>
      <c r="E2496" s="3" t="s">
        <v>398</v>
      </c>
      <c r="F2496" s="16" t="n">
        <v>1</v>
      </c>
      <c r="G2496" s="15" t="n">
        <v>0.1</v>
      </c>
      <c r="H2496" s="16" t="n">
        <v>1</v>
      </c>
      <c r="I2496" s="33" t="n">
        <v>9529.08</v>
      </c>
      <c r="J2496" s="33" t="n">
        <v>10587.96</v>
      </c>
    </row>
    <row r="2497" customFormat="false" ht="15" hidden="false" customHeight="false" outlineLevel="0" collapsed="false">
      <c r="A2497" s="3" t="s">
        <v>2887</v>
      </c>
      <c r="B2497" s="3" t="s">
        <v>283</v>
      </c>
      <c r="C2497" s="3" t="s">
        <v>387</v>
      </c>
      <c r="D2497" s="3" t="s">
        <v>388</v>
      </c>
      <c r="E2497" s="3" t="s">
        <v>385</v>
      </c>
      <c r="F2497" s="16" t="n">
        <v>1</v>
      </c>
      <c r="G2497" s="15" t="n">
        <v>0</v>
      </c>
      <c r="H2497" s="16" t="n">
        <v>1</v>
      </c>
      <c r="I2497" s="33" t="n">
        <v>9519.96</v>
      </c>
      <c r="J2497" s="33" t="n">
        <v>9519.96</v>
      </c>
    </row>
    <row r="2498" customFormat="false" ht="15" hidden="false" customHeight="false" outlineLevel="0" collapsed="false">
      <c r="A2498" s="3" t="s">
        <v>2888</v>
      </c>
      <c r="B2498" s="3" t="s">
        <v>283</v>
      </c>
      <c r="C2498" s="3" t="s">
        <v>405</v>
      </c>
      <c r="D2498" s="3" t="s">
        <v>388</v>
      </c>
      <c r="E2498" s="3" t="s">
        <v>398</v>
      </c>
      <c r="F2498" s="16" t="n">
        <v>1</v>
      </c>
      <c r="G2498" s="15" t="n">
        <v>0.1</v>
      </c>
      <c r="H2498" s="16" t="n">
        <v>1</v>
      </c>
      <c r="I2498" s="33" t="n">
        <v>9518.76</v>
      </c>
      <c r="J2498" s="33" t="n">
        <v>10576.44</v>
      </c>
    </row>
    <row r="2499" customFormat="false" ht="15" hidden="false" customHeight="false" outlineLevel="0" collapsed="false">
      <c r="A2499" s="3" t="s">
        <v>2889</v>
      </c>
      <c r="B2499" s="3" t="s">
        <v>283</v>
      </c>
      <c r="C2499" s="3" t="s">
        <v>396</v>
      </c>
      <c r="D2499" s="3" t="s">
        <v>692</v>
      </c>
      <c r="E2499" s="3" t="s">
        <v>398</v>
      </c>
      <c r="F2499" s="16" t="n">
        <v>1</v>
      </c>
      <c r="G2499" s="15" t="n">
        <v>0</v>
      </c>
      <c r="H2499" s="16" t="n">
        <v>1</v>
      </c>
      <c r="I2499" s="33" t="n">
        <v>9507.72</v>
      </c>
      <c r="J2499" s="33" t="n">
        <v>9507.72</v>
      </c>
    </row>
    <row r="2500" customFormat="false" ht="15" hidden="false" customHeight="false" outlineLevel="0" collapsed="false">
      <c r="A2500" s="3" t="s">
        <v>2890</v>
      </c>
      <c r="B2500" s="3" t="s">
        <v>283</v>
      </c>
      <c r="C2500" s="3" t="s">
        <v>380</v>
      </c>
      <c r="D2500" s="3" t="s">
        <v>392</v>
      </c>
      <c r="E2500" s="3" t="s">
        <v>398</v>
      </c>
      <c r="F2500" s="16" t="n">
        <v>1</v>
      </c>
      <c r="G2500" s="15" t="n">
        <v>0</v>
      </c>
      <c r="H2500" s="16" t="n">
        <v>1</v>
      </c>
      <c r="I2500" s="33" t="n">
        <v>9506.16</v>
      </c>
      <c r="J2500" s="33" t="n">
        <v>9506.16</v>
      </c>
    </row>
    <row r="2501" customFormat="false" ht="15" hidden="false" customHeight="false" outlineLevel="0" collapsed="false">
      <c r="A2501" s="3" t="s">
        <v>2891</v>
      </c>
      <c r="B2501" s="3" t="s">
        <v>283</v>
      </c>
      <c r="C2501" s="3" t="s">
        <v>401</v>
      </c>
      <c r="D2501" s="3" t="s">
        <v>388</v>
      </c>
      <c r="E2501" s="3" t="s">
        <v>398</v>
      </c>
      <c r="F2501" s="16" t="n">
        <v>1</v>
      </c>
      <c r="G2501" s="15" t="n">
        <v>0</v>
      </c>
      <c r="H2501" s="16" t="n">
        <v>1</v>
      </c>
      <c r="I2501" s="33" t="n">
        <v>9504.48</v>
      </c>
      <c r="J2501" s="33" t="n">
        <v>9504.48</v>
      </c>
    </row>
    <row r="2502" customFormat="false" ht="15" hidden="false" customHeight="false" outlineLevel="0" collapsed="false">
      <c r="A2502" s="3" t="s">
        <v>2892</v>
      </c>
      <c r="B2502" s="3" t="s">
        <v>283</v>
      </c>
      <c r="C2502" s="3" t="s">
        <v>387</v>
      </c>
      <c r="D2502" s="3" t="s">
        <v>692</v>
      </c>
      <c r="E2502" s="3" t="s">
        <v>382</v>
      </c>
      <c r="F2502" s="16" t="n">
        <v>1</v>
      </c>
      <c r="G2502" s="15" t="n">
        <v>0</v>
      </c>
      <c r="H2502" s="16" t="n">
        <v>1</v>
      </c>
      <c r="I2502" s="33" t="n">
        <v>9504.36</v>
      </c>
      <c r="J2502" s="33" t="n">
        <v>9504.36</v>
      </c>
    </row>
    <row r="2503" customFormat="false" ht="15" hidden="false" customHeight="false" outlineLevel="0" collapsed="false">
      <c r="A2503" s="3" t="s">
        <v>2893</v>
      </c>
      <c r="B2503" s="3" t="s">
        <v>283</v>
      </c>
      <c r="C2503" s="3" t="s">
        <v>401</v>
      </c>
      <c r="D2503" s="3" t="s">
        <v>692</v>
      </c>
      <c r="E2503" s="3" t="s">
        <v>398</v>
      </c>
      <c r="F2503" s="16" t="n">
        <v>1</v>
      </c>
      <c r="G2503" s="15" t="n">
        <v>0</v>
      </c>
      <c r="H2503" s="16" t="n">
        <v>1</v>
      </c>
      <c r="I2503" s="33" t="n">
        <v>9501.36</v>
      </c>
      <c r="J2503" s="33" t="n">
        <v>9501.36</v>
      </c>
    </row>
    <row r="2504" customFormat="false" ht="15" hidden="false" customHeight="false" outlineLevel="0" collapsed="false">
      <c r="A2504" s="3" t="s">
        <v>2894</v>
      </c>
      <c r="B2504" s="3" t="s">
        <v>283</v>
      </c>
      <c r="C2504" s="3" t="s">
        <v>396</v>
      </c>
      <c r="D2504" s="3" t="s">
        <v>392</v>
      </c>
      <c r="E2504" s="3" t="s">
        <v>398</v>
      </c>
      <c r="F2504" s="16" t="n">
        <v>12</v>
      </c>
      <c r="G2504" s="15" t="n">
        <v>0</v>
      </c>
      <c r="H2504" s="16" t="n">
        <v>5</v>
      </c>
      <c r="I2504" s="33" t="n">
        <v>9488.76</v>
      </c>
      <c r="J2504" s="33" t="n">
        <v>9488.76</v>
      </c>
    </row>
    <row r="2505" customFormat="false" ht="15" hidden="false" customHeight="false" outlineLevel="0" collapsed="false">
      <c r="A2505" s="3" t="s">
        <v>2895</v>
      </c>
      <c r="B2505" s="3" t="s">
        <v>283</v>
      </c>
      <c r="C2505" s="3" t="s">
        <v>380</v>
      </c>
      <c r="D2505" s="3" t="s">
        <v>392</v>
      </c>
      <c r="E2505" s="3" t="s">
        <v>398</v>
      </c>
      <c r="F2505" s="16" t="n">
        <v>12</v>
      </c>
      <c r="G2505" s="15" t="n">
        <v>0</v>
      </c>
      <c r="H2505" s="16" t="n">
        <v>2</v>
      </c>
      <c r="I2505" s="33" t="n">
        <v>9468.96</v>
      </c>
      <c r="J2505" s="33" t="n">
        <v>9468.96</v>
      </c>
    </row>
    <row r="2506" customFormat="false" ht="15" hidden="false" customHeight="false" outlineLevel="0" collapsed="false">
      <c r="A2506" s="3" t="s">
        <v>2896</v>
      </c>
      <c r="B2506" s="3" t="s">
        <v>283</v>
      </c>
      <c r="C2506" s="3" t="s">
        <v>387</v>
      </c>
      <c r="D2506" s="3" t="s">
        <v>692</v>
      </c>
      <c r="E2506" s="3" t="s">
        <v>398</v>
      </c>
      <c r="F2506" s="16" t="n">
        <v>12</v>
      </c>
      <c r="G2506" s="15" t="n">
        <v>0.1</v>
      </c>
      <c r="H2506" s="16" t="n">
        <v>3</v>
      </c>
      <c r="I2506" s="33" t="n">
        <v>9468.48</v>
      </c>
      <c r="J2506" s="33" t="n">
        <v>10520.64</v>
      </c>
    </row>
    <row r="2507" customFormat="false" ht="15" hidden="false" customHeight="false" outlineLevel="0" collapsed="false">
      <c r="A2507" s="3" t="s">
        <v>2897</v>
      </c>
      <c r="B2507" s="3" t="s">
        <v>283</v>
      </c>
      <c r="C2507" s="3" t="s">
        <v>396</v>
      </c>
      <c r="D2507" s="3" t="s">
        <v>388</v>
      </c>
      <c r="E2507" s="3" t="s">
        <v>398</v>
      </c>
      <c r="F2507" s="16" t="n">
        <v>12</v>
      </c>
      <c r="G2507" s="15" t="n">
        <v>0</v>
      </c>
      <c r="H2507" s="16" t="n">
        <v>4</v>
      </c>
      <c r="I2507" s="33" t="n">
        <v>9459.6</v>
      </c>
      <c r="J2507" s="33" t="n">
        <v>9459.6</v>
      </c>
    </row>
    <row r="2508" customFormat="false" ht="15" hidden="false" customHeight="false" outlineLevel="0" collapsed="false">
      <c r="A2508" s="3" t="s">
        <v>2898</v>
      </c>
      <c r="B2508" s="3" t="s">
        <v>283</v>
      </c>
      <c r="C2508" s="3" t="s">
        <v>401</v>
      </c>
      <c r="D2508" s="3" t="s">
        <v>388</v>
      </c>
      <c r="E2508" s="3" t="s">
        <v>382</v>
      </c>
      <c r="F2508" s="16" t="n">
        <v>1</v>
      </c>
      <c r="G2508" s="15" t="n">
        <v>0</v>
      </c>
      <c r="H2508" s="16" t="n">
        <v>1</v>
      </c>
      <c r="I2508" s="33" t="n">
        <v>9458.16</v>
      </c>
      <c r="J2508" s="33" t="n">
        <v>9458.16</v>
      </c>
    </row>
    <row r="2509" customFormat="false" ht="15" hidden="false" customHeight="false" outlineLevel="0" collapsed="false">
      <c r="A2509" s="3" t="s">
        <v>2899</v>
      </c>
      <c r="B2509" s="3" t="s">
        <v>283</v>
      </c>
      <c r="C2509" s="3" t="s">
        <v>384</v>
      </c>
      <c r="D2509" s="3" t="s">
        <v>692</v>
      </c>
      <c r="E2509" s="3" t="s">
        <v>398</v>
      </c>
      <c r="F2509" s="16" t="n">
        <v>1</v>
      </c>
      <c r="G2509" s="15" t="n">
        <v>0.25</v>
      </c>
      <c r="H2509" s="16" t="n">
        <v>1</v>
      </c>
      <c r="I2509" s="33" t="n">
        <v>9458.04</v>
      </c>
      <c r="J2509" s="33" t="n">
        <v>12610.68</v>
      </c>
    </row>
    <row r="2510" customFormat="false" ht="15" hidden="false" customHeight="false" outlineLevel="0" collapsed="false">
      <c r="A2510" s="3" t="s">
        <v>2900</v>
      </c>
      <c r="B2510" s="3" t="s">
        <v>283</v>
      </c>
      <c r="C2510" s="3" t="s">
        <v>384</v>
      </c>
      <c r="D2510" s="3" t="s">
        <v>392</v>
      </c>
      <c r="E2510" s="3" t="s">
        <v>398</v>
      </c>
      <c r="F2510" s="16" t="n">
        <v>1</v>
      </c>
      <c r="G2510" s="15" t="n">
        <v>0</v>
      </c>
      <c r="H2510" s="16" t="n">
        <v>1</v>
      </c>
      <c r="I2510" s="33" t="n">
        <v>9444.36</v>
      </c>
      <c r="J2510" s="33" t="n">
        <v>9444.36</v>
      </c>
    </row>
    <row r="2511" customFormat="false" ht="15" hidden="false" customHeight="false" outlineLevel="0" collapsed="false">
      <c r="A2511" s="3" t="s">
        <v>2901</v>
      </c>
      <c r="B2511" s="3" t="s">
        <v>283</v>
      </c>
      <c r="C2511" s="3" t="s">
        <v>384</v>
      </c>
      <c r="D2511" s="3" t="s">
        <v>692</v>
      </c>
      <c r="E2511" s="3" t="s">
        <v>398</v>
      </c>
      <c r="F2511" s="16" t="n">
        <v>12</v>
      </c>
      <c r="G2511" s="15" t="n">
        <v>0</v>
      </c>
      <c r="H2511" s="16" t="n">
        <v>5</v>
      </c>
      <c r="I2511" s="33" t="n">
        <v>9421.8</v>
      </c>
      <c r="J2511" s="33" t="n">
        <v>9421.8</v>
      </c>
    </row>
    <row r="2512" customFormat="false" ht="15" hidden="false" customHeight="false" outlineLevel="0" collapsed="false">
      <c r="A2512" s="3" t="s">
        <v>2902</v>
      </c>
      <c r="B2512" s="3" t="s">
        <v>283</v>
      </c>
      <c r="C2512" s="3" t="s">
        <v>384</v>
      </c>
      <c r="D2512" s="3" t="s">
        <v>392</v>
      </c>
      <c r="E2512" s="3" t="s">
        <v>385</v>
      </c>
      <c r="F2512" s="16" t="n">
        <v>1</v>
      </c>
      <c r="G2512" s="15" t="n">
        <v>0.2</v>
      </c>
      <c r="H2512" s="16" t="n">
        <v>1</v>
      </c>
      <c r="I2512" s="33" t="n">
        <v>9407.64</v>
      </c>
      <c r="J2512" s="33" t="n">
        <v>11759.64</v>
      </c>
    </row>
    <row r="2513" customFormat="false" ht="15" hidden="false" customHeight="false" outlineLevel="0" collapsed="false">
      <c r="A2513" s="3" t="s">
        <v>2903</v>
      </c>
      <c r="B2513" s="3" t="s">
        <v>283</v>
      </c>
      <c r="C2513" s="3" t="s">
        <v>403</v>
      </c>
      <c r="D2513" s="3" t="s">
        <v>418</v>
      </c>
      <c r="E2513" s="3" t="s">
        <v>382</v>
      </c>
      <c r="F2513" s="16" t="n">
        <v>1</v>
      </c>
      <c r="G2513" s="15" t="n">
        <v>0</v>
      </c>
      <c r="H2513" s="16" t="n">
        <v>1</v>
      </c>
      <c r="I2513" s="33" t="n">
        <v>9407.04</v>
      </c>
      <c r="J2513" s="33" t="n">
        <v>9407.04</v>
      </c>
    </row>
    <row r="2514" customFormat="false" ht="15" hidden="false" customHeight="false" outlineLevel="0" collapsed="false">
      <c r="A2514" s="3" t="s">
        <v>2904</v>
      </c>
      <c r="B2514" s="3" t="s">
        <v>283</v>
      </c>
      <c r="C2514" s="3" t="s">
        <v>396</v>
      </c>
      <c r="D2514" s="3" t="s">
        <v>392</v>
      </c>
      <c r="E2514" s="3" t="s">
        <v>385</v>
      </c>
      <c r="F2514" s="16" t="n">
        <v>1</v>
      </c>
      <c r="G2514" s="15" t="n">
        <v>0</v>
      </c>
      <c r="H2514" s="16" t="n">
        <v>1</v>
      </c>
      <c r="I2514" s="33" t="n">
        <v>9393.36</v>
      </c>
      <c r="J2514" s="33" t="n">
        <v>9393.36</v>
      </c>
    </row>
    <row r="2515" customFormat="false" ht="15" hidden="false" customHeight="false" outlineLevel="0" collapsed="false">
      <c r="A2515" s="3" t="s">
        <v>2905</v>
      </c>
      <c r="B2515" s="3" t="s">
        <v>283</v>
      </c>
      <c r="C2515" s="3" t="s">
        <v>387</v>
      </c>
      <c r="D2515" s="3" t="s">
        <v>392</v>
      </c>
      <c r="E2515" s="3" t="s">
        <v>385</v>
      </c>
      <c r="F2515" s="16" t="n">
        <v>12</v>
      </c>
      <c r="G2515" s="15" t="n">
        <v>0</v>
      </c>
      <c r="H2515" s="16" t="n">
        <v>1</v>
      </c>
      <c r="I2515" s="33" t="n">
        <v>9388.44</v>
      </c>
      <c r="J2515" s="33" t="n">
        <v>9388.44</v>
      </c>
    </row>
    <row r="2516" customFormat="false" ht="15" hidden="false" customHeight="false" outlineLevel="0" collapsed="false">
      <c r="A2516" s="3" t="s">
        <v>2906</v>
      </c>
      <c r="B2516" s="3" t="s">
        <v>283</v>
      </c>
      <c r="C2516" s="3" t="s">
        <v>405</v>
      </c>
      <c r="D2516" s="3" t="s">
        <v>388</v>
      </c>
      <c r="E2516" s="3" t="s">
        <v>398</v>
      </c>
      <c r="F2516" s="16" t="n">
        <v>1</v>
      </c>
      <c r="G2516" s="15" t="n">
        <v>0.3</v>
      </c>
      <c r="H2516" s="16" t="n">
        <v>1</v>
      </c>
      <c r="I2516" s="33" t="n">
        <v>9383.88</v>
      </c>
      <c r="J2516" s="33" t="n">
        <v>13405.44</v>
      </c>
    </row>
    <row r="2517" customFormat="false" ht="15" hidden="false" customHeight="false" outlineLevel="0" collapsed="false">
      <c r="A2517" s="3" t="s">
        <v>2907</v>
      </c>
      <c r="B2517" s="3" t="s">
        <v>283</v>
      </c>
      <c r="C2517" s="3" t="s">
        <v>396</v>
      </c>
      <c r="D2517" s="3" t="s">
        <v>418</v>
      </c>
      <c r="E2517" s="3" t="s">
        <v>398</v>
      </c>
      <c r="F2517" s="16" t="n">
        <v>1</v>
      </c>
      <c r="G2517" s="15" t="n">
        <v>0.15</v>
      </c>
      <c r="H2517" s="16" t="n">
        <v>1</v>
      </c>
      <c r="I2517" s="33" t="n">
        <v>9375.36</v>
      </c>
      <c r="J2517" s="33" t="n">
        <v>11029.8</v>
      </c>
    </row>
    <row r="2518" customFormat="false" ht="15" hidden="false" customHeight="false" outlineLevel="0" collapsed="false">
      <c r="A2518" s="3" t="s">
        <v>2908</v>
      </c>
      <c r="B2518" s="3" t="s">
        <v>283</v>
      </c>
      <c r="C2518" s="3" t="s">
        <v>380</v>
      </c>
      <c r="D2518" s="3" t="s">
        <v>418</v>
      </c>
      <c r="E2518" s="3" t="s">
        <v>398</v>
      </c>
      <c r="F2518" s="16" t="n">
        <v>1</v>
      </c>
      <c r="G2518" s="15" t="n">
        <v>0</v>
      </c>
      <c r="H2518" s="16" t="n">
        <v>1</v>
      </c>
      <c r="I2518" s="33" t="n">
        <v>9372.6</v>
      </c>
      <c r="J2518" s="33" t="n">
        <v>9372.6</v>
      </c>
    </row>
    <row r="2519" customFormat="false" ht="15" hidden="false" customHeight="false" outlineLevel="0" collapsed="false">
      <c r="A2519" s="3" t="s">
        <v>2909</v>
      </c>
      <c r="B2519" s="3" t="s">
        <v>283</v>
      </c>
      <c r="C2519" s="3" t="s">
        <v>384</v>
      </c>
      <c r="D2519" s="3" t="s">
        <v>392</v>
      </c>
      <c r="E2519" s="3" t="s">
        <v>398</v>
      </c>
      <c r="F2519" s="16" t="n">
        <v>12</v>
      </c>
      <c r="G2519" s="15" t="n">
        <v>0</v>
      </c>
      <c r="H2519" s="16" t="n">
        <v>10</v>
      </c>
      <c r="I2519" s="33" t="n">
        <v>9368.76</v>
      </c>
      <c r="J2519" s="33" t="n">
        <v>9368.76</v>
      </c>
    </row>
    <row r="2520" customFormat="false" ht="15" hidden="false" customHeight="false" outlineLevel="0" collapsed="false">
      <c r="A2520" s="3" t="s">
        <v>2910</v>
      </c>
      <c r="B2520" s="3" t="s">
        <v>283</v>
      </c>
      <c r="C2520" s="3" t="s">
        <v>403</v>
      </c>
      <c r="D2520" s="3" t="s">
        <v>381</v>
      </c>
      <c r="E2520" s="3" t="s">
        <v>385</v>
      </c>
      <c r="F2520" s="16" t="n">
        <v>12</v>
      </c>
      <c r="G2520" s="15" t="n">
        <v>0</v>
      </c>
      <c r="H2520" s="16" t="n">
        <v>9</v>
      </c>
      <c r="I2520" s="33" t="n">
        <v>9365.88</v>
      </c>
      <c r="J2520" s="33" t="n">
        <v>9365.88</v>
      </c>
    </row>
    <row r="2521" customFormat="false" ht="15" hidden="false" customHeight="false" outlineLevel="0" collapsed="false">
      <c r="A2521" s="3" t="s">
        <v>2911</v>
      </c>
      <c r="B2521" s="3" t="s">
        <v>283</v>
      </c>
      <c r="C2521" s="3" t="s">
        <v>387</v>
      </c>
      <c r="D2521" s="3" t="s">
        <v>692</v>
      </c>
      <c r="E2521" s="3" t="s">
        <v>385</v>
      </c>
      <c r="F2521" s="16" t="n">
        <v>12</v>
      </c>
      <c r="G2521" s="15" t="n">
        <v>0</v>
      </c>
      <c r="H2521" s="16" t="n">
        <v>10</v>
      </c>
      <c r="I2521" s="33" t="n">
        <v>9365.76</v>
      </c>
      <c r="J2521" s="33" t="n">
        <v>9365.76</v>
      </c>
    </row>
    <row r="2522" customFormat="false" ht="15" hidden="false" customHeight="false" outlineLevel="0" collapsed="false">
      <c r="A2522" s="3" t="s">
        <v>2912</v>
      </c>
      <c r="B2522" s="3" t="s">
        <v>283</v>
      </c>
      <c r="C2522" s="3" t="s">
        <v>396</v>
      </c>
      <c r="D2522" s="3" t="s">
        <v>692</v>
      </c>
      <c r="E2522" s="3" t="s">
        <v>398</v>
      </c>
      <c r="F2522" s="16" t="n">
        <v>1</v>
      </c>
      <c r="G2522" s="15" t="n">
        <v>0</v>
      </c>
      <c r="H2522" s="16" t="n">
        <v>1</v>
      </c>
      <c r="I2522" s="33" t="n">
        <v>9360.72</v>
      </c>
      <c r="J2522" s="33" t="n">
        <v>9360.72</v>
      </c>
    </row>
    <row r="2523" customFormat="false" ht="15" hidden="false" customHeight="false" outlineLevel="0" collapsed="false">
      <c r="A2523" s="3" t="s">
        <v>2913</v>
      </c>
      <c r="B2523" s="3" t="s">
        <v>283</v>
      </c>
      <c r="C2523" s="3" t="s">
        <v>405</v>
      </c>
      <c r="D2523" s="3" t="s">
        <v>418</v>
      </c>
      <c r="E2523" s="3" t="s">
        <v>382</v>
      </c>
      <c r="F2523" s="16" t="n">
        <v>1</v>
      </c>
      <c r="G2523" s="15" t="n">
        <v>0.075</v>
      </c>
      <c r="H2523" s="16" t="n">
        <v>1</v>
      </c>
      <c r="I2523" s="33" t="n">
        <v>9346.08</v>
      </c>
      <c r="J2523" s="33" t="n">
        <v>10103.88</v>
      </c>
    </row>
    <row r="2524" customFormat="false" ht="15" hidden="false" customHeight="false" outlineLevel="0" collapsed="false">
      <c r="A2524" s="3" t="s">
        <v>2914</v>
      </c>
      <c r="B2524" s="3" t="s">
        <v>283</v>
      </c>
      <c r="C2524" s="3" t="s">
        <v>380</v>
      </c>
      <c r="D2524" s="3" t="s">
        <v>692</v>
      </c>
      <c r="E2524" s="3" t="s">
        <v>385</v>
      </c>
      <c r="F2524" s="16" t="n">
        <v>1</v>
      </c>
      <c r="G2524" s="15" t="n">
        <v>0</v>
      </c>
      <c r="H2524" s="16" t="n">
        <v>1</v>
      </c>
      <c r="I2524" s="33" t="n">
        <v>9345.24</v>
      </c>
      <c r="J2524" s="33" t="n">
        <v>9345.24</v>
      </c>
    </row>
    <row r="2525" customFormat="false" ht="15" hidden="false" customHeight="false" outlineLevel="0" collapsed="false">
      <c r="A2525" s="3" t="s">
        <v>2915</v>
      </c>
      <c r="B2525" s="3" t="s">
        <v>283</v>
      </c>
      <c r="C2525" s="3" t="s">
        <v>384</v>
      </c>
      <c r="D2525" s="3" t="s">
        <v>392</v>
      </c>
      <c r="E2525" s="3" t="s">
        <v>398</v>
      </c>
      <c r="F2525" s="16" t="n">
        <v>12</v>
      </c>
      <c r="G2525" s="15" t="n">
        <v>0</v>
      </c>
      <c r="H2525" s="16" t="n">
        <v>9</v>
      </c>
      <c r="I2525" s="33" t="n">
        <v>9344.88</v>
      </c>
      <c r="J2525" s="33" t="n">
        <v>9344.88</v>
      </c>
    </row>
    <row r="2526" customFormat="false" ht="15" hidden="false" customHeight="false" outlineLevel="0" collapsed="false">
      <c r="A2526" s="3" t="s">
        <v>2916</v>
      </c>
      <c r="B2526" s="3" t="s">
        <v>283</v>
      </c>
      <c r="C2526" s="3" t="s">
        <v>384</v>
      </c>
      <c r="D2526" s="3" t="s">
        <v>392</v>
      </c>
      <c r="E2526" s="3" t="s">
        <v>385</v>
      </c>
      <c r="F2526" s="16" t="n">
        <v>1</v>
      </c>
      <c r="G2526" s="15" t="n">
        <v>0</v>
      </c>
      <c r="H2526" s="16" t="n">
        <v>1</v>
      </c>
      <c r="I2526" s="33" t="n">
        <v>9335.88</v>
      </c>
      <c r="J2526" s="33" t="n">
        <v>9335.88</v>
      </c>
    </row>
    <row r="2527" customFormat="false" ht="15" hidden="false" customHeight="false" outlineLevel="0" collapsed="false">
      <c r="A2527" s="3" t="s">
        <v>2917</v>
      </c>
      <c r="B2527" s="3" t="s">
        <v>283</v>
      </c>
      <c r="C2527" s="3" t="s">
        <v>384</v>
      </c>
      <c r="D2527" s="3" t="s">
        <v>392</v>
      </c>
      <c r="E2527" s="3" t="s">
        <v>398</v>
      </c>
      <c r="F2527" s="16" t="n">
        <v>1</v>
      </c>
      <c r="G2527" s="15" t="n">
        <v>0</v>
      </c>
      <c r="H2527" s="16" t="n">
        <v>1</v>
      </c>
      <c r="I2527" s="33" t="n">
        <v>9327</v>
      </c>
      <c r="J2527" s="33" t="n">
        <v>9327</v>
      </c>
    </row>
    <row r="2528" customFormat="false" ht="15" hidden="false" customHeight="false" outlineLevel="0" collapsed="false">
      <c r="A2528" s="3" t="s">
        <v>2918</v>
      </c>
      <c r="B2528" s="3" t="s">
        <v>283</v>
      </c>
      <c r="C2528" s="3" t="s">
        <v>384</v>
      </c>
      <c r="D2528" s="3" t="s">
        <v>418</v>
      </c>
      <c r="E2528" s="3" t="s">
        <v>385</v>
      </c>
      <c r="F2528" s="16" t="n">
        <v>12</v>
      </c>
      <c r="G2528" s="15" t="n">
        <v>0</v>
      </c>
      <c r="H2528" s="16" t="n">
        <v>10</v>
      </c>
      <c r="I2528" s="33" t="n">
        <v>9313.2</v>
      </c>
      <c r="J2528" s="33" t="n">
        <v>9313.2</v>
      </c>
    </row>
    <row r="2529" customFormat="false" ht="15" hidden="false" customHeight="false" outlineLevel="0" collapsed="false">
      <c r="A2529" s="3" t="s">
        <v>2919</v>
      </c>
      <c r="B2529" s="3" t="s">
        <v>283</v>
      </c>
      <c r="C2529" s="3" t="s">
        <v>401</v>
      </c>
      <c r="D2529" s="3" t="s">
        <v>418</v>
      </c>
      <c r="E2529" s="3" t="s">
        <v>398</v>
      </c>
      <c r="F2529" s="16" t="n">
        <v>12</v>
      </c>
      <c r="G2529" s="15" t="n">
        <v>0</v>
      </c>
      <c r="H2529" s="16" t="n">
        <v>3</v>
      </c>
      <c r="I2529" s="33" t="n">
        <v>9297.6</v>
      </c>
      <c r="J2529" s="33" t="n">
        <v>9297.6</v>
      </c>
    </row>
    <row r="2530" customFormat="false" ht="15" hidden="false" customHeight="false" outlineLevel="0" collapsed="false">
      <c r="A2530" s="3" t="s">
        <v>2920</v>
      </c>
      <c r="B2530" s="3" t="s">
        <v>283</v>
      </c>
      <c r="C2530" s="3" t="s">
        <v>396</v>
      </c>
      <c r="D2530" s="3" t="s">
        <v>392</v>
      </c>
      <c r="E2530" s="3" t="s">
        <v>398</v>
      </c>
      <c r="F2530" s="16" t="n">
        <v>1</v>
      </c>
      <c r="G2530" s="15" t="n">
        <v>0</v>
      </c>
      <c r="H2530" s="16" t="n">
        <v>1</v>
      </c>
      <c r="I2530" s="33" t="n">
        <v>9283.44</v>
      </c>
      <c r="J2530" s="33" t="n">
        <v>9283.44</v>
      </c>
    </row>
    <row r="2531" customFormat="false" ht="15" hidden="false" customHeight="false" outlineLevel="0" collapsed="false">
      <c r="A2531" s="3" t="s">
        <v>2921</v>
      </c>
      <c r="B2531" s="3" t="s">
        <v>283</v>
      </c>
      <c r="C2531" s="3" t="s">
        <v>380</v>
      </c>
      <c r="D2531" s="3" t="s">
        <v>392</v>
      </c>
      <c r="E2531" s="3" t="s">
        <v>398</v>
      </c>
      <c r="F2531" s="16" t="n">
        <v>1</v>
      </c>
      <c r="G2531" s="15" t="n">
        <v>0</v>
      </c>
      <c r="H2531" s="16" t="n">
        <v>1</v>
      </c>
      <c r="I2531" s="33" t="n">
        <v>9271.68</v>
      </c>
      <c r="J2531" s="33" t="n">
        <v>9271.68</v>
      </c>
    </row>
    <row r="2532" customFormat="false" ht="15" hidden="false" customHeight="false" outlineLevel="0" collapsed="false">
      <c r="A2532" s="3" t="s">
        <v>2922</v>
      </c>
      <c r="B2532" s="3" t="s">
        <v>283</v>
      </c>
      <c r="C2532" s="3" t="s">
        <v>380</v>
      </c>
      <c r="D2532" s="3" t="s">
        <v>692</v>
      </c>
      <c r="E2532" s="3" t="s">
        <v>382</v>
      </c>
      <c r="F2532" s="16" t="n">
        <v>12</v>
      </c>
      <c r="G2532" s="15" t="n">
        <v>0</v>
      </c>
      <c r="H2532" s="16" t="n">
        <v>1</v>
      </c>
      <c r="I2532" s="33" t="n">
        <v>9270.84</v>
      </c>
      <c r="J2532" s="33" t="n">
        <v>9270.84</v>
      </c>
    </row>
    <row r="2533" customFormat="false" ht="15" hidden="false" customHeight="false" outlineLevel="0" collapsed="false">
      <c r="A2533" s="3" t="s">
        <v>2923</v>
      </c>
      <c r="B2533" s="3" t="s">
        <v>283</v>
      </c>
      <c r="C2533" s="3" t="s">
        <v>401</v>
      </c>
      <c r="D2533" s="3" t="s">
        <v>418</v>
      </c>
      <c r="E2533" s="3" t="s">
        <v>382</v>
      </c>
      <c r="F2533" s="16" t="n">
        <v>12</v>
      </c>
      <c r="G2533" s="15" t="n">
        <v>0</v>
      </c>
      <c r="H2533" s="16" t="n">
        <v>12</v>
      </c>
      <c r="I2533" s="33" t="n">
        <v>9265.56</v>
      </c>
      <c r="J2533" s="33" t="n">
        <v>9265.56</v>
      </c>
    </row>
    <row r="2534" customFormat="false" ht="15" hidden="false" customHeight="false" outlineLevel="0" collapsed="false">
      <c r="A2534" s="3" t="s">
        <v>2924</v>
      </c>
      <c r="B2534" s="3" t="s">
        <v>283</v>
      </c>
      <c r="C2534" s="3" t="s">
        <v>403</v>
      </c>
      <c r="D2534" s="3" t="s">
        <v>418</v>
      </c>
      <c r="E2534" s="3" t="s">
        <v>382</v>
      </c>
      <c r="F2534" s="16" t="n">
        <v>12</v>
      </c>
      <c r="G2534" s="15" t="n">
        <v>0.15</v>
      </c>
      <c r="H2534" s="16" t="n">
        <v>7</v>
      </c>
      <c r="I2534" s="33" t="n">
        <v>9261.24</v>
      </c>
      <c r="J2534" s="33" t="n">
        <v>10895.52</v>
      </c>
    </row>
    <row r="2535" customFormat="false" ht="15" hidden="false" customHeight="false" outlineLevel="0" collapsed="false">
      <c r="A2535" s="3" t="s">
        <v>2925</v>
      </c>
      <c r="B2535" s="3" t="s">
        <v>283</v>
      </c>
      <c r="C2535" s="3" t="s">
        <v>396</v>
      </c>
      <c r="D2535" s="3" t="s">
        <v>392</v>
      </c>
      <c r="E2535" s="3" t="s">
        <v>398</v>
      </c>
      <c r="F2535" s="16" t="n">
        <v>1</v>
      </c>
      <c r="G2535" s="15" t="n">
        <v>0</v>
      </c>
      <c r="H2535" s="16" t="n">
        <v>1</v>
      </c>
      <c r="I2535" s="33" t="n">
        <v>9254.52</v>
      </c>
      <c r="J2535" s="33" t="n">
        <v>9254.52</v>
      </c>
    </row>
    <row r="2536" customFormat="false" ht="15" hidden="false" customHeight="false" outlineLevel="0" collapsed="false">
      <c r="A2536" s="3" t="s">
        <v>2926</v>
      </c>
      <c r="B2536" s="3" t="s">
        <v>283</v>
      </c>
      <c r="C2536" s="3" t="s">
        <v>401</v>
      </c>
      <c r="D2536" s="3" t="s">
        <v>392</v>
      </c>
      <c r="E2536" s="3" t="s">
        <v>398</v>
      </c>
      <c r="F2536" s="16" t="n">
        <v>1</v>
      </c>
      <c r="G2536" s="15" t="n">
        <v>0</v>
      </c>
      <c r="H2536" s="16" t="n">
        <v>1</v>
      </c>
      <c r="I2536" s="33" t="n">
        <v>9245.88</v>
      </c>
      <c r="J2536" s="33" t="n">
        <v>9245.88</v>
      </c>
    </row>
    <row r="2537" customFormat="false" ht="15" hidden="false" customHeight="false" outlineLevel="0" collapsed="false">
      <c r="A2537" s="3" t="s">
        <v>2927</v>
      </c>
      <c r="B2537" s="3" t="s">
        <v>283</v>
      </c>
      <c r="C2537" s="3" t="s">
        <v>403</v>
      </c>
      <c r="D2537" s="3" t="s">
        <v>418</v>
      </c>
      <c r="E2537" s="3" t="s">
        <v>398</v>
      </c>
      <c r="F2537" s="16" t="n">
        <v>1</v>
      </c>
      <c r="G2537" s="15" t="n">
        <v>0</v>
      </c>
      <c r="H2537" s="16" t="n">
        <v>1</v>
      </c>
      <c r="I2537" s="33" t="n">
        <v>9236.76</v>
      </c>
      <c r="J2537" s="33" t="n">
        <v>9236.76</v>
      </c>
    </row>
    <row r="2538" customFormat="false" ht="15" hidden="false" customHeight="false" outlineLevel="0" collapsed="false">
      <c r="A2538" s="3" t="s">
        <v>2928</v>
      </c>
      <c r="B2538" s="3" t="s">
        <v>283</v>
      </c>
      <c r="C2538" s="3" t="s">
        <v>401</v>
      </c>
      <c r="D2538" s="3" t="s">
        <v>392</v>
      </c>
      <c r="E2538" s="3" t="s">
        <v>382</v>
      </c>
      <c r="F2538" s="16" t="n">
        <v>12</v>
      </c>
      <c r="G2538" s="15" t="n">
        <v>0</v>
      </c>
      <c r="H2538" s="16" t="n">
        <v>6</v>
      </c>
      <c r="I2538" s="33" t="n">
        <v>9235.8</v>
      </c>
      <c r="J2538" s="33" t="n">
        <v>9235.8</v>
      </c>
    </row>
    <row r="2539" customFormat="false" ht="15" hidden="false" customHeight="false" outlineLevel="0" collapsed="false">
      <c r="A2539" s="3" t="s">
        <v>2929</v>
      </c>
      <c r="B2539" s="3" t="s">
        <v>283</v>
      </c>
      <c r="C2539" s="3" t="s">
        <v>387</v>
      </c>
      <c r="D2539" s="3" t="s">
        <v>388</v>
      </c>
      <c r="E2539" s="3" t="s">
        <v>398</v>
      </c>
      <c r="F2539" s="16" t="n">
        <v>1</v>
      </c>
      <c r="G2539" s="15" t="n">
        <v>0</v>
      </c>
      <c r="H2539" s="16" t="n">
        <v>1</v>
      </c>
      <c r="I2539" s="33" t="n">
        <v>9234.12</v>
      </c>
      <c r="J2539" s="33" t="n">
        <v>9234.12</v>
      </c>
    </row>
    <row r="2540" customFormat="false" ht="15" hidden="false" customHeight="false" outlineLevel="0" collapsed="false">
      <c r="A2540" s="3" t="s">
        <v>2930</v>
      </c>
      <c r="B2540" s="3" t="s">
        <v>283</v>
      </c>
      <c r="C2540" s="3" t="s">
        <v>396</v>
      </c>
      <c r="D2540" s="3" t="s">
        <v>692</v>
      </c>
      <c r="E2540" s="3" t="s">
        <v>398</v>
      </c>
      <c r="F2540" s="16" t="n">
        <v>1</v>
      </c>
      <c r="G2540" s="15" t="n">
        <v>0.1</v>
      </c>
      <c r="H2540" s="16" t="n">
        <v>1</v>
      </c>
      <c r="I2540" s="33" t="n">
        <v>9220.56</v>
      </c>
      <c r="J2540" s="33" t="n">
        <v>10245.12</v>
      </c>
    </row>
    <row r="2541" customFormat="false" ht="15" hidden="false" customHeight="false" outlineLevel="0" collapsed="false">
      <c r="A2541" s="3" t="s">
        <v>2931</v>
      </c>
      <c r="B2541" s="3" t="s">
        <v>283</v>
      </c>
      <c r="C2541" s="3" t="s">
        <v>405</v>
      </c>
      <c r="D2541" s="3" t="s">
        <v>692</v>
      </c>
      <c r="E2541" s="3" t="s">
        <v>398</v>
      </c>
      <c r="F2541" s="16" t="n">
        <v>1</v>
      </c>
      <c r="G2541" s="15" t="n">
        <v>0</v>
      </c>
      <c r="H2541" s="16" t="n">
        <v>1</v>
      </c>
      <c r="I2541" s="33" t="n">
        <v>9187.44</v>
      </c>
      <c r="J2541" s="33" t="n">
        <v>9187.44</v>
      </c>
    </row>
    <row r="2542" customFormat="false" ht="15" hidden="false" customHeight="false" outlineLevel="0" collapsed="false">
      <c r="A2542" s="3" t="s">
        <v>2932</v>
      </c>
      <c r="B2542" s="3" t="s">
        <v>283</v>
      </c>
      <c r="C2542" s="3" t="s">
        <v>405</v>
      </c>
      <c r="D2542" s="3" t="s">
        <v>418</v>
      </c>
      <c r="E2542" s="3" t="s">
        <v>398</v>
      </c>
      <c r="F2542" s="16" t="n">
        <v>12</v>
      </c>
      <c r="G2542" s="15" t="n">
        <v>0</v>
      </c>
      <c r="H2542" s="16" t="n">
        <v>8</v>
      </c>
      <c r="I2542" s="33" t="n">
        <v>9181.8</v>
      </c>
      <c r="J2542" s="33" t="n">
        <v>9181.8</v>
      </c>
    </row>
    <row r="2543" customFormat="false" ht="15" hidden="false" customHeight="false" outlineLevel="0" collapsed="false">
      <c r="A2543" s="3" t="s">
        <v>2933</v>
      </c>
      <c r="B2543" s="3" t="s">
        <v>283</v>
      </c>
      <c r="C2543" s="3" t="s">
        <v>387</v>
      </c>
      <c r="D2543" s="3" t="s">
        <v>692</v>
      </c>
      <c r="E2543" s="3" t="s">
        <v>398</v>
      </c>
      <c r="F2543" s="16" t="n">
        <v>1</v>
      </c>
      <c r="G2543" s="15" t="n">
        <v>0</v>
      </c>
      <c r="H2543" s="16" t="n">
        <v>1</v>
      </c>
      <c r="I2543" s="33" t="n">
        <v>9177.96</v>
      </c>
      <c r="J2543" s="33" t="n">
        <v>9177.96</v>
      </c>
    </row>
    <row r="2544" customFormat="false" ht="15" hidden="false" customHeight="false" outlineLevel="0" collapsed="false">
      <c r="A2544" s="3" t="s">
        <v>2934</v>
      </c>
      <c r="B2544" s="3" t="s">
        <v>283</v>
      </c>
      <c r="C2544" s="3" t="s">
        <v>380</v>
      </c>
      <c r="D2544" s="3" t="s">
        <v>392</v>
      </c>
      <c r="E2544" s="3" t="s">
        <v>385</v>
      </c>
      <c r="F2544" s="16" t="n">
        <v>12</v>
      </c>
      <c r="G2544" s="15" t="n">
        <v>0.05</v>
      </c>
      <c r="H2544" s="16" t="n">
        <v>2</v>
      </c>
      <c r="I2544" s="33" t="n">
        <v>9164.52</v>
      </c>
      <c r="J2544" s="33" t="n">
        <v>9646.92</v>
      </c>
    </row>
    <row r="2545" customFormat="false" ht="15" hidden="false" customHeight="false" outlineLevel="0" collapsed="false">
      <c r="A2545" s="3" t="s">
        <v>2935</v>
      </c>
      <c r="B2545" s="3" t="s">
        <v>283</v>
      </c>
      <c r="C2545" s="3" t="s">
        <v>403</v>
      </c>
      <c r="D2545" s="3" t="s">
        <v>418</v>
      </c>
      <c r="E2545" s="3" t="s">
        <v>398</v>
      </c>
      <c r="F2545" s="16" t="n">
        <v>12</v>
      </c>
      <c r="G2545" s="15" t="n">
        <v>0</v>
      </c>
      <c r="H2545" s="16" t="n">
        <v>8</v>
      </c>
      <c r="I2545" s="33" t="n">
        <v>9163.68</v>
      </c>
      <c r="J2545" s="33" t="n">
        <v>9163.68</v>
      </c>
    </row>
    <row r="2546" customFormat="false" ht="15" hidden="false" customHeight="false" outlineLevel="0" collapsed="false">
      <c r="A2546" s="3" t="s">
        <v>2936</v>
      </c>
      <c r="B2546" s="3" t="s">
        <v>283</v>
      </c>
      <c r="C2546" s="3" t="s">
        <v>403</v>
      </c>
      <c r="D2546" s="3" t="s">
        <v>692</v>
      </c>
      <c r="E2546" s="3" t="s">
        <v>385</v>
      </c>
      <c r="F2546" s="16" t="n">
        <v>1</v>
      </c>
      <c r="G2546" s="15" t="n">
        <v>0.025</v>
      </c>
      <c r="H2546" s="16" t="n">
        <v>1</v>
      </c>
      <c r="I2546" s="33" t="n">
        <v>9161.52</v>
      </c>
      <c r="J2546" s="33" t="n">
        <v>9396.48</v>
      </c>
    </row>
    <row r="2547" customFormat="false" ht="15" hidden="false" customHeight="false" outlineLevel="0" collapsed="false">
      <c r="A2547" s="3" t="s">
        <v>2937</v>
      </c>
      <c r="B2547" s="3" t="s">
        <v>283</v>
      </c>
      <c r="C2547" s="3" t="s">
        <v>403</v>
      </c>
      <c r="D2547" s="3" t="s">
        <v>392</v>
      </c>
      <c r="E2547" s="3" t="s">
        <v>398</v>
      </c>
      <c r="F2547" s="16" t="n">
        <v>12</v>
      </c>
      <c r="G2547" s="15" t="n">
        <v>0</v>
      </c>
      <c r="H2547" s="16" t="n">
        <v>8</v>
      </c>
      <c r="I2547" s="33" t="n">
        <v>9146.4</v>
      </c>
      <c r="J2547" s="33" t="n">
        <v>9146.4</v>
      </c>
    </row>
    <row r="2548" customFormat="false" ht="15" hidden="false" customHeight="false" outlineLevel="0" collapsed="false">
      <c r="A2548" s="3" t="s">
        <v>2938</v>
      </c>
      <c r="B2548" s="3" t="s">
        <v>283</v>
      </c>
      <c r="C2548" s="3" t="s">
        <v>396</v>
      </c>
      <c r="D2548" s="3" t="s">
        <v>418</v>
      </c>
      <c r="E2548" s="3" t="s">
        <v>385</v>
      </c>
      <c r="F2548" s="16" t="n">
        <v>1</v>
      </c>
      <c r="G2548" s="15" t="n">
        <v>0</v>
      </c>
      <c r="H2548" s="16" t="n">
        <v>1</v>
      </c>
      <c r="I2548" s="33" t="n">
        <v>9144.36</v>
      </c>
      <c r="J2548" s="33" t="n">
        <v>9144.36</v>
      </c>
    </row>
    <row r="2549" customFormat="false" ht="15" hidden="false" customHeight="false" outlineLevel="0" collapsed="false">
      <c r="A2549" s="3" t="s">
        <v>2939</v>
      </c>
      <c r="B2549" s="3" t="s">
        <v>283</v>
      </c>
      <c r="C2549" s="3" t="s">
        <v>401</v>
      </c>
      <c r="D2549" s="3" t="s">
        <v>392</v>
      </c>
      <c r="E2549" s="3" t="s">
        <v>398</v>
      </c>
      <c r="F2549" s="16" t="n">
        <v>1</v>
      </c>
      <c r="G2549" s="15" t="n">
        <v>0</v>
      </c>
      <c r="H2549" s="16" t="n">
        <v>1</v>
      </c>
      <c r="I2549" s="33" t="n">
        <v>9139.32</v>
      </c>
      <c r="J2549" s="33" t="n">
        <v>9139.32</v>
      </c>
    </row>
    <row r="2550" customFormat="false" ht="15" hidden="false" customHeight="false" outlineLevel="0" collapsed="false">
      <c r="A2550" s="3" t="s">
        <v>2940</v>
      </c>
      <c r="B2550" s="3" t="s">
        <v>283</v>
      </c>
      <c r="C2550" s="3" t="s">
        <v>403</v>
      </c>
      <c r="D2550" s="3" t="s">
        <v>692</v>
      </c>
      <c r="E2550" s="3" t="s">
        <v>382</v>
      </c>
      <c r="F2550" s="16" t="n">
        <v>12</v>
      </c>
      <c r="G2550" s="15" t="n">
        <v>0</v>
      </c>
      <c r="H2550" s="16" t="n">
        <v>4</v>
      </c>
      <c r="I2550" s="33" t="n">
        <v>9108.96</v>
      </c>
      <c r="J2550" s="33" t="n">
        <v>9108.96</v>
      </c>
    </row>
    <row r="2551" customFormat="false" ht="15" hidden="false" customHeight="false" outlineLevel="0" collapsed="false">
      <c r="A2551" s="3" t="s">
        <v>2941</v>
      </c>
      <c r="B2551" s="3" t="s">
        <v>283</v>
      </c>
      <c r="C2551" s="3" t="s">
        <v>380</v>
      </c>
      <c r="D2551" s="3" t="s">
        <v>392</v>
      </c>
      <c r="E2551" s="3" t="s">
        <v>385</v>
      </c>
      <c r="F2551" s="16" t="n">
        <v>1</v>
      </c>
      <c r="G2551" s="15" t="n">
        <v>0.1</v>
      </c>
      <c r="H2551" s="16" t="n">
        <v>1</v>
      </c>
      <c r="I2551" s="33" t="n">
        <v>9105.24</v>
      </c>
      <c r="J2551" s="33" t="n">
        <v>10116.96</v>
      </c>
    </row>
    <row r="2552" customFormat="false" ht="15" hidden="false" customHeight="false" outlineLevel="0" collapsed="false">
      <c r="A2552" s="3" t="s">
        <v>2942</v>
      </c>
      <c r="B2552" s="3" t="s">
        <v>283</v>
      </c>
      <c r="C2552" s="3" t="s">
        <v>396</v>
      </c>
      <c r="D2552" s="3" t="s">
        <v>418</v>
      </c>
      <c r="E2552" s="3" t="s">
        <v>398</v>
      </c>
      <c r="F2552" s="16" t="n">
        <v>12</v>
      </c>
      <c r="G2552" s="15" t="n">
        <v>0</v>
      </c>
      <c r="H2552" s="16" t="n">
        <v>5</v>
      </c>
      <c r="I2552" s="33" t="n">
        <v>9077.52</v>
      </c>
      <c r="J2552" s="33" t="n">
        <v>9077.52</v>
      </c>
    </row>
    <row r="2553" customFormat="false" ht="15" hidden="false" customHeight="false" outlineLevel="0" collapsed="false">
      <c r="A2553" s="3" t="s">
        <v>2943</v>
      </c>
      <c r="B2553" s="3" t="s">
        <v>283</v>
      </c>
      <c r="C2553" s="3" t="s">
        <v>387</v>
      </c>
      <c r="D2553" s="3" t="s">
        <v>392</v>
      </c>
      <c r="E2553" s="3" t="s">
        <v>398</v>
      </c>
      <c r="F2553" s="16" t="n">
        <v>1</v>
      </c>
      <c r="G2553" s="15" t="n">
        <v>0</v>
      </c>
      <c r="H2553" s="16" t="n">
        <v>1</v>
      </c>
      <c r="I2553" s="33" t="n">
        <v>9075.6</v>
      </c>
      <c r="J2553" s="33" t="n">
        <v>9075.6</v>
      </c>
    </row>
    <row r="2554" customFormat="false" ht="15" hidden="false" customHeight="false" outlineLevel="0" collapsed="false">
      <c r="A2554" s="3" t="s">
        <v>2944</v>
      </c>
      <c r="B2554" s="3" t="s">
        <v>283</v>
      </c>
      <c r="C2554" s="3" t="s">
        <v>387</v>
      </c>
      <c r="D2554" s="3" t="s">
        <v>392</v>
      </c>
      <c r="E2554" s="3" t="s">
        <v>398</v>
      </c>
      <c r="F2554" s="16" t="n">
        <v>12</v>
      </c>
      <c r="G2554" s="15" t="n">
        <v>0</v>
      </c>
      <c r="H2554" s="16" t="n">
        <v>8</v>
      </c>
      <c r="I2554" s="33" t="n">
        <v>9063.72</v>
      </c>
      <c r="J2554" s="33" t="n">
        <v>9063.72</v>
      </c>
    </row>
    <row r="2555" customFormat="false" ht="15" hidden="false" customHeight="false" outlineLevel="0" collapsed="false">
      <c r="A2555" s="3" t="s">
        <v>2945</v>
      </c>
      <c r="B2555" s="3" t="s">
        <v>283</v>
      </c>
      <c r="C2555" s="3" t="s">
        <v>384</v>
      </c>
      <c r="D2555" s="3" t="s">
        <v>418</v>
      </c>
      <c r="E2555" s="3" t="s">
        <v>385</v>
      </c>
      <c r="F2555" s="16" t="n">
        <v>1</v>
      </c>
      <c r="G2555" s="15" t="n">
        <v>0.1</v>
      </c>
      <c r="H2555" s="16" t="n">
        <v>1</v>
      </c>
      <c r="I2555" s="33" t="n">
        <v>9028.8</v>
      </c>
      <c r="J2555" s="33" t="n">
        <v>10032</v>
      </c>
    </row>
    <row r="2556" customFormat="false" ht="15" hidden="false" customHeight="false" outlineLevel="0" collapsed="false">
      <c r="A2556" s="3" t="s">
        <v>2946</v>
      </c>
      <c r="B2556" s="3" t="s">
        <v>283</v>
      </c>
      <c r="C2556" s="3" t="s">
        <v>380</v>
      </c>
      <c r="D2556" s="3" t="s">
        <v>692</v>
      </c>
      <c r="E2556" s="3" t="s">
        <v>398</v>
      </c>
      <c r="F2556" s="16" t="n">
        <v>12</v>
      </c>
      <c r="G2556" s="15" t="n">
        <v>0</v>
      </c>
      <c r="H2556" s="16" t="n">
        <v>2</v>
      </c>
      <c r="I2556" s="33" t="n">
        <v>9027</v>
      </c>
      <c r="J2556" s="33" t="n">
        <v>9027</v>
      </c>
    </row>
    <row r="2557" customFormat="false" ht="15" hidden="false" customHeight="false" outlineLevel="0" collapsed="false">
      <c r="A2557" s="3" t="s">
        <v>2947</v>
      </c>
      <c r="B2557" s="3" t="s">
        <v>283</v>
      </c>
      <c r="C2557" s="3" t="s">
        <v>405</v>
      </c>
      <c r="D2557" s="3" t="s">
        <v>692</v>
      </c>
      <c r="E2557" s="3" t="s">
        <v>398</v>
      </c>
      <c r="F2557" s="16" t="n">
        <v>1</v>
      </c>
      <c r="G2557" s="15" t="n">
        <v>0</v>
      </c>
      <c r="H2557" s="16" t="n">
        <v>1</v>
      </c>
      <c r="I2557" s="33" t="n">
        <v>9020.88</v>
      </c>
      <c r="J2557" s="33" t="n">
        <v>9020.88</v>
      </c>
    </row>
    <row r="2558" customFormat="false" ht="15" hidden="false" customHeight="false" outlineLevel="0" collapsed="false">
      <c r="A2558" s="3" t="s">
        <v>2948</v>
      </c>
      <c r="B2558" s="3" t="s">
        <v>283</v>
      </c>
      <c r="C2558" s="3" t="s">
        <v>401</v>
      </c>
      <c r="D2558" s="3" t="s">
        <v>392</v>
      </c>
      <c r="E2558" s="3" t="s">
        <v>382</v>
      </c>
      <c r="F2558" s="16" t="n">
        <v>1</v>
      </c>
      <c r="G2558" s="15" t="n">
        <v>0</v>
      </c>
      <c r="H2558" s="16" t="n">
        <v>1</v>
      </c>
      <c r="I2558" s="33" t="n">
        <v>9015.12</v>
      </c>
      <c r="J2558" s="33" t="n">
        <v>9015.12</v>
      </c>
    </row>
    <row r="2559" customFormat="false" ht="15" hidden="false" customHeight="false" outlineLevel="0" collapsed="false">
      <c r="A2559" s="3" t="s">
        <v>2949</v>
      </c>
      <c r="B2559" s="3" t="s">
        <v>283</v>
      </c>
      <c r="C2559" s="3" t="s">
        <v>405</v>
      </c>
      <c r="D2559" s="3" t="s">
        <v>692</v>
      </c>
      <c r="E2559" s="3" t="s">
        <v>385</v>
      </c>
      <c r="F2559" s="16" t="n">
        <v>12</v>
      </c>
      <c r="G2559" s="15" t="n">
        <v>0</v>
      </c>
      <c r="H2559" s="16" t="n">
        <v>9</v>
      </c>
      <c r="I2559" s="33" t="n">
        <v>9015</v>
      </c>
      <c r="J2559" s="33" t="n">
        <v>9015</v>
      </c>
    </row>
    <row r="2560" customFormat="false" ht="15" hidden="false" customHeight="false" outlineLevel="0" collapsed="false">
      <c r="A2560" s="3" t="s">
        <v>2950</v>
      </c>
      <c r="B2560" s="3" t="s">
        <v>283</v>
      </c>
      <c r="C2560" s="3" t="s">
        <v>403</v>
      </c>
      <c r="D2560" s="3" t="s">
        <v>692</v>
      </c>
      <c r="E2560" s="3" t="s">
        <v>398</v>
      </c>
      <c r="F2560" s="16" t="n">
        <v>1</v>
      </c>
      <c r="G2560" s="15" t="n">
        <v>0</v>
      </c>
      <c r="H2560" s="16" t="n">
        <v>1</v>
      </c>
      <c r="I2560" s="33" t="n">
        <v>9008.04</v>
      </c>
      <c r="J2560" s="33" t="n">
        <v>9008.04</v>
      </c>
    </row>
    <row r="2561" customFormat="false" ht="15" hidden="false" customHeight="false" outlineLevel="0" collapsed="false">
      <c r="A2561" s="3" t="s">
        <v>2951</v>
      </c>
      <c r="B2561" s="3" t="s">
        <v>283</v>
      </c>
      <c r="C2561" s="3" t="s">
        <v>405</v>
      </c>
      <c r="D2561" s="3" t="s">
        <v>418</v>
      </c>
      <c r="E2561" s="3" t="s">
        <v>398</v>
      </c>
      <c r="F2561" s="16" t="n">
        <v>12</v>
      </c>
      <c r="G2561" s="15" t="n">
        <v>0</v>
      </c>
      <c r="H2561" s="16" t="n">
        <v>8</v>
      </c>
      <c r="I2561" s="33" t="n">
        <v>9001.08</v>
      </c>
      <c r="J2561" s="33" t="n">
        <v>9001.08</v>
      </c>
    </row>
    <row r="2562" customFormat="false" ht="15" hidden="false" customHeight="false" outlineLevel="0" collapsed="false">
      <c r="A2562" s="3" t="s">
        <v>2952</v>
      </c>
      <c r="B2562" s="3" t="s">
        <v>283</v>
      </c>
      <c r="C2562" s="3" t="s">
        <v>403</v>
      </c>
      <c r="D2562" s="3" t="s">
        <v>692</v>
      </c>
      <c r="E2562" s="3" t="s">
        <v>398</v>
      </c>
      <c r="F2562" s="16" t="n">
        <v>1</v>
      </c>
      <c r="G2562" s="15" t="n">
        <v>0</v>
      </c>
      <c r="H2562" s="16" t="n">
        <v>1</v>
      </c>
      <c r="I2562" s="33" t="n">
        <v>8994.36</v>
      </c>
      <c r="J2562" s="33" t="n">
        <v>8994.36</v>
      </c>
    </row>
    <row r="2563" customFormat="false" ht="15" hidden="false" customHeight="false" outlineLevel="0" collapsed="false">
      <c r="A2563" s="3" t="s">
        <v>2953</v>
      </c>
      <c r="B2563" s="3" t="s">
        <v>283</v>
      </c>
      <c r="C2563" s="3" t="s">
        <v>396</v>
      </c>
      <c r="D2563" s="3" t="s">
        <v>418</v>
      </c>
      <c r="E2563" s="3" t="s">
        <v>398</v>
      </c>
      <c r="F2563" s="16" t="n">
        <v>1</v>
      </c>
      <c r="G2563" s="15" t="n">
        <v>0</v>
      </c>
      <c r="H2563" s="16" t="n">
        <v>1</v>
      </c>
      <c r="I2563" s="33" t="n">
        <v>8994.24</v>
      </c>
      <c r="J2563" s="33" t="n">
        <v>8994.24</v>
      </c>
    </row>
    <row r="2564" customFormat="false" ht="15" hidden="false" customHeight="false" outlineLevel="0" collapsed="false">
      <c r="A2564" s="3" t="s">
        <v>2954</v>
      </c>
      <c r="B2564" s="3" t="s">
        <v>283</v>
      </c>
      <c r="C2564" s="3" t="s">
        <v>380</v>
      </c>
      <c r="D2564" s="3" t="s">
        <v>692</v>
      </c>
      <c r="E2564" s="3" t="s">
        <v>398</v>
      </c>
      <c r="F2564" s="16" t="n">
        <v>12</v>
      </c>
      <c r="G2564" s="15" t="n">
        <v>0</v>
      </c>
      <c r="H2564" s="16" t="n">
        <v>2</v>
      </c>
      <c r="I2564" s="33" t="n">
        <v>8985</v>
      </c>
      <c r="J2564" s="33" t="n">
        <v>8985</v>
      </c>
    </row>
    <row r="2565" customFormat="false" ht="15" hidden="false" customHeight="false" outlineLevel="0" collapsed="false">
      <c r="A2565" s="3" t="s">
        <v>2955</v>
      </c>
      <c r="B2565" s="3" t="s">
        <v>283</v>
      </c>
      <c r="C2565" s="3" t="s">
        <v>401</v>
      </c>
      <c r="D2565" s="3" t="s">
        <v>392</v>
      </c>
      <c r="E2565" s="3" t="s">
        <v>382</v>
      </c>
      <c r="F2565" s="16" t="n">
        <v>12</v>
      </c>
      <c r="G2565" s="15" t="n">
        <v>0.15</v>
      </c>
      <c r="H2565" s="16" t="n">
        <v>7</v>
      </c>
      <c r="I2565" s="33" t="n">
        <v>8983.8</v>
      </c>
      <c r="J2565" s="33" t="n">
        <v>10569.12</v>
      </c>
    </row>
    <row r="2566" customFormat="false" ht="15" hidden="false" customHeight="false" outlineLevel="0" collapsed="false">
      <c r="A2566" s="3" t="s">
        <v>2956</v>
      </c>
      <c r="B2566" s="3" t="s">
        <v>283</v>
      </c>
      <c r="C2566" s="3" t="s">
        <v>403</v>
      </c>
      <c r="D2566" s="3" t="s">
        <v>692</v>
      </c>
      <c r="E2566" s="3" t="s">
        <v>382</v>
      </c>
      <c r="F2566" s="16" t="n">
        <v>12</v>
      </c>
      <c r="G2566" s="15" t="n">
        <v>0</v>
      </c>
      <c r="H2566" s="16" t="n">
        <v>6</v>
      </c>
      <c r="I2566" s="33" t="n">
        <v>8980.2</v>
      </c>
      <c r="J2566" s="33" t="n">
        <v>8980.2</v>
      </c>
    </row>
    <row r="2567" customFormat="false" ht="15" hidden="false" customHeight="false" outlineLevel="0" collapsed="false">
      <c r="A2567" s="3" t="s">
        <v>2957</v>
      </c>
      <c r="B2567" s="3" t="s">
        <v>283</v>
      </c>
      <c r="C2567" s="3" t="s">
        <v>403</v>
      </c>
      <c r="D2567" s="3" t="s">
        <v>392</v>
      </c>
      <c r="E2567" s="3" t="s">
        <v>382</v>
      </c>
      <c r="F2567" s="16" t="n">
        <v>1</v>
      </c>
      <c r="G2567" s="15" t="n">
        <v>0</v>
      </c>
      <c r="H2567" s="16" t="n">
        <v>1</v>
      </c>
      <c r="I2567" s="33" t="n">
        <v>8971.44</v>
      </c>
      <c r="J2567" s="33" t="n">
        <v>8971.44</v>
      </c>
    </row>
    <row r="2568" customFormat="false" ht="15" hidden="false" customHeight="false" outlineLevel="0" collapsed="false">
      <c r="A2568" s="3" t="s">
        <v>2958</v>
      </c>
      <c r="B2568" s="3" t="s">
        <v>283</v>
      </c>
      <c r="C2568" s="3" t="s">
        <v>380</v>
      </c>
      <c r="D2568" s="3" t="s">
        <v>392</v>
      </c>
      <c r="E2568" s="3" t="s">
        <v>398</v>
      </c>
      <c r="F2568" s="16" t="n">
        <v>12</v>
      </c>
      <c r="G2568" s="15" t="n">
        <v>0.15</v>
      </c>
      <c r="H2568" s="16" t="n">
        <v>12</v>
      </c>
      <c r="I2568" s="33" t="n">
        <v>8970.36</v>
      </c>
      <c r="J2568" s="33" t="n">
        <v>10553.4</v>
      </c>
    </row>
    <row r="2569" customFormat="false" ht="15" hidden="false" customHeight="false" outlineLevel="0" collapsed="false">
      <c r="A2569" s="3" t="s">
        <v>2959</v>
      </c>
      <c r="B2569" s="3" t="s">
        <v>283</v>
      </c>
      <c r="C2569" s="3" t="s">
        <v>405</v>
      </c>
      <c r="D2569" s="3" t="s">
        <v>418</v>
      </c>
      <c r="E2569" s="3" t="s">
        <v>382</v>
      </c>
      <c r="F2569" s="16" t="n">
        <v>1</v>
      </c>
      <c r="G2569" s="15" t="n">
        <v>0</v>
      </c>
      <c r="H2569" s="16" t="n">
        <v>1</v>
      </c>
      <c r="I2569" s="33" t="n">
        <v>8967.24</v>
      </c>
      <c r="J2569" s="33" t="n">
        <v>8967.24</v>
      </c>
    </row>
    <row r="2570" customFormat="false" ht="15" hidden="false" customHeight="false" outlineLevel="0" collapsed="false">
      <c r="A2570" s="3" t="s">
        <v>2960</v>
      </c>
      <c r="B2570" s="3" t="s">
        <v>283</v>
      </c>
      <c r="C2570" s="3" t="s">
        <v>384</v>
      </c>
      <c r="D2570" s="3" t="s">
        <v>692</v>
      </c>
      <c r="E2570" s="3" t="s">
        <v>398</v>
      </c>
      <c r="F2570" s="16" t="n">
        <v>1</v>
      </c>
      <c r="G2570" s="15" t="n">
        <v>0</v>
      </c>
      <c r="H2570" s="16" t="n">
        <v>1</v>
      </c>
      <c r="I2570" s="33" t="n">
        <v>8965.32</v>
      </c>
      <c r="J2570" s="33" t="n">
        <v>8965.32</v>
      </c>
    </row>
    <row r="2571" customFormat="false" ht="15" hidden="false" customHeight="false" outlineLevel="0" collapsed="false">
      <c r="A2571" s="3" t="s">
        <v>2961</v>
      </c>
      <c r="B2571" s="3" t="s">
        <v>283</v>
      </c>
      <c r="C2571" s="3" t="s">
        <v>401</v>
      </c>
      <c r="D2571" s="3" t="s">
        <v>692</v>
      </c>
      <c r="E2571" s="3" t="s">
        <v>398</v>
      </c>
      <c r="F2571" s="16" t="n">
        <v>12</v>
      </c>
      <c r="G2571" s="15" t="n">
        <v>0</v>
      </c>
      <c r="H2571" s="16" t="n">
        <v>11</v>
      </c>
      <c r="I2571" s="33" t="n">
        <v>8963.28</v>
      </c>
      <c r="J2571" s="33" t="n">
        <v>8963.28</v>
      </c>
    </row>
    <row r="2572" customFormat="false" ht="15" hidden="false" customHeight="false" outlineLevel="0" collapsed="false">
      <c r="A2572" s="3" t="s">
        <v>2962</v>
      </c>
      <c r="B2572" s="3" t="s">
        <v>283</v>
      </c>
      <c r="C2572" s="3" t="s">
        <v>380</v>
      </c>
      <c r="D2572" s="3" t="s">
        <v>692</v>
      </c>
      <c r="E2572" s="3" t="s">
        <v>385</v>
      </c>
      <c r="F2572" s="16" t="n">
        <v>1</v>
      </c>
      <c r="G2572" s="15" t="n">
        <v>0</v>
      </c>
      <c r="H2572" s="16" t="n">
        <v>1</v>
      </c>
      <c r="I2572" s="33" t="n">
        <v>8958.48</v>
      </c>
      <c r="J2572" s="33" t="n">
        <v>8958.48</v>
      </c>
    </row>
    <row r="2573" customFormat="false" ht="15" hidden="false" customHeight="false" outlineLevel="0" collapsed="false">
      <c r="A2573" s="3" t="s">
        <v>2963</v>
      </c>
      <c r="B2573" s="3" t="s">
        <v>283</v>
      </c>
      <c r="C2573" s="3" t="s">
        <v>387</v>
      </c>
      <c r="D2573" s="3" t="s">
        <v>418</v>
      </c>
      <c r="E2573" s="3" t="s">
        <v>385</v>
      </c>
      <c r="F2573" s="16" t="n">
        <v>12</v>
      </c>
      <c r="G2573" s="15" t="n">
        <v>0.2</v>
      </c>
      <c r="H2573" s="16" t="n">
        <v>7</v>
      </c>
      <c r="I2573" s="33" t="n">
        <v>8955.96</v>
      </c>
      <c r="J2573" s="33" t="n">
        <v>11195.04</v>
      </c>
    </row>
    <row r="2574" customFormat="false" ht="15" hidden="false" customHeight="false" outlineLevel="0" collapsed="false">
      <c r="A2574" s="3" t="s">
        <v>2964</v>
      </c>
      <c r="B2574" s="3" t="s">
        <v>283</v>
      </c>
      <c r="C2574" s="3" t="s">
        <v>401</v>
      </c>
      <c r="D2574" s="3" t="s">
        <v>381</v>
      </c>
      <c r="E2574" s="3" t="s">
        <v>385</v>
      </c>
      <c r="F2574" s="16" t="n">
        <v>1</v>
      </c>
      <c r="G2574" s="15" t="n">
        <v>0</v>
      </c>
      <c r="H2574" s="16" t="n">
        <v>1</v>
      </c>
      <c r="I2574" s="33" t="n">
        <v>8951.76</v>
      </c>
      <c r="J2574" s="33" t="n">
        <v>8951.76</v>
      </c>
    </row>
    <row r="2575" customFormat="false" ht="15" hidden="false" customHeight="false" outlineLevel="0" collapsed="false">
      <c r="A2575" s="3" t="s">
        <v>2965</v>
      </c>
      <c r="B2575" s="3" t="s">
        <v>283</v>
      </c>
      <c r="C2575" s="3" t="s">
        <v>396</v>
      </c>
      <c r="D2575" s="3" t="s">
        <v>381</v>
      </c>
      <c r="E2575" s="3" t="s">
        <v>398</v>
      </c>
      <c r="F2575" s="16" t="n">
        <v>12</v>
      </c>
      <c r="G2575" s="15" t="n">
        <v>0.2</v>
      </c>
      <c r="H2575" s="16" t="n">
        <v>8</v>
      </c>
      <c r="I2575" s="33" t="n">
        <v>8949.84</v>
      </c>
      <c r="J2575" s="33" t="n">
        <v>11187.36</v>
      </c>
    </row>
    <row r="2576" customFormat="false" ht="15" hidden="false" customHeight="false" outlineLevel="0" collapsed="false">
      <c r="A2576" s="3" t="s">
        <v>2966</v>
      </c>
      <c r="B2576" s="3" t="s">
        <v>283</v>
      </c>
      <c r="C2576" s="3" t="s">
        <v>405</v>
      </c>
      <c r="D2576" s="3" t="s">
        <v>692</v>
      </c>
      <c r="E2576" s="3" t="s">
        <v>398</v>
      </c>
      <c r="F2576" s="16" t="n">
        <v>12</v>
      </c>
      <c r="G2576" s="15" t="n">
        <v>0.1</v>
      </c>
      <c r="H2576" s="16" t="n">
        <v>1</v>
      </c>
      <c r="I2576" s="33" t="n">
        <v>8948.64</v>
      </c>
      <c r="J2576" s="33" t="n">
        <v>9942.96</v>
      </c>
    </row>
    <row r="2577" customFormat="false" ht="15" hidden="false" customHeight="false" outlineLevel="0" collapsed="false">
      <c r="A2577" s="3" t="s">
        <v>2967</v>
      </c>
      <c r="B2577" s="3" t="s">
        <v>283</v>
      </c>
      <c r="C2577" s="3" t="s">
        <v>387</v>
      </c>
      <c r="D2577" s="3" t="s">
        <v>392</v>
      </c>
      <c r="E2577" s="3" t="s">
        <v>398</v>
      </c>
      <c r="F2577" s="16" t="n">
        <v>12</v>
      </c>
      <c r="G2577" s="15" t="n">
        <v>0</v>
      </c>
      <c r="H2577" s="16" t="n">
        <v>7</v>
      </c>
      <c r="I2577" s="33" t="n">
        <v>8918.88</v>
      </c>
      <c r="J2577" s="33" t="n">
        <v>8918.88</v>
      </c>
    </row>
    <row r="2578" customFormat="false" ht="15" hidden="false" customHeight="false" outlineLevel="0" collapsed="false">
      <c r="A2578" s="3" t="s">
        <v>2968</v>
      </c>
      <c r="B2578" s="3" t="s">
        <v>283</v>
      </c>
      <c r="C2578" s="3" t="s">
        <v>403</v>
      </c>
      <c r="D2578" s="3" t="s">
        <v>418</v>
      </c>
      <c r="E2578" s="3" t="s">
        <v>398</v>
      </c>
      <c r="F2578" s="16" t="n">
        <v>12</v>
      </c>
      <c r="G2578" s="15" t="n">
        <v>0</v>
      </c>
      <c r="H2578" s="16" t="n">
        <v>3</v>
      </c>
      <c r="I2578" s="33" t="n">
        <v>8897.52</v>
      </c>
      <c r="J2578" s="33" t="n">
        <v>8897.52</v>
      </c>
    </row>
    <row r="2579" customFormat="false" ht="15" hidden="false" customHeight="false" outlineLevel="0" collapsed="false">
      <c r="A2579" s="3" t="s">
        <v>2969</v>
      </c>
      <c r="B2579" s="3" t="s">
        <v>283</v>
      </c>
      <c r="C2579" s="3" t="s">
        <v>401</v>
      </c>
      <c r="D2579" s="3" t="s">
        <v>692</v>
      </c>
      <c r="E2579" s="3" t="s">
        <v>398</v>
      </c>
      <c r="F2579" s="16" t="n">
        <v>1</v>
      </c>
      <c r="G2579" s="15" t="n">
        <v>0</v>
      </c>
      <c r="H2579" s="16" t="n">
        <v>1</v>
      </c>
      <c r="I2579" s="33" t="n">
        <v>8877.36</v>
      </c>
      <c r="J2579" s="33" t="n">
        <v>8877.36</v>
      </c>
    </row>
    <row r="2580" customFormat="false" ht="15" hidden="false" customHeight="false" outlineLevel="0" collapsed="false">
      <c r="A2580" s="3" t="s">
        <v>2970</v>
      </c>
      <c r="B2580" s="3" t="s">
        <v>283</v>
      </c>
      <c r="C2580" s="3" t="s">
        <v>384</v>
      </c>
      <c r="D2580" s="3" t="s">
        <v>392</v>
      </c>
      <c r="E2580" s="3" t="s">
        <v>385</v>
      </c>
      <c r="F2580" s="16" t="n">
        <v>1</v>
      </c>
      <c r="G2580" s="15" t="n">
        <v>0.25</v>
      </c>
      <c r="H2580" s="16" t="n">
        <v>1</v>
      </c>
      <c r="I2580" s="33" t="n">
        <v>8875.68</v>
      </c>
      <c r="J2580" s="33" t="n">
        <v>11834.28</v>
      </c>
    </row>
    <row r="2581" customFormat="false" ht="15" hidden="false" customHeight="false" outlineLevel="0" collapsed="false">
      <c r="A2581" s="3" t="s">
        <v>2971</v>
      </c>
      <c r="B2581" s="3" t="s">
        <v>283</v>
      </c>
      <c r="C2581" s="3" t="s">
        <v>380</v>
      </c>
      <c r="D2581" s="3" t="s">
        <v>418</v>
      </c>
      <c r="E2581" s="3" t="s">
        <v>382</v>
      </c>
      <c r="F2581" s="16" t="n">
        <v>1</v>
      </c>
      <c r="G2581" s="15" t="n">
        <v>0</v>
      </c>
      <c r="H2581" s="16" t="n">
        <v>1</v>
      </c>
      <c r="I2581" s="33" t="n">
        <v>8873.88</v>
      </c>
      <c r="J2581" s="33" t="n">
        <v>8873.88</v>
      </c>
    </row>
    <row r="2582" customFormat="false" ht="15" hidden="false" customHeight="false" outlineLevel="0" collapsed="false">
      <c r="A2582" s="3" t="s">
        <v>2972</v>
      </c>
      <c r="B2582" s="3" t="s">
        <v>283</v>
      </c>
      <c r="C2582" s="3" t="s">
        <v>387</v>
      </c>
      <c r="D2582" s="3" t="s">
        <v>388</v>
      </c>
      <c r="E2582" s="3" t="s">
        <v>398</v>
      </c>
      <c r="F2582" s="16" t="n">
        <v>1</v>
      </c>
      <c r="G2582" s="15" t="n">
        <v>0.1</v>
      </c>
      <c r="H2582" s="16" t="n">
        <v>1</v>
      </c>
      <c r="I2582" s="33" t="n">
        <v>8871.84</v>
      </c>
      <c r="J2582" s="33" t="n">
        <v>9857.64</v>
      </c>
    </row>
    <row r="2583" customFormat="false" ht="15" hidden="false" customHeight="false" outlineLevel="0" collapsed="false">
      <c r="A2583" s="3" t="s">
        <v>2973</v>
      </c>
      <c r="B2583" s="3" t="s">
        <v>283</v>
      </c>
      <c r="C2583" s="3" t="s">
        <v>405</v>
      </c>
      <c r="D2583" s="3" t="s">
        <v>418</v>
      </c>
      <c r="E2583" s="3" t="s">
        <v>398</v>
      </c>
      <c r="F2583" s="16" t="n">
        <v>1</v>
      </c>
      <c r="G2583" s="15" t="n">
        <v>0.05</v>
      </c>
      <c r="H2583" s="16" t="n">
        <v>1</v>
      </c>
      <c r="I2583" s="33" t="n">
        <v>8870.04</v>
      </c>
      <c r="J2583" s="33" t="n">
        <v>9336.84</v>
      </c>
    </row>
    <row r="2584" customFormat="false" ht="15" hidden="false" customHeight="false" outlineLevel="0" collapsed="false">
      <c r="A2584" s="3" t="s">
        <v>2974</v>
      </c>
      <c r="B2584" s="3" t="s">
        <v>283</v>
      </c>
      <c r="C2584" s="3" t="s">
        <v>384</v>
      </c>
      <c r="D2584" s="3" t="s">
        <v>692</v>
      </c>
      <c r="E2584" s="3" t="s">
        <v>398</v>
      </c>
      <c r="F2584" s="16" t="n">
        <v>12</v>
      </c>
      <c r="G2584" s="15" t="n">
        <v>0</v>
      </c>
      <c r="H2584" s="16" t="n">
        <v>6</v>
      </c>
      <c r="I2584" s="33" t="n">
        <v>8861.04</v>
      </c>
      <c r="J2584" s="33" t="n">
        <v>8861.04</v>
      </c>
    </row>
    <row r="2585" customFormat="false" ht="15" hidden="false" customHeight="false" outlineLevel="0" collapsed="false">
      <c r="A2585" s="3" t="s">
        <v>2975</v>
      </c>
      <c r="B2585" s="3" t="s">
        <v>283</v>
      </c>
      <c r="C2585" s="3" t="s">
        <v>403</v>
      </c>
      <c r="D2585" s="3" t="s">
        <v>392</v>
      </c>
      <c r="E2585" s="3" t="s">
        <v>398</v>
      </c>
      <c r="F2585" s="16" t="n">
        <v>12</v>
      </c>
      <c r="G2585" s="15" t="n">
        <v>0</v>
      </c>
      <c r="H2585" s="16" t="n">
        <v>2</v>
      </c>
      <c r="I2585" s="33" t="n">
        <v>8857.56</v>
      </c>
      <c r="J2585" s="33" t="n">
        <v>8857.56</v>
      </c>
    </row>
    <row r="2586" customFormat="false" ht="15" hidden="false" customHeight="false" outlineLevel="0" collapsed="false">
      <c r="A2586" s="3" t="s">
        <v>2976</v>
      </c>
      <c r="B2586" s="3" t="s">
        <v>283</v>
      </c>
      <c r="C2586" s="3" t="s">
        <v>401</v>
      </c>
      <c r="D2586" s="3" t="s">
        <v>392</v>
      </c>
      <c r="E2586" s="3" t="s">
        <v>398</v>
      </c>
      <c r="F2586" s="16" t="n">
        <v>1</v>
      </c>
      <c r="G2586" s="15" t="n">
        <v>0</v>
      </c>
      <c r="H2586" s="16" t="n">
        <v>1</v>
      </c>
      <c r="I2586" s="33" t="n">
        <v>8840.64</v>
      </c>
      <c r="J2586" s="33" t="n">
        <v>8840.64</v>
      </c>
    </row>
    <row r="2587" customFormat="false" ht="15" hidden="false" customHeight="false" outlineLevel="0" collapsed="false">
      <c r="A2587" s="3" t="s">
        <v>2977</v>
      </c>
      <c r="B2587" s="3" t="s">
        <v>283</v>
      </c>
      <c r="C2587" s="3" t="s">
        <v>401</v>
      </c>
      <c r="D2587" s="3" t="s">
        <v>418</v>
      </c>
      <c r="E2587" s="3" t="s">
        <v>398</v>
      </c>
      <c r="F2587" s="16" t="n">
        <v>12</v>
      </c>
      <c r="G2587" s="15" t="n">
        <v>0</v>
      </c>
      <c r="H2587" s="16" t="n">
        <v>11</v>
      </c>
      <c r="I2587" s="33" t="n">
        <v>8809.44</v>
      </c>
      <c r="J2587" s="33" t="n">
        <v>8809.44</v>
      </c>
    </row>
    <row r="2588" customFormat="false" ht="15" hidden="false" customHeight="false" outlineLevel="0" collapsed="false">
      <c r="A2588" s="3" t="s">
        <v>2978</v>
      </c>
      <c r="B2588" s="3" t="s">
        <v>283</v>
      </c>
      <c r="C2588" s="3" t="s">
        <v>403</v>
      </c>
      <c r="D2588" s="3" t="s">
        <v>392</v>
      </c>
      <c r="E2588" s="3" t="s">
        <v>385</v>
      </c>
      <c r="F2588" s="16" t="n">
        <v>12</v>
      </c>
      <c r="G2588" s="15" t="n">
        <v>0</v>
      </c>
      <c r="H2588" s="16" t="n">
        <v>2</v>
      </c>
      <c r="I2588" s="33" t="n">
        <v>8809.32</v>
      </c>
      <c r="J2588" s="33" t="n">
        <v>8809.32</v>
      </c>
    </row>
    <row r="2589" customFormat="false" ht="15" hidden="false" customHeight="false" outlineLevel="0" collapsed="false">
      <c r="A2589" s="3" t="s">
        <v>2979</v>
      </c>
      <c r="B2589" s="3" t="s">
        <v>283</v>
      </c>
      <c r="C2589" s="3" t="s">
        <v>387</v>
      </c>
      <c r="D2589" s="3" t="s">
        <v>692</v>
      </c>
      <c r="E2589" s="3" t="s">
        <v>398</v>
      </c>
      <c r="F2589" s="16" t="n">
        <v>1</v>
      </c>
      <c r="G2589" s="15" t="n">
        <v>0</v>
      </c>
      <c r="H2589" s="16" t="n">
        <v>1</v>
      </c>
      <c r="I2589" s="33" t="n">
        <v>8799.24</v>
      </c>
      <c r="J2589" s="33" t="n">
        <v>8799.24</v>
      </c>
    </row>
    <row r="2590" customFormat="false" ht="15" hidden="false" customHeight="false" outlineLevel="0" collapsed="false">
      <c r="A2590" s="3" t="s">
        <v>2980</v>
      </c>
      <c r="B2590" s="3" t="s">
        <v>283</v>
      </c>
      <c r="C2590" s="3" t="s">
        <v>384</v>
      </c>
      <c r="D2590" s="3" t="s">
        <v>392</v>
      </c>
      <c r="E2590" s="3" t="s">
        <v>398</v>
      </c>
      <c r="F2590" s="16" t="n">
        <v>1</v>
      </c>
      <c r="G2590" s="15" t="n">
        <v>0</v>
      </c>
      <c r="H2590" s="16" t="n">
        <v>1</v>
      </c>
      <c r="I2590" s="33" t="n">
        <v>8782.32</v>
      </c>
      <c r="J2590" s="33" t="n">
        <v>8782.32</v>
      </c>
    </row>
    <row r="2591" customFormat="false" ht="15" hidden="false" customHeight="false" outlineLevel="0" collapsed="false">
      <c r="A2591" s="3" t="s">
        <v>2981</v>
      </c>
      <c r="B2591" s="3" t="s">
        <v>283</v>
      </c>
      <c r="C2591" s="3" t="s">
        <v>403</v>
      </c>
      <c r="D2591" s="3" t="s">
        <v>692</v>
      </c>
      <c r="E2591" s="3" t="s">
        <v>398</v>
      </c>
      <c r="F2591" s="16" t="n">
        <v>12</v>
      </c>
      <c r="G2591" s="15" t="n">
        <v>0.2</v>
      </c>
      <c r="H2591" s="16" t="n">
        <v>1</v>
      </c>
      <c r="I2591" s="33" t="n">
        <v>8776.68</v>
      </c>
      <c r="J2591" s="33" t="n">
        <v>10970.88</v>
      </c>
    </row>
    <row r="2592" customFormat="false" ht="15" hidden="false" customHeight="false" outlineLevel="0" collapsed="false">
      <c r="A2592" s="3" t="s">
        <v>2982</v>
      </c>
      <c r="B2592" s="3" t="s">
        <v>283</v>
      </c>
      <c r="C2592" s="3" t="s">
        <v>403</v>
      </c>
      <c r="D2592" s="3" t="s">
        <v>392</v>
      </c>
      <c r="E2592" s="3" t="s">
        <v>398</v>
      </c>
      <c r="F2592" s="16" t="n">
        <v>1</v>
      </c>
      <c r="G2592" s="15" t="n">
        <v>0.25</v>
      </c>
      <c r="H2592" s="16" t="n">
        <v>1</v>
      </c>
      <c r="I2592" s="33" t="n">
        <v>8774.04</v>
      </c>
      <c r="J2592" s="33" t="n">
        <v>11698.8</v>
      </c>
    </row>
    <row r="2593" customFormat="false" ht="15" hidden="false" customHeight="false" outlineLevel="0" collapsed="false">
      <c r="A2593" s="3" t="s">
        <v>2983</v>
      </c>
      <c r="B2593" s="3" t="s">
        <v>283</v>
      </c>
      <c r="C2593" s="3" t="s">
        <v>396</v>
      </c>
      <c r="D2593" s="3" t="s">
        <v>692</v>
      </c>
      <c r="E2593" s="3" t="s">
        <v>398</v>
      </c>
      <c r="F2593" s="16" t="n">
        <v>12</v>
      </c>
      <c r="G2593" s="15" t="n">
        <v>0</v>
      </c>
      <c r="H2593" s="16" t="n">
        <v>5</v>
      </c>
      <c r="I2593" s="33" t="n">
        <v>8760.36</v>
      </c>
      <c r="J2593" s="33" t="n">
        <v>8760.36</v>
      </c>
    </row>
    <row r="2594" customFormat="false" ht="15" hidden="false" customHeight="false" outlineLevel="0" collapsed="false">
      <c r="A2594" s="3" t="s">
        <v>2984</v>
      </c>
      <c r="B2594" s="3" t="s">
        <v>283</v>
      </c>
      <c r="C2594" s="3" t="s">
        <v>403</v>
      </c>
      <c r="D2594" s="3" t="s">
        <v>692</v>
      </c>
      <c r="E2594" s="3" t="s">
        <v>398</v>
      </c>
      <c r="F2594" s="16" t="n">
        <v>1</v>
      </c>
      <c r="G2594" s="15" t="n">
        <v>0</v>
      </c>
      <c r="H2594" s="16" t="n">
        <v>1</v>
      </c>
      <c r="I2594" s="33" t="n">
        <v>8717.04</v>
      </c>
      <c r="J2594" s="33" t="n">
        <v>8717.04</v>
      </c>
    </row>
    <row r="2595" customFormat="false" ht="15" hidden="false" customHeight="false" outlineLevel="0" collapsed="false">
      <c r="A2595" s="3" t="s">
        <v>2985</v>
      </c>
      <c r="B2595" s="3" t="s">
        <v>283</v>
      </c>
      <c r="C2595" s="3" t="s">
        <v>384</v>
      </c>
      <c r="D2595" s="3" t="s">
        <v>388</v>
      </c>
      <c r="E2595" s="3" t="s">
        <v>398</v>
      </c>
      <c r="F2595" s="16" t="n">
        <v>12</v>
      </c>
      <c r="G2595" s="15" t="n">
        <v>0.1</v>
      </c>
      <c r="H2595" s="16" t="n">
        <v>12</v>
      </c>
      <c r="I2595" s="33" t="n">
        <v>8710.8</v>
      </c>
      <c r="J2595" s="33" t="n">
        <v>9678.6</v>
      </c>
    </row>
    <row r="2596" customFormat="false" ht="15" hidden="false" customHeight="false" outlineLevel="0" collapsed="false">
      <c r="A2596" s="3" t="s">
        <v>2986</v>
      </c>
      <c r="B2596" s="3" t="s">
        <v>283</v>
      </c>
      <c r="C2596" s="3" t="s">
        <v>401</v>
      </c>
      <c r="D2596" s="3" t="s">
        <v>692</v>
      </c>
      <c r="E2596" s="3" t="s">
        <v>398</v>
      </c>
      <c r="F2596" s="16" t="n">
        <v>12</v>
      </c>
      <c r="G2596" s="15" t="n">
        <v>0</v>
      </c>
      <c r="H2596" s="16" t="n">
        <v>1</v>
      </c>
      <c r="I2596" s="33" t="n">
        <v>8709.84</v>
      </c>
      <c r="J2596" s="33" t="n">
        <v>8709.84</v>
      </c>
    </row>
    <row r="2597" customFormat="false" ht="15" hidden="false" customHeight="false" outlineLevel="0" collapsed="false">
      <c r="A2597" s="3" t="s">
        <v>2987</v>
      </c>
      <c r="B2597" s="3" t="s">
        <v>283</v>
      </c>
      <c r="C2597" s="3" t="s">
        <v>387</v>
      </c>
      <c r="D2597" s="3" t="s">
        <v>692</v>
      </c>
      <c r="E2597" s="3" t="s">
        <v>398</v>
      </c>
      <c r="F2597" s="16" t="n">
        <v>12</v>
      </c>
      <c r="G2597" s="15" t="n">
        <v>0</v>
      </c>
      <c r="H2597" s="16" t="n">
        <v>9</v>
      </c>
      <c r="I2597" s="33" t="n">
        <v>8707.56</v>
      </c>
      <c r="J2597" s="33" t="n">
        <v>8707.56</v>
      </c>
    </row>
    <row r="2598" customFormat="false" ht="15" hidden="false" customHeight="false" outlineLevel="0" collapsed="false">
      <c r="A2598" s="3" t="s">
        <v>2988</v>
      </c>
      <c r="B2598" s="3" t="s">
        <v>283</v>
      </c>
      <c r="C2598" s="3" t="s">
        <v>380</v>
      </c>
      <c r="D2598" s="3" t="s">
        <v>388</v>
      </c>
      <c r="E2598" s="3" t="s">
        <v>382</v>
      </c>
      <c r="F2598" s="16" t="n">
        <v>1</v>
      </c>
      <c r="G2598" s="15" t="n">
        <v>0</v>
      </c>
      <c r="H2598" s="16" t="n">
        <v>1</v>
      </c>
      <c r="I2598" s="33" t="n">
        <v>8699.04</v>
      </c>
      <c r="J2598" s="33" t="n">
        <v>8699.04</v>
      </c>
    </row>
    <row r="2599" customFormat="false" ht="15" hidden="false" customHeight="false" outlineLevel="0" collapsed="false">
      <c r="A2599" s="3" t="s">
        <v>2989</v>
      </c>
      <c r="B2599" s="3" t="s">
        <v>283</v>
      </c>
      <c r="C2599" s="3" t="s">
        <v>396</v>
      </c>
      <c r="D2599" s="3" t="s">
        <v>692</v>
      </c>
      <c r="E2599" s="3" t="s">
        <v>398</v>
      </c>
      <c r="F2599" s="16" t="n">
        <v>1</v>
      </c>
      <c r="G2599" s="15" t="n">
        <v>0.025</v>
      </c>
      <c r="H2599" s="16" t="n">
        <v>1</v>
      </c>
      <c r="I2599" s="33" t="n">
        <v>8690.88</v>
      </c>
      <c r="J2599" s="33" t="n">
        <v>8913.72</v>
      </c>
    </row>
    <row r="2600" customFormat="false" ht="15" hidden="false" customHeight="false" outlineLevel="0" collapsed="false">
      <c r="A2600" s="3" t="s">
        <v>2990</v>
      </c>
      <c r="B2600" s="3" t="s">
        <v>283</v>
      </c>
      <c r="C2600" s="3" t="s">
        <v>396</v>
      </c>
      <c r="D2600" s="3" t="s">
        <v>392</v>
      </c>
      <c r="E2600" s="3" t="s">
        <v>398</v>
      </c>
      <c r="F2600" s="16" t="n">
        <v>1</v>
      </c>
      <c r="G2600" s="15" t="n">
        <v>0</v>
      </c>
      <c r="H2600" s="16" t="n">
        <v>1</v>
      </c>
      <c r="I2600" s="33" t="n">
        <v>8685.12</v>
      </c>
      <c r="J2600" s="33" t="n">
        <v>8685.12</v>
      </c>
    </row>
    <row r="2601" customFormat="false" ht="15" hidden="false" customHeight="false" outlineLevel="0" collapsed="false">
      <c r="A2601" s="3" t="s">
        <v>2991</v>
      </c>
      <c r="B2601" s="3" t="s">
        <v>283</v>
      </c>
      <c r="C2601" s="3" t="s">
        <v>380</v>
      </c>
      <c r="D2601" s="3" t="s">
        <v>392</v>
      </c>
      <c r="E2601" s="3" t="s">
        <v>398</v>
      </c>
      <c r="F2601" s="16" t="n">
        <v>1</v>
      </c>
      <c r="G2601" s="15" t="n">
        <v>0.2</v>
      </c>
      <c r="H2601" s="16" t="n">
        <v>1</v>
      </c>
      <c r="I2601" s="33" t="n">
        <v>8674.8</v>
      </c>
      <c r="J2601" s="33" t="n">
        <v>10843.56</v>
      </c>
    </row>
    <row r="2602" customFormat="false" ht="15" hidden="false" customHeight="false" outlineLevel="0" collapsed="false">
      <c r="A2602" s="3" t="s">
        <v>2992</v>
      </c>
      <c r="B2602" s="3" t="s">
        <v>283</v>
      </c>
      <c r="C2602" s="3" t="s">
        <v>396</v>
      </c>
      <c r="D2602" s="3" t="s">
        <v>692</v>
      </c>
      <c r="E2602" s="3" t="s">
        <v>382</v>
      </c>
      <c r="F2602" s="16" t="n">
        <v>12</v>
      </c>
      <c r="G2602" s="15" t="n">
        <v>0</v>
      </c>
      <c r="H2602" s="16" t="n">
        <v>4</v>
      </c>
      <c r="I2602" s="33" t="n">
        <v>8671.68</v>
      </c>
      <c r="J2602" s="33" t="n">
        <v>8671.68</v>
      </c>
    </row>
    <row r="2603" customFormat="false" ht="15" hidden="false" customHeight="false" outlineLevel="0" collapsed="false">
      <c r="A2603" s="3" t="s">
        <v>2993</v>
      </c>
      <c r="B2603" s="3" t="s">
        <v>283</v>
      </c>
      <c r="C2603" s="3" t="s">
        <v>380</v>
      </c>
      <c r="D2603" s="3" t="s">
        <v>418</v>
      </c>
      <c r="E2603" s="3" t="s">
        <v>382</v>
      </c>
      <c r="F2603" s="16" t="n">
        <v>12</v>
      </c>
      <c r="G2603" s="15" t="n">
        <v>0.1</v>
      </c>
      <c r="H2603" s="16" t="n">
        <v>7</v>
      </c>
      <c r="I2603" s="33" t="n">
        <v>8669.64</v>
      </c>
      <c r="J2603" s="33" t="n">
        <v>9632.88</v>
      </c>
    </row>
    <row r="2604" customFormat="false" ht="15" hidden="false" customHeight="false" outlineLevel="0" collapsed="false">
      <c r="A2604" s="3" t="s">
        <v>2994</v>
      </c>
      <c r="B2604" s="3" t="s">
        <v>283</v>
      </c>
      <c r="C2604" s="3" t="s">
        <v>396</v>
      </c>
      <c r="D2604" s="3" t="s">
        <v>388</v>
      </c>
      <c r="E2604" s="3" t="s">
        <v>385</v>
      </c>
      <c r="F2604" s="16" t="n">
        <v>1</v>
      </c>
      <c r="G2604" s="15" t="n">
        <v>0</v>
      </c>
      <c r="H2604" s="16" t="n">
        <v>1</v>
      </c>
      <c r="I2604" s="33" t="n">
        <v>8665.8</v>
      </c>
      <c r="J2604" s="33" t="n">
        <v>8665.8</v>
      </c>
    </row>
    <row r="2605" customFormat="false" ht="15" hidden="false" customHeight="false" outlineLevel="0" collapsed="false">
      <c r="A2605" s="3" t="s">
        <v>2995</v>
      </c>
      <c r="B2605" s="3" t="s">
        <v>283</v>
      </c>
      <c r="C2605" s="3" t="s">
        <v>405</v>
      </c>
      <c r="D2605" s="3" t="s">
        <v>418</v>
      </c>
      <c r="E2605" s="3" t="s">
        <v>398</v>
      </c>
      <c r="F2605" s="16" t="n">
        <v>12</v>
      </c>
      <c r="G2605" s="15" t="n">
        <v>0.125</v>
      </c>
      <c r="H2605" s="16" t="n">
        <v>4</v>
      </c>
      <c r="I2605" s="33" t="n">
        <v>8661.48</v>
      </c>
      <c r="J2605" s="33" t="n">
        <v>9898.8</v>
      </c>
    </row>
    <row r="2606" customFormat="false" ht="15" hidden="false" customHeight="false" outlineLevel="0" collapsed="false">
      <c r="A2606" s="3" t="s">
        <v>2996</v>
      </c>
      <c r="B2606" s="3" t="s">
        <v>283</v>
      </c>
      <c r="C2606" s="3" t="s">
        <v>396</v>
      </c>
      <c r="D2606" s="3" t="s">
        <v>381</v>
      </c>
      <c r="E2606" s="3" t="s">
        <v>385</v>
      </c>
      <c r="F2606" s="16" t="n">
        <v>1</v>
      </c>
      <c r="G2606" s="15" t="n">
        <v>0</v>
      </c>
      <c r="H2606" s="16" t="n">
        <v>1</v>
      </c>
      <c r="I2606" s="33" t="n">
        <v>8652.96</v>
      </c>
      <c r="J2606" s="33" t="n">
        <v>8652.96</v>
      </c>
    </row>
    <row r="2607" customFormat="false" ht="15" hidden="false" customHeight="false" outlineLevel="0" collapsed="false">
      <c r="A2607" s="3" t="s">
        <v>2997</v>
      </c>
      <c r="B2607" s="3" t="s">
        <v>283</v>
      </c>
      <c r="C2607" s="3" t="s">
        <v>403</v>
      </c>
      <c r="D2607" s="3" t="s">
        <v>418</v>
      </c>
      <c r="E2607" s="3" t="s">
        <v>398</v>
      </c>
      <c r="F2607" s="16" t="n">
        <v>1</v>
      </c>
      <c r="G2607" s="15" t="n">
        <v>0</v>
      </c>
      <c r="H2607" s="16" t="n">
        <v>1</v>
      </c>
      <c r="I2607" s="33" t="n">
        <v>8650.44</v>
      </c>
      <c r="J2607" s="33" t="n">
        <v>8650.44</v>
      </c>
    </row>
    <row r="2608" customFormat="false" ht="15" hidden="false" customHeight="false" outlineLevel="0" collapsed="false">
      <c r="A2608" s="3" t="s">
        <v>2998</v>
      </c>
      <c r="B2608" s="3" t="s">
        <v>283</v>
      </c>
      <c r="C2608" s="3" t="s">
        <v>405</v>
      </c>
      <c r="D2608" s="3" t="s">
        <v>388</v>
      </c>
      <c r="E2608" s="3" t="s">
        <v>398</v>
      </c>
      <c r="F2608" s="16" t="n">
        <v>1</v>
      </c>
      <c r="G2608" s="15" t="n">
        <v>0.1</v>
      </c>
      <c r="H2608" s="16" t="n">
        <v>1</v>
      </c>
      <c r="I2608" s="33" t="n">
        <v>8647.32</v>
      </c>
      <c r="J2608" s="33" t="n">
        <v>9608.04</v>
      </c>
    </row>
    <row r="2609" customFormat="false" ht="15" hidden="false" customHeight="false" outlineLevel="0" collapsed="false">
      <c r="A2609" s="3" t="s">
        <v>2999</v>
      </c>
      <c r="B2609" s="3" t="s">
        <v>283</v>
      </c>
      <c r="C2609" s="3" t="s">
        <v>405</v>
      </c>
      <c r="D2609" s="3" t="s">
        <v>692</v>
      </c>
      <c r="E2609" s="3" t="s">
        <v>385</v>
      </c>
      <c r="F2609" s="16" t="n">
        <v>1</v>
      </c>
      <c r="G2609" s="15" t="n">
        <v>0</v>
      </c>
      <c r="H2609" s="16" t="n">
        <v>1</v>
      </c>
      <c r="I2609" s="33" t="n">
        <v>8646.12</v>
      </c>
      <c r="J2609" s="33" t="n">
        <v>8646.12</v>
      </c>
    </row>
    <row r="2610" customFormat="false" ht="15" hidden="false" customHeight="false" outlineLevel="0" collapsed="false">
      <c r="A2610" s="3" t="s">
        <v>3000</v>
      </c>
      <c r="B2610" s="3" t="s">
        <v>283</v>
      </c>
      <c r="C2610" s="3" t="s">
        <v>401</v>
      </c>
      <c r="D2610" s="3" t="s">
        <v>692</v>
      </c>
      <c r="E2610" s="3" t="s">
        <v>398</v>
      </c>
      <c r="F2610" s="16" t="n">
        <v>12</v>
      </c>
      <c r="G2610" s="15" t="n">
        <v>0</v>
      </c>
      <c r="H2610" s="16" t="n">
        <v>1</v>
      </c>
      <c r="I2610" s="33" t="n">
        <v>8639.4</v>
      </c>
      <c r="J2610" s="33" t="n">
        <v>8639.4</v>
      </c>
    </row>
    <row r="2611" customFormat="false" ht="15" hidden="false" customHeight="false" outlineLevel="0" collapsed="false">
      <c r="A2611" s="3" t="s">
        <v>3001</v>
      </c>
      <c r="B2611" s="3" t="s">
        <v>283</v>
      </c>
      <c r="C2611" s="3" t="s">
        <v>403</v>
      </c>
      <c r="D2611" s="3" t="s">
        <v>381</v>
      </c>
      <c r="E2611" s="3" t="s">
        <v>398</v>
      </c>
      <c r="F2611" s="16" t="n">
        <v>12</v>
      </c>
      <c r="G2611" s="15" t="n">
        <v>0.2</v>
      </c>
      <c r="H2611" s="16" t="n">
        <v>9</v>
      </c>
      <c r="I2611" s="33" t="n">
        <v>8613</v>
      </c>
      <c r="J2611" s="33" t="n">
        <v>10766.16</v>
      </c>
    </row>
    <row r="2612" customFormat="false" ht="15" hidden="false" customHeight="false" outlineLevel="0" collapsed="false">
      <c r="A2612" s="3" t="s">
        <v>3002</v>
      </c>
      <c r="B2612" s="3" t="s">
        <v>283</v>
      </c>
      <c r="C2612" s="3" t="s">
        <v>387</v>
      </c>
      <c r="D2612" s="3" t="s">
        <v>692</v>
      </c>
      <c r="E2612" s="3" t="s">
        <v>385</v>
      </c>
      <c r="F2612" s="16" t="n">
        <v>12</v>
      </c>
      <c r="G2612" s="15" t="n">
        <v>0</v>
      </c>
      <c r="H2612" s="16" t="n">
        <v>6</v>
      </c>
      <c r="I2612" s="33" t="n">
        <v>8602.2</v>
      </c>
      <c r="J2612" s="33" t="n">
        <v>8602.2</v>
      </c>
    </row>
    <row r="2613" customFormat="false" ht="15" hidden="false" customHeight="false" outlineLevel="0" collapsed="false">
      <c r="A2613" s="3" t="s">
        <v>3003</v>
      </c>
      <c r="B2613" s="3" t="s">
        <v>283</v>
      </c>
      <c r="C2613" s="3" t="s">
        <v>405</v>
      </c>
      <c r="D2613" s="3" t="s">
        <v>692</v>
      </c>
      <c r="E2613" s="3" t="s">
        <v>385</v>
      </c>
      <c r="F2613" s="16" t="n">
        <v>1</v>
      </c>
      <c r="G2613" s="15" t="n">
        <v>0.15</v>
      </c>
      <c r="H2613" s="16" t="n">
        <v>1</v>
      </c>
      <c r="I2613" s="33" t="n">
        <v>8602.08</v>
      </c>
      <c r="J2613" s="33" t="n">
        <v>10120.08</v>
      </c>
    </row>
    <row r="2614" customFormat="false" ht="15" hidden="false" customHeight="false" outlineLevel="0" collapsed="false">
      <c r="A2614" s="3" t="s">
        <v>3004</v>
      </c>
      <c r="B2614" s="3" t="s">
        <v>283</v>
      </c>
      <c r="C2614" s="3" t="s">
        <v>384</v>
      </c>
      <c r="D2614" s="3" t="s">
        <v>392</v>
      </c>
      <c r="E2614" s="3" t="s">
        <v>385</v>
      </c>
      <c r="F2614" s="16" t="n">
        <v>12</v>
      </c>
      <c r="G2614" s="15" t="n">
        <v>0</v>
      </c>
      <c r="H2614" s="16" t="n">
        <v>4</v>
      </c>
      <c r="I2614" s="33" t="n">
        <v>8588.76</v>
      </c>
      <c r="J2614" s="33" t="n">
        <v>8588.76</v>
      </c>
    </row>
    <row r="2615" customFormat="false" ht="15" hidden="false" customHeight="false" outlineLevel="0" collapsed="false">
      <c r="A2615" s="3" t="s">
        <v>3005</v>
      </c>
      <c r="B2615" s="3" t="s">
        <v>283</v>
      </c>
      <c r="C2615" s="3" t="s">
        <v>396</v>
      </c>
      <c r="D2615" s="3" t="s">
        <v>692</v>
      </c>
      <c r="E2615" s="3" t="s">
        <v>385</v>
      </c>
      <c r="F2615" s="16" t="n">
        <v>1</v>
      </c>
      <c r="G2615" s="15" t="n">
        <v>0.1</v>
      </c>
      <c r="H2615" s="16" t="n">
        <v>1</v>
      </c>
      <c r="I2615" s="33" t="n">
        <v>8576.52</v>
      </c>
      <c r="J2615" s="33" t="n">
        <v>9529.44</v>
      </c>
    </row>
    <row r="2616" customFormat="false" ht="15" hidden="false" customHeight="false" outlineLevel="0" collapsed="false">
      <c r="A2616" s="3" t="s">
        <v>3006</v>
      </c>
      <c r="B2616" s="3" t="s">
        <v>283</v>
      </c>
      <c r="C2616" s="3" t="s">
        <v>405</v>
      </c>
      <c r="D2616" s="3" t="s">
        <v>392</v>
      </c>
      <c r="E2616" s="3" t="s">
        <v>398</v>
      </c>
      <c r="F2616" s="16" t="n">
        <v>1</v>
      </c>
      <c r="G2616" s="15" t="n">
        <v>0</v>
      </c>
      <c r="H2616" s="16" t="n">
        <v>1</v>
      </c>
      <c r="I2616" s="33" t="n">
        <v>8574.96</v>
      </c>
      <c r="J2616" s="33" t="n">
        <v>8574.96</v>
      </c>
    </row>
    <row r="2617" customFormat="false" ht="15" hidden="false" customHeight="false" outlineLevel="0" collapsed="false">
      <c r="A2617" s="3" t="s">
        <v>3007</v>
      </c>
      <c r="B2617" s="3" t="s">
        <v>283</v>
      </c>
      <c r="C2617" s="3" t="s">
        <v>401</v>
      </c>
      <c r="D2617" s="3" t="s">
        <v>388</v>
      </c>
      <c r="E2617" s="3" t="s">
        <v>382</v>
      </c>
      <c r="F2617" s="16" t="n">
        <v>1</v>
      </c>
      <c r="G2617" s="15" t="n">
        <v>0.1</v>
      </c>
      <c r="H2617" s="16" t="n">
        <v>1</v>
      </c>
      <c r="I2617" s="33" t="n">
        <v>8561.88</v>
      </c>
      <c r="J2617" s="33" t="n">
        <v>9513.12</v>
      </c>
    </row>
    <row r="2618" customFormat="false" ht="15" hidden="false" customHeight="false" outlineLevel="0" collapsed="false">
      <c r="A2618" s="3" t="s">
        <v>3008</v>
      </c>
      <c r="B2618" s="3" t="s">
        <v>283</v>
      </c>
      <c r="C2618" s="3" t="s">
        <v>396</v>
      </c>
      <c r="D2618" s="3" t="s">
        <v>388</v>
      </c>
      <c r="E2618" s="3" t="s">
        <v>398</v>
      </c>
      <c r="F2618" s="16" t="n">
        <v>12</v>
      </c>
      <c r="G2618" s="15" t="n">
        <v>0</v>
      </c>
      <c r="H2618" s="16" t="n">
        <v>5</v>
      </c>
      <c r="I2618" s="33" t="n">
        <v>8561.64</v>
      </c>
      <c r="J2618" s="33" t="n">
        <v>8561.64</v>
      </c>
    </row>
    <row r="2619" customFormat="false" ht="15" hidden="false" customHeight="false" outlineLevel="0" collapsed="false">
      <c r="A2619" s="3" t="s">
        <v>3009</v>
      </c>
      <c r="B2619" s="3" t="s">
        <v>283</v>
      </c>
      <c r="C2619" s="3" t="s">
        <v>401</v>
      </c>
      <c r="D2619" s="3" t="s">
        <v>392</v>
      </c>
      <c r="E2619" s="3" t="s">
        <v>382</v>
      </c>
      <c r="F2619" s="16" t="n">
        <v>12</v>
      </c>
      <c r="G2619" s="15" t="n">
        <v>0.1</v>
      </c>
      <c r="H2619" s="16" t="n">
        <v>4</v>
      </c>
      <c r="I2619" s="33" t="n">
        <v>8553.24</v>
      </c>
      <c r="J2619" s="33" t="n">
        <v>9503.52</v>
      </c>
    </row>
    <row r="2620" customFormat="false" ht="15" hidden="false" customHeight="false" outlineLevel="0" collapsed="false">
      <c r="A2620" s="3" t="s">
        <v>3010</v>
      </c>
      <c r="B2620" s="3" t="s">
        <v>283</v>
      </c>
      <c r="C2620" s="3" t="s">
        <v>396</v>
      </c>
      <c r="D2620" s="3" t="s">
        <v>392</v>
      </c>
      <c r="E2620" s="3" t="s">
        <v>398</v>
      </c>
      <c r="F2620" s="16" t="n">
        <v>1</v>
      </c>
      <c r="G2620" s="15" t="n">
        <v>0</v>
      </c>
      <c r="H2620" s="16" t="n">
        <v>1</v>
      </c>
      <c r="I2620" s="33" t="n">
        <v>8553.12</v>
      </c>
      <c r="J2620" s="33" t="n">
        <v>8553.12</v>
      </c>
    </row>
    <row r="2621" customFormat="false" ht="15" hidden="false" customHeight="false" outlineLevel="0" collapsed="false">
      <c r="A2621" s="3" t="s">
        <v>3011</v>
      </c>
      <c r="B2621" s="3" t="s">
        <v>283</v>
      </c>
      <c r="C2621" s="3" t="s">
        <v>405</v>
      </c>
      <c r="D2621" s="3" t="s">
        <v>692</v>
      </c>
      <c r="E2621" s="3" t="s">
        <v>382</v>
      </c>
      <c r="F2621" s="16" t="n">
        <v>12</v>
      </c>
      <c r="G2621" s="15" t="n">
        <v>0.1</v>
      </c>
      <c r="H2621" s="16" t="n">
        <v>11</v>
      </c>
      <c r="I2621" s="33" t="n">
        <v>8543.4</v>
      </c>
      <c r="J2621" s="33" t="n">
        <v>9492.72</v>
      </c>
    </row>
    <row r="2622" customFormat="false" ht="15" hidden="false" customHeight="false" outlineLevel="0" collapsed="false">
      <c r="A2622" s="3" t="s">
        <v>3012</v>
      </c>
      <c r="B2622" s="3" t="s">
        <v>283</v>
      </c>
      <c r="C2622" s="3" t="s">
        <v>401</v>
      </c>
      <c r="D2622" s="3" t="s">
        <v>418</v>
      </c>
      <c r="E2622" s="3" t="s">
        <v>398</v>
      </c>
      <c r="F2622" s="16" t="n">
        <v>1</v>
      </c>
      <c r="G2622" s="15" t="n">
        <v>0.25</v>
      </c>
      <c r="H2622" s="16" t="n">
        <v>1</v>
      </c>
      <c r="I2622" s="33" t="n">
        <v>8540.64</v>
      </c>
      <c r="J2622" s="33" t="n">
        <v>11387.52</v>
      </c>
    </row>
    <row r="2623" customFormat="false" ht="15" hidden="false" customHeight="false" outlineLevel="0" collapsed="false">
      <c r="A2623" s="3" t="s">
        <v>3013</v>
      </c>
      <c r="B2623" s="3" t="s">
        <v>283</v>
      </c>
      <c r="C2623" s="3" t="s">
        <v>405</v>
      </c>
      <c r="D2623" s="3" t="s">
        <v>692</v>
      </c>
      <c r="E2623" s="3" t="s">
        <v>398</v>
      </c>
      <c r="F2623" s="16" t="n">
        <v>1</v>
      </c>
      <c r="G2623" s="15" t="n">
        <v>0</v>
      </c>
      <c r="H2623" s="16" t="n">
        <v>1</v>
      </c>
      <c r="I2623" s="33" t="n">
        <v>8536.8</v>
      </c>
      <c r="J2623" s="33" t="n">
        <v>8536.8</v>
      </c>
    </row>
    <row r="2624" customFormat="false" ht="15" hidden="false" customHeight="false" outlineLevel="0" collapsed="false">
      <c r="A2624" s="3" t="s">
        <v>3014</v>
      </c>
      <c r="B2624" s="3" t="s">
        <v>283</v>
      </c>
      <c r="C2624" s="3" t="s">
        <v>387</v>
      </c>
      <c r="D2624" s="3" t="s">
        <v>418</v>
      </c>
      <c r="E2624" s="3" t="s">
        <v>385</v>
      </c>
      <c r="F2624" s="16" t="n">
        <v>12</v>
      </c>
      <c r="G2624" s="15" t="n">
        <v>0.2</v>
      </c>
      <c r="H2624" s="16" t="n">
        <v>3</v>
      </c>
      <c r="I2624" s="33" t="n">
        <v>8532.6</v>
      </c>
      <c r="J2624" s="33" t="n">
        <v>10665.72</v>
      </c>
    </row>
    <row r="2625" customFormat="false" ht="15" hidden="false" customHeight="false" outlineLevel="0" collapsed="false">
      <c r="A2625" s="3" t="s">
        <v>3015</v>
      </c>
      <c r="B2625" s="3" t="s">
        <v>283</v>
      </c>
      <c r="C2625" s="3" t="s">
        <v>401</v>
      </c>
      <c r="D2625" s="3" t="s">
        <v>418</v>
      </c>
      <c r="E2625" s="3" t="s">
        <v>385</v>
      </c>
      <c r="F2625" s="16" t="n">
        <v>1</v>
      </c>
      <c r="G2625" s="15" t="n">
        <v>0.1</v>
      </c>
      <c r="H2625" s="16" t="n">
        <v>1</v>
      </c>
      <c r="I2625" s="33" t="n">
        <v>8532.12</v>
      </c>
      <c r="J2625" s="33" t="n">
        <v>9480.24</v>
      </c>
    </row>
    <row r="2626" customFormat="false" ht="15" hidden="false" customHeight="false" outlineLevel="0" collapsed="false">
      <c r="A2626" s="3" t="s">
        <v>3016</v>
      </c>
      <c r="B2626" s="3" t="s">
        <v>283</v>
      </c>
      <c r="C2626" s="3" t="s">
        <v>396</v>
      </c>
      <c r="D2626" s="3" t="s">
        <v>388</v>
      </c>
      <c r="E2626" s="3" t="s">
        <v>385</v>
      </c>
      <c r="F2626" s="16" t="n">
        <v>1</v>
      </c>
      <c r="G2626" s="15" t="n">
        <v>0</v>
      </c>
      <c r="H2626" s="16" t="n">
        <v>1</v>
      </c>
      <c r="I2626" s="33" t="n">
        <v>8516.52</v>
      </c>
      <c r="J2626" s="33" t="n">
        <v>8516.52</v>
      </c>
    </row>
    <row r="2627" customFormat="false" ht="15" hidden="false" customHeight="false" outlineLevel="0" collapsed="false">
      <c r="A2627" s="3" t="s">
        <v>3017</v>
      </c>
      <c r="B2627" s="3" t="s">
        <v>283</v>
      </c>
      <c r="C2627" s="3" t="s">
        <v>384</v>
      </c>
      <c r="D2627" s="3" t="s">
        <v>692</v>
      </c>
      <c r="E2627" s="3" t="s">
        <v>398</v>
      </c>
      <c r="F2627" s="16" t="n">
        <v>1</v>
      </c>
      <c r="G2627" s="15" t="n">
        <v>0.4</v>
      </c>
      <c r="H2627" s="16" t="n">
        <v>1</v>
      </c>
      <c r="I2627" s="33" t="n">
        <v>8515.68</v>
      </c>
      <c r="J2627" s="33" t="n">
        <v>14192.88</v>
      </c>
    </row>
    <row r="2628" customFormat="false" ht="15" hidden="false" customHeight="false" outlineLevel="0" collapsed="false">
      <c r="A2628" s="3" t="s">
        <v>3018</v>
      </c>
      <c r="B2628" s="3" t="s">
        <v>283</v>
      </c>
      <c r="C2628" s="3" t="s">
        <v>396</v>
      </c>
      <c r="D2628" s="3" t="s">
        <v>392</v>
      </c>
      <c r="E2628" s="3" t="s">
        <v>398</v>
      </c>
      <c r="F2628" s="16" t="n">
        <v>12</v>
      </c>
      <c r="G2628" s="15" t="n">
        <v>0.15</v>
      </c>
      <c r="H2628" s="16" t="n">
        <v>2</v>
      </c>
      <c r="I2628" s="33" t="n">
        <v>8511.24</v>
      </c>
      <c r="J2628" s="33" t="n">
        <v>10013.16</v>
      </c>
    </row>
    <row r="2629" customFormat="false" ht="15" hidden="false" customHeight="false" outlineLevel="0" collapsed="false">
      <c r="A2629" s="3" t="s">
        <v>3019</v>
      </c>
      <c r="B2629" s="3" t="s">
        <v>283</v>
      </c>
      <c r="C2629" s="3" t="s">
        <v>387</v>
      </c>
      <c r="D2629" s="3" t="s">
        <v>381</v>
      </c>
      <c r="E2629" s="3" t="s">
        <v>398</v>
      </c>
      <c r="F2629" s="16" t="n">
        <v>12</v>
      </c>
      <c r="G2629" s="15" t="n">
        <v>0</v>
      </c>
      <c r="H2629" s="16" t="n">
        <v>1</v>
      </c>
      <c r="I2629" s="33" t="n">
        <v>8509.08</v>
      </c>
      <c r="J2629" s="33" t="n">
        <v>8509.08</v>
      </c>
    </row>
    <row r="2630" customFormat="false" ht="15" hidden="false" customHeight="false" outlineLevel="0" collapsed="false">
      <c r="A2630" s="3" t="s">
        <v>3020</v>
      </c>
      <c r="B2630" s="3" t="s">
        <v>283</v>
      </c>
      <c r="C2630" s="3" t="s">
        <v>387</v>
      </c>
      <c r="D2630" s="3" t="s">
        <v>392</v>
      </c>
      <c r="E2630" s="3" t="s">
        <v>398</v>
      </c>
      <c r="F2630" s="16" t="n">
        <v>12</v>
      </c>
      <c r="G2630" s="15" t="n">
        <v>0</v>
      </c>
      <c r="H2630" s="16" t="n">
        <v>11</v>
      </c>
      <c r="I2630" s="33" t="n">
        <v>8495.04</v>
      </c>
      <c r="J2630" s="33" t="n">
        <v>8495.04</v>
      </c>
    </row>
    <row r="2631" customFormat="false" ht="15" hidden="false" customHeight="false" outlineLevel="0" collapsed="false">
      <c r="A2631" s="3" t="s">
        <v>3021</v>
      </c>
      <c r="B2631" s="3" t="s">
        <v>283</v>
      </c>
      <c r="C2631" s="3" t="s">
        <v>403</v>
      </c>
      <c r="D2631" s="3" t="s">
        <v>692</v>
      </c>
      <c r="E2631" s="3" t="s">
        <v>385</v>
      </c>
      <c r="F2631" s="16" t="n">
        <v>12</v>
      </c>
      <c r="G2631" s="15" t="n">
        <v>0</v>
      </c>
      <c r="H2631" s="16" t="n">
        <v>6</v>
      </c>
      <c r="I2631" s="33" t="n">
        <v>8493.72</v>
      </c>
      <c r="J2631" s="33" t="n">
        <v>8493.72</v>
      </c>
    </row>
    <row r="2632" customFormat="false" ht="15" hidden="false" customHeight="false" outlineLevel="0" collapsed="false">
      <c r="A2632" s="3" t="s">
        <v>3022</v>
      </c>
      <c r="B2632" s="3" t="s">
        <v>283</v>
      </c>
      <c r="C2632" s="3" t="s">
        <v>401</v>
      </c>
      <c r="D2632" s="3" t="s">
        <v>692</v>
      </c>
      <c r="E2632" s="3" t="s">
        <v>385</v>
      </c>
      <c r="F2632" s="16" t="n">
        <v>12</v>
      </c>
      <c r="G2632" s="15" t="n">
        <v>0.05</v>
      </c>
      <c r="H2632" s="16" t="n">
        <v>6</v>
      </c>
      <c r="I2632" s="33" t="n">
        <v>8464.32</v>
      </c>
      <c r="J2632" s="33" t="n">
        <v>8909.76</v>
      </c>
    </row>
    <row r="2633" customFormat="false" ht="15" hidden="false" customHeight="false" outlineLevel="0" collapsed="false">
      <c r="A2633" s="3" t="s">
        <v>3023</v>
      </c>
      <c r="B2633" s="3" t="s">
        <v>283</v>
      </c>
      <c r="C2633" s="3" t="s">
        <v>405</v>
      </c>
      <c r="D2633" s="3" t="s">
        <v>381</v>
      </c>
      <c r="E2633" s="3" t="s">
        <v>398</v>
      </c>
      <c r="F2633" s="16" t="n">
        <v>1</v>
      </c>
      <c r="G2633" s="15" t="n">
        <v>0.15</v>
      </c>
      <c r="H2633" s="16" t="n">
        <v>1</v>
      </c>
      <c r="I2633" s="33" t="n">
        <v>8460.12</v>
      </c>
      <c r="J2633" s="33" t="n">
        <v>9953.04</v>
      </c>
    </row>
    <row r="2634" customFormat="false" ht="15" hidden="false" customHeight="false" outlineLevel="0" collapsed="false">
      <c r="A2634" s="3" t="s">
        <v>3024</v>
      </c>
      <c r="B2634" s="3" t="s">
        <v>283</v>
      </c>
      <c r="C2634" s="3" t="s">
        <v>401</v>
      </c>
      <c r="D2634" s="3" t="s">
        <v>392</v>
      </c>
      <c r="E2634" s="3" t="s">
        <v>398</v>
      </c>
      <c r="F2634" s="16" t="n">
        <v>12</v>
      </c>
      <c r="G2634" s="15" t="n">
        <v>0</v>
      </c>
      <c r="H2634" s="16" t="n">
        <v>11</v>
      </c>
      <c r="I2634" s="33" t="n">
        <v>8457.96</v>
      </c>
      <c r="J2634" s="33" t="n">
        <v>8457.96</v>
      </c>
    </row>
    <row r="2635" customFormat="false" ht="15" hidden="false" customHeight="false" outlineLevel="0" collapsed="false">
      <c r="A2635" s="3" t="s">
        <v>3025</v>
      </c>
      <c r="B2635" s="3" t="s">
        <v>283</v>
      </c>
      <c r="C2635" s="3" t="s">
        <v>403</v>
      </c>
      <c r="D2635" s="3" t="s">
        <v>692</v>
      </c>
      <c r="E2635" s="3" t="s">
        <v>385</v>
      </c>
      <c r="F2635" s="16" t="n">
        <v>1</v>
      </c>
      <c r="G2635" s="15" t="n">
        <v>0.1</v>
      </c>
      <c r="H2635" s="16" t="n">
        <v>1</v>
      </c>
      <c r="I2635" s="33" t="n">
        <v>8455.56</v>
      </c>
      <c r="J2635" s="33" t="n">
        <v>9395.04</v>
      </c>
    </row>
    <row r="2636" customFormat="false" ht="15" hidden="false" customHeight="false" outlineLevel="0" collapsed="false">
      <c r="A2636" s="3" t="s">
        <v>3026</v>
      </c>
      <c r="B2636" s="3" t="s">
        <v>283</v>
      </c>
      <c r="C2636" s="3" t="s">
        <v>401</v>
      </c>
      <c r="D2636" s="3" t="s">
        <v>692</v>
      </c>
      <c r="E2636" s="3" t="s">
        <v>398</v>
      </c>
      <c r="F2636" s="16" t="n">
        <v>12</v>
      </c>
      <c r="G2636" s="15" t="n">
        <v>0.1</v>
      </c>
      <c r="H2636" s="16" t="n">
        <v>5</v>
      </c>
      <c r="I2636" s="33" t="n">
        <v>8444.04</v>
      </c>
      <c r="J2636" s="33" t="n">
        <v>9382.32</v>
      </c>
    </row>
    <row r="2637" customFormat="false" ht="15" hidden="false" customHeight="false" outlineLevel="0" collapsed="false">
      <c r="A2637" s="3" t="s">
        <v>3027</v>
      </c>
      <c r="B2637" s="3" t="s">
        <v>283</v>
      </c>
      <c r="C2637" s="3" t="s">
        <v>396</v>
      </c>
      <c r="D2637" s="3" t="s">
        <v>418</v>
      </c>
      <c r="E2637" s="3" t="s">
        <v>385</v>
      </c>
      <c r="F2637" s="16" t="n">
        <v>12</v>
      </c>
      <c r="G2637" s="15" t="n">
        <v>0</v>
      </c>
      <c r="H2637" s="16" t="n">
        <v>7</v>
      </c>
      <c r="I2637" s="33" t="n">
        <v>8434.8</v>
      </c>
      <c r="J2637" s="33" t="n">
        <v>8434.8</v>
      </c>
    </row>
    <row r="2638" customFormat="false" ht="15" hidden="false" customHeight="false" outlineLevel="0" collapsed="false">
      <c r="A2638" s="3" t="s">
        <v>3028</v>
      </c>
      <c r="B2638" s="3" t="s">
        <v>283</v>
      </c>
      <c r="C2638" s="3" t="s">
        <v>396</v>
      </c>
      <c r="D2638" s="3" t="s">
        <v>388</v>
      </c>
      <c r="E2638" s="3" t="s">
        <v>398</v>
      </c>
      <c r="F2638" s="16" t="n">
        <v>12</v>
      </c>
      <c r="G2638" s="15" t="n">
        <v>0</v>
      </c>
      <c r="H2638" s="16" t="n">
        <v>12</v>
      </c>
      <c r="I2638" s="33" t="n">
        <v>8434.68</v>
      </c>
      <c r="J2638" s="33" t="n">
        <v>8434.68</v>
      </c>
    </row>
    <row r="2639" customFormat="false" ht="15" hidden="false" customHeight="false" outlineLevel="0" collapsed="false">
      <c r="A2639" s="3" t="s">
        <v>3029</v>
      </c>
      <c r="B2639" s="3" t="s">
        <v>283</v>
      </c>
      <c r="C2639" s="3" t="s">
        <v>401</v>
      </c>
      <c r="D2639" s="3" t="s">
        <v>692</v>
      </c>
      <c r="E2639" s="3" t="s">
        <v>385</v>
      </c>
      <c r="F2639" s="16" t="n">
        <v>1</v>
      </c>
      <c r="G2639" s="15" t="n">
        <v>0</v>
      </c>
      <c r="H2639" s="16" t="n">
        <v>1</v>
      </c>
      <c r="I2639" s="33" t="n">
        <v>8433.48</v>
      </c>
      <c r="J2639" s="33" t="n">
        <v>8433.48</v>
      </c>
    </row>
    <row r="2640" customFormat="false" ht="15" hidden="false" customHeight="false" outlineLevel="0" collapsed="false">
      <c r="A2640" s="3" t="s">
        <v>3030</v>
      </c>
      <c r="B2640" s="3" t="s">
        <v>283</v>
      </c>
      <c r="C2640" s="3" t="s">
        <v>396</v>
      </c>
      <c r="D2640" s="3" t="s">
        <v>418</v>
      </c>
      <c r="E2640" s="3" t="s">
        <v>398</v>
      </c>
      <c r="F2640" s="16" t="n">
        <v>12</v>
      </c>
      <c r="G2640" s="15" t="n">
        <v>0.1</v>
      </c>
      <c r="H2640" s="16" t="n">
        <v>7</v>
      </c>
      <c r="I2640" s="33" t="n">
        <v>8427.36</v>
      </c>
      <c r="J2640" s="33" t="n">
        <v>9363.72</v>
      </c>
    </row>
    <row r="2641" customFormat="false" ht="15" hidden="false" customHeight="false" outlineLevel="0" collapsed="false">
      <c r="A2641" s="3" t="s">
        <v>3031</v>
      </c>
      <c r="B2641" s="3" t="s">
        <v>283</v>
      </c>
      <c r="C2641" s="3" t="s">
        <v>403</v>
      </c>
      <c r="D2641" s="3" t="s">
        <v>692</v>
      </c>
      <c r="E2641" s="3" t="s">
        <v>382</v>
      </c>
      <c r="F2641" s="16" t="n">
        <v>1</v>
      </c>
      <c r="G2641" s="15" t="n">
        <v>0</v>
      </c>
      <c r="H2641" s="16" t="n">
        <v>1</v>
      </c>
      <c r="I2641" s="33" t="n">
        <v>8410.8</v>
      </c>
      <c r="J2641" s="33" t="n">
        <v>8410.8</v>
      </c>
    </row>
    <row r="2642" customFormat="false" ht="15" hidden="false" customHeight="false" outlineLevel="0" collapsed="false">
      <c r="A2642" s="3" t="s">
        <v>3032</v>
      </c>
      <c r="B2642" s="3" t="s">
        <v>283</v>
      </c>
      <c r="C2642" s="3" t="s">
        <v>396</v>
      </c>
      <c r="D2642" s="3" t="s">
        <v>392</v>
      </c>
      <c r="E2642" s="3" t="s">
        <v>385</v>
      </c>
      <c r="F2642" s="16" t="n">
        <v>1</v>
      </c>
      <c r="G2642" s="15" t="n">
        <v>0</v>
      </c>
      <c r="H2642" s="16" t="n">
        <v>1</v>
      </c>
      <c r="I2642" s="33" t="n">
        <v>8407.92</v>
      </c>
      <c r="J2642" s="33" t="n">
        <v>8407.92</v>
      </c>
    </row>
    <row r="2643" customFormat="false" ht="15" hidden="false" customHeight="false" outlineLevel="0" collapsed="false">
      <c r="A2643" s="3" t="s">
        <v>3033</v>
      </c>
      <c r="B2643" s="3" t="s">
        <v>283</v>
      </c>
      <c r="C2643" s="3" t="s">
        <v>396</v>
      </c>
      <c r="D2643" s="3" t="s">
        <v>392</v>
      </c>
      <c r="E2643" s="3" t="s">
        <v>382</v>
      </c>
      <c r="F2643" s="16" t="n">
        <v>1</v>
      </c>
      <c r="G2643" s="15" t="n">
        <v>0</v>
      </c>
      <c r="H2643" s="16" t="n">
        <v>1</v>
      </c>
      <c r="I2643" s="33" t="n">
        <v>8406.48</v>
      </c>
      <c r="J2643" s="33" t="n">
        <v>8406.48</v>
      </c>
    </row>
    <row r="2644" customFormat="false" ht="15" hidden="false" customHeight="false" outlineLevel="0" collapsed="false">
      <c r="A2644" s="3" t="s">
        <v>3034</v>
      </c>
      <c r="B2644" s="3" t="s">
        <v>283</v>
      </c>
      <c r="C2644" s="3" t="s">
        <v>401</v>
      </c>
      <c r="D2644" s="3" t="s">
        <v>418</v>
      </c>
      <c r="E2644" s="3" t="s">
        <v>382</v>
      </c>
      <c r="F2644" s="16" t="n">
        <v>1</v>
      </c>
      <c r="G2644" s="15" t="n">
        <v>0</v>
      </c>
      <c r="H2644" s="16" t="n">
        <v>1</v>
      </c>
      <c r="I2644" s="33" t="n">
        <v>8386.08</v>
      </c>
      <c r="J2644" s="33" t="n">
        <v>8386.08</v>
      </c>
    </row>
    <row r="2645" customFormat="false" ht="15" hidden="false" customHeight="false" outlineLevel="0" collapsed="false">
      <c r="A2645" s="3" t="s">
        <v>3035</v>
      </c>
      <c r="B2645" s="3" t="s">
        <v>283</v>
      </c>
      <c r="C2645" s="3" t="s">
        <v>387</v>
      </c>
      <c r="D2645" s="3" t="s">
        <v>381</v>
      </c>
      <c r="E2645" s="3" t="s">
        <v>398</v>
      </c>
      <c r="F2645" s="16" t="n">
        <v>1</v>
      </c>
      <c r="G2645" s="15" t="n">
        <v>0</v>
      </c>
      <c r="H2645" s="16" t="n">
        <v>1</v>
      </c>
      <c r="I2645" s="33" t="n">
        <v>8378.04</v>
      </c>
      <c r="J2645" s="33" t="n">
        <v>8378.04</v>
      </c>
    </row>
    <row r="2646" customFormat="false" ht="15" hidden="false" customHeight="false" outlineLevel="0" collapsed="false">
      <c r="A2646" s="3" t="s">
        <v>3036</v>
      </c>
      <c r="B2646" s="3" t="s">
        <v>283</v>
      </c>
      <c r="C2646" s="3" t="s">
        <v>401</v>
      </c>
      <c r="D2646" s="3" t="s">
        <v>692</v>
      </c>
      <c r="E2646" s="3" t="s">
        <v>398</v>
      </c>
      <c r="F2646" s="16" t="n">
        <v>1</v>
      </c>
      <c r="G2646" s="15" t="n">
        <v>0</v>
      </c>
      <c r="H2646" s="16" t="n">
        <v>1</v>
      </c>
      <c r="I2646" s="33" t="n">
        <v>8377.68</v>
      </c>
      <c r="J2646" s="33" t="n">
        <v>8377.68</v>
      </c>
    </row>
    <row r="2647" customFormat="false" ht="15" hidden="false" customHeight="false" outlineLevel="0" collapsed="false">
      <c r="A2647" s="3" t="s">
        <v>3037</v>
      </c>
      <c r="B2647" s="3" t="s">
        <v>283</v>
      </c>
      <c r="C2647" s="3" t="s">
        <v>401</v>
      </c>
      <c r="D2647" s="3" t="s">
        <v>692</v>
      </c>
      <c r="E2647" s="3" t="s">
        <v>398</v>
      </c>
      <c r="F2647" s="16" t="n">
        <v>1</v>
      </c>
      <c r="G2647" s="15" t="n">
        <v>0</v>
      </c>
      <c r="H2647" s="16" t="n">
        <v>1</v>
      </c>
      <c r="I2647" s="33" t="n">
        <v>8377.2</v>
      </c>
      <c r="J2647" s="33" t="n">
        <v>8377.2</v>
      </c>
    </row>
    <row r="2648" customFormat="false" ht="15" hidden="false" customHeight="false" outlineLevel="0" collapsed="false">
      <c r="A2648" s="3" t="s">
        <v>3038</v>
      </c>
      <c r="B2648" s="3" t="s">
        <v>283</v>
      </c>
      <c r="C2648" s="3" t="s">
        <v>401</v>
      </c>
      <c r="D2648" s="3" t="s">
        <v>392</v>
      </c>
      <c r="E2648" s="3" t="s">
        <v>385</v>
      </c>
      <c r="F2648" s="16" t="n">
        <v>12</v>
      </c>
      <c r="G2648" s="15" t="n">
        <v>0.2</v>
      </c>
      <c r="H2648" s="16" t="n">
        <v>11</v>
      </c>
      <c r="I2648" s="33" t="n">
        <v>8364.6</v>
      </c>
      <c r="J2648" s="33" t="n">
        <v>10455.72</v>
      </c>
    </row>
    <row r="2649" customFormat="false" ht="15" hidden="false" customHeight="false" outlineLevel="0" collapsed="false">
      <c r="A2649" s="3" t="s">
        <v>3039</v>
      </c>
      <c r="B2649" s="3" t="s">
        <v>283</v>
      </c>
      <c r="C2649" s="3" t="s">
        <v>405</v>
      </c>
      <c r="D2649" s="3" t="s">
        <v>418</v>
      </c>
      <c r="E2649" s="3" t="s">
        <v>382</v>
      </c>
      <c r="F2649" s="16" t="n">
        <v>12</v>
      </c>
      <c r="G2649" s="15" t="n">
        <v>0.1</v>
      </c>
      <c r="H2649" s="16" t="n">
        <v>12</v>
      </c>
      <c r="I2649" s="33" t="n">
        <v>8363.4</v>
      </c>
      <c r="J2649" s="33" t="n">
        <v>9292.68</v>
      </c>
    </row>
    <row r="2650" customFormat="false" ht="15" hidden="false" customHeight="false" outlineLevel="0" collapsed="false">
      <c r="A2650" s="3" t="s">
        <v>3040</v>
      </c>
      <c r="B2650" s="3" t="s">
        <v>283</v>
      </c>
      <c r="C2650" s="3" t="s">
        <v>403</v>
      </c>
      <c r="D2650" s="3" t="s">
        <v>692</v>
      </c>
      <c r="E2650" s="3" t="s">
        <v>398</v>
      </c>
      <c r="F2650" s="16" t="n">
        <v>12</v>
      </c>
      <c r="G2650" s="15" t="n">
        <v>0</v>
      </c>
      <c r="H2650" s="16" t="n">
        <v>9</v>
      </c>
      <c r="I2650" s="33" t="n">
        <v>8353.68</v>
      </c>
      <c r="J2650" s="33" t="n">
        <v>8353.68</v>
      </c>
    </row>
    <row r="2651" customFormat="false" ht="15" hidden="false" customHeight="false" outlineLevel="0" collapsed="false">
      <c r="A2651" s="3" t="s">
        <v>3041</v>
      </c>
      <c r="B2651" s="3" t="s">
        <v>283</v>
      </c>
      <c r="C2651" s="3" t="s">
        <v>387</v>
      </c>
      <c r="D2651" s="3" t="s">
        <v>418</v>
      </c>
      <c r="E2651" s="3" t="s">
        <v>382</v>
      </c>
      <c r="F2651" s="16" t="n">
        <v>1</v>
      </c>
      <c r="G2651" s="15" t="n">
        <v>0</v>
      </c>
      <c r="H2651" s="16" t="n">
        <v>1</v>
      </c>
      <c r="I2651" s="33" t="n">
        <v>8352.36</v>
      </c>
      <c r="J2651" s="33" t="n">
        <v>8352.36</v>
      </c>
    </row>
    <row r="2652" customFormat="false" ht="15" hidden="false" customHeight="false" outlineLevel="0" collapsed="false">
      <c r="A2652" s="3" t="s">
        <v>3042</v>
      </c>
      <c r="B2652" s="3" t="s">
        <v>283</v>
      </c>
      <c r="C2652" s="3" t="s">
        <v>396</v>
      </c>
      <c r="D2652" s="3" t="s">
        <v>392</v>
      </c>
      <c r="E2652" s="3" t="s">
        <v>385</v>
      </c>
      <c r="F2652" s="16" t="n">
        <v>1</v>
      </c>
      <c r="G2652" s="15" t="n">
        <v>0</v>
      </c>
      <c r="H2652" s="16" t="n">
        <v>1</v>
      </c>
      <c r="I2652" s="33" t="n">
        <v>8338.56</v>
      </c>
      <c r="J2652" s="33" t="n">
        <v>8338.56</v>
      </c>
    </row>
    <row r="2653" customFormat="false" ht="15" hidden="false" customHeight="false" outlineLevel="0" collapsed="false">
      <c r="A2653" s="3" t="s">
        <v>3043</v>
      </c>
      <c r="B2653" s="3" t="s">
        <v>283</v>
      </c>
      <c r="C2653" s="3" t="s">
        <v>403</v>
      </c>
      <c r="D2653" s="3" t="s">
        <v>418</v>
      </c>
      <c r="E2653" s="3" t="s">
        <v>382</v>
      </c>
      <c r="F2653" s="16" t="n">
        <v>12</v>
      </c>
      <c r="G2653" s="15" t="n">
        <v>0</v>
      </c>
      <c r="H2653" s="16" t="n">
        <v>5</v>
      </c>
      <c r="I2653" s="33" t="n">
        <v>8337</v>
      </c>
      <c r="J2653" s="33" t="n">
        <v>8337</v>
      </c>
    </row>
    <row r="2654" customFormat="false" ht="15" hidden="false" customHeight="false" outlineLevel="0" collapsed="false">
      <c r="A2654" s="3" t="s">
        <v>3044</v>
      </c>
      <c r="B2654" s="3" t="s">
        <v>283</v>
      </c>
      <c r="C2654" s="3" t="s">
        <v>387</v>
      </c>
      <c r="D2654" s="3" t="s">
        <v>381</v>
      </c>
      <c r="E2654" s="3" t="s">
        <v>382</v>
      </c>
      <c r="F2654" s="16" t="n">
        <v>12</v>
      </c>
      <c r="G2654" s="15" t="n">
        <v>0</v>
      </c>
      <c r="H2654" s="16" t="n">
        <v>4</v>
      </c>
      <c r="I2654" s="33" t="n">
        <v>8336.04</v>
      </c>
      <c r="J2654" s="33" t="n">
        <v>8336.04</v>
      </c>
    </row>
    <row r="2655" customFormat="false" ht="15" hidden="false" customHeight="false" outlineLevel="0" collapsed="false">
      <c r="A2655" s="3" t="s">
        <v>3045</v>
      </c>
      <c r="B2655" s="3" t="s">
        <v>283</v>
      </c>
      <c r="C2655" s="3" t="s">
        <v>396</v>
      </c>
      <c r="D2655" s="3" t="s">
        <v>388</v>
      </c>
      <c r="E2655" s="3" t="s">
        <v>385</v>
      </c>
      <c r="F2655" s="16" t="n">
        <v>12</v>
      </c>
      <c r="G2655" s="15" t="n">
        <v>0.1</v>
      </c>
      <c r="H2655" s="16" t="n">
        <v>11</v>
      </c>
      <c r="I2655" s="33" t="n">
        <v>8334.24</v>
      </c>
      <c r="J2655" s="33" t="n">
        <v>9260.28</v>
      </c>
    </row>
    <row r="2656" customFormat="false" ht="15" hidden="false" customHeight="false" outlineLevel="0" collapsed="false">
      <c r="A2656" s="3" t="s">
        <v>3046</v>
      </c>
      <c r="B2656" s="3" t="s">
        <v>283</v>
      </c>
      <c r="C2656" s="3" t="s">
        <v>396</v>
      </c>
      <c r="D2656" s="3" t="s">
        <v>388</v>
      </c>
      <c r="E2656" s="3" t="s">
        <v>398</v>
      </c>
      <c r="F2656" s="16" t="n">
        <v>12</v>
      </c>
      <c r="G2656" s="15" t="n">
        <v>0</v>
      </c>
      <c r="H2656" s="16" t="n">
        <v>4</v>
      </c>
      <c r="I2656" s="33" t="n">
        <v>8332.92</v>
      </c>
      <c r="J2656" s="33" t="n">
        <v>8332.92</v>
      </c>
    </row>
    <row r="2657" customFormat="false" ht="15" hidden="false" customHeight="false" outlineLevel="0" collapsed="false">
      <c r="A2657" s="3" t="s">
        <v>3047</v>
      </c>
      <c r="B2657" s="3" t="s">
        <v>283</v>
      </c>
      <c r="C2657" s="3" t="s">
        <v>403</v>
      </c>
      <c r="D2657" s="3" t="s">
        <v>418</v>
      </c>
      <c r="E2657" s="3" t="s">
        <v>398</v>
      </c>
      <c r="F2657" s="16" t="n">
        <v>12</v>
      </c>
      <c r="G2657" s="15" t="n">
        <v>0</v>
      </c>
      <c r="H2657" s="16" t="n">
        <v>5</v>
      </c>
      <c r="I2657" s="33" t="n">
        <v>8324.4</v>
      </c>
      <c r="J2657" s="33" t="n">
        <v>8324.4</v>
      </c>
    </row>
    <row r="2658" customFormat="false" ht="15" hidden="false" customHeight="false" outlineLevel="0" collapsed="false">
      <c r="A2658" s="3" t="s">
        <v>3048</v>
      </c>
      <c r="B2658" s="3" t="s">
        <v>283</v>
      </c>
      <c r="C2658" s="3" t="s">
        <v>401</v>
      </c>
      <c r="D2658" s="3" t="s">
        <v>381</v>
      </c>
      <c r="E2658" s="3" t="s">
        <v>398</v>
      </c>
      <c r="F2658" s="16" t="n">
        <v>12</v>
      </c>
      <c r="G2658" s="15" t="n">
        <v>0</v>
      </c>
      <c r="H2658" s="16" t="n">
        <v>5</v>
      </c>
      <c r="I2658" s="33" t="n">
        <v>8317.8</v>
      </c>
      <c r="J2658" s="33" t="n">
        <v>8317.8</v>
      </c>
    </row>
    <row r="2659" customFormat="false" ht="15" hidden="false" customHeight="false" outlineLevel="0" collapsed="false">
      <c r="A2659" s="3" t="s">
        <v>3049</v>
      </c>
      <c r="B2659" s="3" t="s">
        <v>283</v>
      </c>
      <c r="C2659" s="3" t="s">
        <v>405</v>
      </c>
      <c r="D2659" s="3" t="s">
        <v>392</v>
      </c>
      <c r="E2659" s="3" t="s">
        <v>398</v>
      </c>
      <c r="F2659" s="16" t="n">
        <v>12</v>
      </c>
      <c r="G2659" s="15" t="n">
        <v>0</v>
      </c>
      <c r="H2659" s="16" t="n">
        <v>4</v>
      </c>
      <c r="I2659" s="33" t="n">
        <v>8313.96</v>
      </c>
      <c r="J2659" s="33" t="n">
        <v>8313.96</v>
      </c>
    </row>
    <row r="2660" customFormat="false" ht="15" hidden="false" customHeight="false" outlineLevel="0" collapsed="false">
      <c r="A2660" s="3" t="s">
        <v>3050</v>
      </c>
      <c r="B2660" s="3" t="s">
        <v>283</v>
      </c>
      <c r="C2660" s="3" t="s">
        <v>403</v>
      </c>
      <c r="D2660" s="3" t="s">
        <v>418</v>
      </c>
      <c r="E2660" s="3" t="s">
        <v>385</v>
      </c>
      <c r="F2660" s="16" t="n">
        <v>1</v>
      </c>
      <c r="G2660" s="15" t="n">
        <v>0.1</v>
      </c>
      <c r="H2660" s="16" t="n">
        <v>1</v>
      </c>
      <c r="I2660" s="33" t="n">
        <v>8312.28</v>
      </c>
      <c r="J2660" s="33" t="n">
        <v>9235.92</v>
      </c>
    </row>
    <row r="2661" customFormat="false" ht="15" hidden="false" customHeight="false" outlineLevel="0" collapsed="false">
      <c r="A2661" s="3" t="s">
        <v>3051</v>
      </c>
      <c r="B2661" s="3" t="s">
        <v>283</v>
      </c>
      <c r="C2661" s="3" t="s">
        <v>401</v>
      </c>
      <c r="D2661" s="3" t="s">
        <v>418</v>
      </c>
      <c r="E2661" s="3" t="s">
        <v>385</v>
      </c>
      <c r="F2661" s="16" t="n">
        <v>1</v>
      </c>
      <c r="G2661" s="15" t="n">
        <v>0.05</v>
      </c>
      <c r="H2661" s="16" t="n">
        <v>1</v>
      </c>
      <c r="I2661" s="33" t="n">
        <v>8310</v>
      </c>
      <c r="J2661" s="33" t="n">
        <v>8747.4</v>
      </c>
    </row>
    <row r="2662" customFormat="false" ht="15" hidden="false" customHeight="false" outlineLevel="0" collapsed="false">
      <c r="A2662" s="3" t="s">
        <v>3052</v>
      </c>
      <c r="B2662" s="3" t="s">
        <v>283</v>
      </c>
      <c r="C2662" s="3" t="s">
        <v>380</v>
      </c>
      <c r="D2662" s="3" t="s">
        <v>392</v>
      </c>
      <c r="E2662" s="3" t="s">
        <v>382</v>
      </c>
      <c r="F2662" s="16" t="n">
        <v>1</v>
      </c>
      <c r="G2662" s="15" t="n">
        <v>0</v>
      </c>
      <c r="H2662" s="16" t="n">
        <v>1</v>
      </c>
      <c r="I2662" s="33" t="n">
        <v>8295.84</v>
      </c>
      <c r="J2662" s="33" t="n">
        <v>8295.84</v>
      </c>
    </row>
    <row r="2663" customFormat="false" ht="15" hidden="false" customHeight="false" outlineLevel="0" collapsed="false">
      <c r="A2663" s="3" t="s">
        <v>3053</v>
      </c>
      <c r="B2663" s="3" t="s">
        <v>283</v>
      </c>
      <c r="C2663" s="3" t="s">
        <v>396</v>
      </c>
      <c r="D2663" s="3" t="s">
        <v>392</v>
      </c>
      <c r="E2663" s="3" t="s">
        <v>398</v>
      </c>
      <c r="F2663" s="16" t="n">
        <v>1</v>
      </c>
      <c r="G2663" s="15" t="n">
        <v>0</v>
      </c>
      <c r="H2663" s="16" t="n">
        <v>1</v>
      </c>
      <c r="I2663" s="33" t="n">
        <v>8272.56</v>
      </c>
      <c r="J2663" s="33" t="n">
        <v>8272.56</v>
      </c>
    </row>
    <row r="2664" customFormat="false" ht="15" hidden="false" customHeight="false" outlineLevel="0" collapsed="false">
      <c r="A2664" s="3" t="s">
        <v>3054</v>
      </c>
      <c r="B2664" s="3" t="s">
        <v>283</v>
      </c>
      <c r="C2664" s="3" t="s">
        <v>396</v>
      </c>
      <c r="D2664" s="3" t="s">
        <v>692</v>
      </c>
      <c r="E2664" s="3" t="s">
        <v>398</v>
      </c>
      <c r="F2664" s="16" t="n">
        <v>12</v>
      </c>
      <c r="G2664" s="15" t="n">
        <v>0</v>
      </c>
      <c r="H2664" s="16" t="n">
        <v>3</v>
      </c>
      <c r="I2664" s="33" t="n">
        <v>8270.16</v>
      </c>
      <c r="J2664" s="33" t="n">
        <v>8270.16</v>
      </c>
    </row>
    <row r="2665" customFormat="false" ht="15" hidden="false" customHeight="false" outlineLevel="0" collapsed="false">
      <c r="A2665" s="3" t="s">
        <v>3055</v>
      </c>
      <c r="B2665" s="3" t="s">
        <v>283</v>
      </c>
      <c r="C2665" s="3" t="s">
        <v>405</v>
      </c>
      <c r="D2665" s="3" t="s">
        <v>692</v>
      </c>
      <c r="E2665" s="3" t="s">
        <v>398</v>
      </c>
      <c r="F2665" s="16" t="n">
        <v>1</v>
      </c>
      <c r="G2665" s="15" t="n">
        <v>0</v>
      </c>
      <c r="H2665" s="16" t="n">
        <v>1</v>
      </c>
      <c r="I2665" s="33" t="n">
        <v>8265.84</v>
      </c>
      <c r="J2665" s="33" t="n">
        <v>8265.84</v>
      </c>
    </row>
    <row r="2666" customFormat="false" ht="15" hidden="false" customHeight="false" outlineLevel="0" collapsed="false">
      <c r="A2666" s="3" t="s">
        <v>3056</v>
      </c>
      <c r="B2666" s="3" t="s">
        <v>283</v>
      </c>
      <c r="C2666" s="3" t="s">
        <v>384</v>
      </c>
      <c r="D2666" s="3" t="s">
        <v>692</v>
      </c>
      <c r="E2666" s="3" t="s">
        <v>385</v>
      </c>
      <c r="F2666" s="16" t="n">
        <v>1</v>
      </c>
      <c r="G2666" s="15" t="n">
        <v>0</v>
      </c>
      <c r="H2666" s="16" t="n">
        <v>1</v>
      </c>
      <c r="I2666" s="33" t="n">
        <v>8264.88</v>
      </c>
      <c r="J2666" s="33" t="n">
        <v>8264.88</v>
      </c>
    </row>
    <row r="2667" customFormat="false" ht="15" hidden="false" customHeight="false" outlineLevel="0" collapsed="false">
      <c r="A2667" s="3" t="s">
        <v>3057</v>
      </c>
      <c r="B2667" s="3" t="s">
        <v>283</v>
      </c>
      <c r="C2667" s="3" t="s">
        <v>387</v>
      </c>
      <c r="D2667" s="3" t="s">
        <v>381</v>
      </c>
      <c r="E2667" s="3" t="s">
        <v>382</v>
      </c>
      <c r="F2667" s="16" t="n">
        <v>1</v>
      </c>
      <c r="G2667" s="15" t="n">
        <v>0</v>
      </c>
      <c r="H2667" s="16" t="n">
        <v>1</v>
      </c>
      <c r="I2667" s="33" t="n">
        <v>8263.44</v>
      </c>
      <c r="J2667" s="33" t="n">
        <v>8263.44</v>
      </c>
    </row>
    <row r="2668" customFormat="false" ht="15" hidden="false" customHeight="false" outlineLevel="0" collapsed="false">
      <c r="A2668" s="3" t="s">
        <v>3058</v>
      </c>
      <c r="B2668" s="3" t="s">
        <v>283</v>
      </c>
      <c r="C2668" s="3" t="s">
        <v>403</v>
      </c>
      <c r="D2668" s="3" t="s">
        <v>418</v>
      </c>
      <c r="E2668" s="3" t="s">
        <v>385</v>
      </c>
      <c r="F2668" s="16" t="n">
        <v>1</v>
      </c>
      <c r="G2668" s="15" t="n">
        <v>0.05</v>
      </c>
      <c r="H2668" s="16" t="n">
        <v>1</v>
      </c>
      <c r="I2668" s="33" t="n">
        <v>8258.28</v>
      </c>
      <c r="J2668" s="33" t="n">
        <v>8693.04</v>
      </c>
    </row>
    <row r="2669" customFormat="false" ht="15" hidden="false" customHeight="false" outlineLevel="0" collapsed="false">
      <c r="A2669" s="3" t="s">
        <v>3059</v>
      </c>
      <c r="B2669" s="3" t="s">
        <v>283</v>
      </c>
      <c r="C2669" s="3" t="s">
        <v>396</v>
      </c>
      <c r="D2669" s="3" t="s">
        <v>392</v>
      </c>
      <c r="E2669" s="3" t="s">
        <v>398</v>
      </c>
      <c r="F2669" s="16" t="n">
        <v>1</v>
      </c>
      <c r="G2669" s="15" t="n">
        <v>0</v>
      </c>
      <c r="H2669" s="16" t="n">
        <v>1</v>
      </c>
      <c r="I2669" s="33" t="n">
        <v>8254.08</v>
      </c>
      <c r="J2669" s="33" t="n">
        <v>8254.08</v>
      </c>
    </row>
    <row r="2670" customFormat="false" ht="15" hidden="false" customHeight="false" outlineLevel="0" collapsed="false">
      <c r="A2670" s="3" t="s">
        <v>3060</v>
      </c>
      <c r="B2670" s="3" t="s">
        <v>283</v>
      </c>
      <c r="C2670" s="3" t="s">
        <v>387</v>
      </c>
      <c r="D2670" s="3" t="s">
        <v>418</v>
      </c>
      <c r="E2670" s="3" t="s">
        <v>382</v>
      </c>
      <c r="F2670" s="16" t="n">
        <v>1</v>
      </c>
      <c r="G2670" s="15" t="n">
        <v>0</v>
      </c>
      <c r="H2670" s="16" t="n">
        <v>1</v>
      </c>
      <c r="I2670" s="33" t="n">
        <v>8253.48</v>
      </c>
      <c r="J2670" s="33" t="n">
        <v>8253.48</v>
      </c>
    </row>
    <row r="2671" customFormat="false" ht="15" hidden="false" customHeight="false" outlineLevel="0" collapsed="false">
      <c r="A2671" s="3" t="s">
        <v>3061</v>
      </c>
      <c r="B2671" s="3" t="s">
        <v>283</v>
      </c>
      <c r="C2671" s="3" t="s">
        <v>401</v>
      </c>
      <c r="D2671" s="3" t="s">
        <v>392</v>
      </c>
      <c r="E2671" s="3" t="s">
        <v>385</v>
      </c>
      <c r="F2671" s="16" t="n">
        <v>1</v>
      </c>
      <c r="G2671" s="15" t="n">
        <v>0</v>
      </c>
      <c r="H2671" s="16" t="n">
        <v>1</v>
      </c>
      <c r="I2671" s="33" t="n">
        <v>8242.8</v>
      </c>
      <c r="J2671" s="33" t="n">
        <v>8242.8</v>
      </c>
    </row>
    <row r="2672" customFormat="false" ht="15" hidden="false" customHeight="false" outlineLevel="0" collapsed="false">
      <c r="A2672" s="3" t="s">
        <v>3062</v>
      </c>
      <c r="B2672" s="3" t="s">
        <v>283</v>
      </c>
      <c r="C2672" s="3" t="s">
        <v>403</v>
      </c>
      <c r="D2672" s="3" t="s">
        <v>388</v>
      </c>
      <c r="E2672" s="3" t="s">
        <v>382</v>
      </c>
      <c r="F2672" s="16" t="n">
        <v>12</v>
      </c>
      <c r="G2672" s="15" t="n">
        <v>0.1</v>
      </c>
      <c r="H2672" s="16" t="n">
        <v>3</v>
      </c>
      <c r="I2672" s="33" t="n">
        <v>8239.56</v>
      </c>
      <c r="J2672" s="33" t="n">
        <v>9155.16</v>
      </c>
    </row>
    <row r="2673" customFormat="false" ht="15" hidden="false" customHeight="false" outlineLevel="0" collapsed="false">
      <c r="A2673" s="3" t="s">
        <v>3063</v>
      </c>
      <c r="B2673" s="3" t="s">
        <v>283</v>
      </c>
      <c r="C2673" s="3" t="s">
        <v>387</v>
      </c>
      <c r="D2673" s="3" t="s">
        <v>392</v>
      </c>
      <c r="E2673" s="3" t="s">
        <v>398</v>
      </c>
      <c r="F2673" s="16" t="n">
        <v>12</v>
      </c>
      <c r="G2673" s="15" t="n">
        <v>0.25</v>
      </c>
      <c r="H2673" s="16" t="n">
        <v>10</v>
      </c>
      <c r="I2673" s="33" t="n">
        <v>8235.96</v>
      </c>
      <c r="J2673" s="33" t="n">
        <v>10981.32</v>
      </c>
    </row>
    <row r="2674" customFormat="false" ht="15" hidden="false" customHeight="false" outlineLevel="0" collapsed="false">
      <c r="A2674" s="3" t="s">
        <v>3064</v>
      </c>
      <c r="B2674" s="3" t="s">
        <v>283</v>
      </c>
      <c r="C2674" s="3" t="s">
        <v>380</v>
      </c>
      <c r="D2674" s="3" t="s">
        <v>381</v>
      </c>
      <c r="E2674" s="3" t="s">
        <v>398</v>
      </c>
      <c r="F2674" s="16" t="n">
        <v>12</v>
      </c>
      <c r="G2674" s="15" t="n">
        <v>0</v>
      </c>
      <c r="H2674" s="16" t="n">
        <v>2</v>
      </c>
      <c r="I2674" s="33" t="n">
        <v>8229.96</v>
      </c>
      <c r="J2674" s="33" t="n">
        <v>8229.96</v>
      </c>
    </row>
    <row r="2675" customFormat="false" ht="15" hidden="false" customHeight="false" outlineLevel="0" collapsed="false">
      <c r="A2675" s="3" t="s">
        <v>3065</v>
      </c>
      <c r="B2675" s="3" t="s">
        <v>283</v>
      </c>
      <c r="C2675" s="3" t="s">
        <v>396</v>
      </c>
      <c r="D2675" s="3" t="s">
        <v>692</v>
      </c>
      <c r="E2675" s="3" t="s">
        <v>398</v>
      </c>
      <c r="F2675" s="16" t="n">
        <v>1</v>
      </c>
      <c r="G2675" s="15" t="n">
        <v>0</v>
      </c>
      <c r="H2675" s="16" t="n">
        <v>1</v>
      </c>
      <c r="I2675" s="33" t="n">
        <v>8210.52</v>
      </c>
      <c r="J2675" s="33" t="n">
        <v>8210.52</v>
      </c>
    </row>
    <row r="2676" customFormat="false" ht="15" hidden="false" customHeight="false" outlineLevel="0" collapsed="false">
      <c r="A2676" s="3" t="s">
        <v>3066</v>
      </c>
      <c r="B2676" s="3" t="s">
        <v>283</v>
      </c>
      <c r="C2676" s="3" t="s">
        <v>380</v>
      </c>
      <c r="D2676" s="3" t="s">
        <v>692</v>
      </c>
      <c r="E2676" s="3" t="s">
        <v>385</v>
      </c>
      <c r="F2676" s="16" t="n">
        <v>12</v>
      </c>
      <c r="G2676" s="15" t="n">
        <v>0</v>
      </c>
      <c r="H2676" s="16" t="n">
        <v>9</v>
      </c>
      <c r="I2676" s="33" t="n">
        <v>8191.8</v>
      </c>
      <c r="J2676" s="33" t="n">
        <v>8191.8</v>
      </c>
    </row>
    <row r="2677" customFormat="false" ht="15" hidden="false" customHeight="false" outlineLevel="0" collapsed="false">
      <c r="A2677" s="3" t="s">
        <v>3067</v>
      </c>
      <c r="B2677" s="3" t="s">
        <v>283</v>
      </c>
      <c r="C2677" s="3" t="s">
        <v>384</v>
      </c>
      <c r="D2677" s="3" t="s">
        <v>418</v>
      </c>
      <c r="E2677" s="3" t="s">
        <v>398</v>
      </c>
      <c r="F2677" s="16" t="n">
        <v>1</v>
      </c>
      <c r="G2677" s="15" t="n">
        <v>0</v>
      </c>
      <c r="H2677" s="16" t="n">
        <v>1</v>
      </c>
      <c r="I2677" s="33" t="n">
        <v>8182.2</v>
      </c>
      <c r="J2677" s="33" t="n">
        <v>8182.2</v>
      </c>
    </row>
    <row r="2678" customFormat="false" ht="15" hidden="false" customHeight="false" outlineLevel="0" collapsed="false">
      <c r="A2678" s="3" t="s">
        <v>3068</v>
      </c>
      <c r="B2678" s="3" t="s">
        <v>283</v>
      </c>
      <c r="C2678" s="3" t="s">
        <v>387</v>
      </c>
      <c r="D2678" s="3" t="s">
        <v>388</v>
      </c>
      <c r="E2678" s="3" t="s">
        <v>385</v>
      </c>
      <c r="F2678" s="16" t="n">
        <v>12</v>
      </c>
      <c r="G2678" s="15" t="n">
        <v>0</v>
      </c>
      <c r="H2678" s="16" t="n">
        <v>1</v>
      </c>
      <c r="I2678" s="33" t="n">
        <v>8181.84</v>
      </c>
      <c r="J2678" s="33" t="n">
        <v>8181.84</v>
      </c>
    </row>
    <row r="2679" customFormat="false" ht="15" hidden="false" customHeight="false" outlineLevel="0" collapsed="false">
      <c r="A2679" s="3" t="s">
        <v>3069</v>
      </c>
      <c r="B2679" s="3" t="s">
        <v>283</v>
      </c>
      <c r="C2679" s="3" t="s">
        <v>384</v>
      </c>
      <c r="D2679" s="3" t="s">
        <v>418</v>
      </c>
      <c r="E2679" s="3" t="s">
        <v>398</v>
      </c>
      <c r="F2679" s="16" t="n">
        <v>1</v>
      </c>
      <c r="G2679" s="15" t="n">
        <v>0.1</v>
      </c>
      <c r="H2679" s="16" t="n">
        <v>1</v>
      </c>
      <c r="I2679" s="33" t="n">
        <v>8167.56</v>
      </c>
      <c r="J2679" s="33" t="n">
        <v>9075.12</v>
      </c>
    </row>
    <row r="2680" customFormat="false" ht="15" hidden="false" customHeight="false" outlineLevel="0" collapsed="false">
      <c r="A2680" s="3" t="s">
        <v>3070</v>
      </c>
      <c r="B2680" s="3" t="s">
        <v>283</v>
      </c>
      <c r="C2680" s="3" t="s">
        <v>387</v>
      </c>
      <c r="D2680" s="3" t="s">
        <v>692</v>
      </c>
      <c r="E2680" s="3" t="s">
        <v>398</v>
      </c>
      <c r="F2680" s="16" t="n">
        <v>1</v>
      </c>
      <c r="G2680" s="15" t="n">
        <v>0</v>
      </c>
      <c r="H2680" s="16" t="n">
        <v>1</v>
      </c>
      <c r="I2680" s="33" t="n">
        <v>8126.52</v>
      </c>
      <c r="J2680" s="33" t="n">
        <v>8126.52</v>
      </c>
    </row>
    <row r="2681" customFormat="false" ht="15" hidden="false" customHeight="false" outlineLevel="0" collapsed="false">
      <c r="A2681" s="3" t="s">
        <v>3071</v>
      </c>
      <c r="B2681" s="3" t="s">
        <v>283</v>
      </c>
      <c r="C2681" s="3" t="s">
        <v>387</v>
      </c>
      <c r="D2681" s="3" t="s">
        <v>392</v>
      </c>
      <c r="E2681" s="3" t="s">
        <v>398</v>
      </c>
      <c r="F2681" s="16" t="n">
        <v>1</v>
      </c>
      <c r="G2681" s="15" t="n">
        <v>0</v>
      </c>
      <c r="H2681" s="16" t="n">
        <v>1</v>
      </c>
      <c r="I2681" s="33" t="n">
        <v>8126.04</v>
      </c>
      <c r="J2681" s="33" t="n">
        <v>8126.04</v>
      </c>
    </row>
    <row r="2682" customFormat="false" ht="15" hidden="false" customHeight="false" outlineLevel="0" collapsed="false">
      <c r="A2682" s="3" t="s">
        <v>3072</v>
      </c>
      <c r="B2682" s="3" t="s">
        <v>283</v>
      </c>
      <c r="C2682" s="3" t="s">
        <v>403</v>
      </c>
      <c r="D2682" s="3" t="s">
        <v>388</v>
      </c>
      <c r="E2682" s="3" t="s">
        <v>382</v>
      </c>
      <c r="F2682" s="16" t="n">
        <v>12</v>
      </c>
      <c r="G2682" s="15" t="n">
        <v>0.1</v>
      </c>
      <c r="H2682" s="16" t="n">
        <v>4</v>
      </c>
      <c r="I2682" s="33" t="n">
        <v>8119.32</v>
      </c>
      <c r="J2682" s="33" t="n">
        <v>9021.48</v>
      </c>
    </row>
    <row r="2683" customFormat="false" ht="15" hidden="false" customHeight="false" outlineLevel="0" collapsed="false">
      <c r="A2683" s="3" t="s">
        <v>3073</v>
      </c>
      <c r="B2683" s="3" t="s">
        <v>283</v>
      </c>
      <c r="C2683" s="3" t="s">
        <v>384</v>
      </c>
      <c r="D2683" s="3" t="s">
        <v>418</v>
      </c>
      <c r="E2683" s="3" t="s">
        <v>398</v>
      </c>
      <c r="F2683" s="16" t="n">
        <v>1</v>
      </c>
      <c r="G2683" s="15" t="n">
        <v>0</v>
      </c>
      <c r="H2683" s="16" t="n">
        <v>1</v>
      </c>
      <c r="I2683" s="33" t="n">
        <v>8114.4</v>
      </c>
      <c r="J2683" s="33" t="n">
        <v>8114.4</v>
      </c>
    </row>
    <row r="2684" customFormat="false" ht="15" hidden="false" customHeight="false" outlineLevel="0" collapsed="false">
      <c r="A2684" s="3" t="s">
        <v>3074</v>
      </c>
      <c r="B2684" s="3" t="s">
        <v>283</v>
      </c>
      <c r="C2684" s="3" t="s">
        <v>401</v>
      </c>
      <c r="D2684" s="3" t="s">
        <v>692</v>
      </c>
      <c r="E2684" s="3" t="s">
        <v>385</v>
      </c>
      <c r="F2684" s="16" t="n">
        <v>1</v>
      </c>
      <c r="G2684" s="15" t="n">
        <v>0</v>
      </c>
      <c r="H2684" s="16" t="n">
        <v>1</v>
      </c>
      <c r="I2684" s="33" t="n">
        <v>8110.44</v>
      </c>
      <c r="J2684" s="33" t="n">
        <v>8110.44</v>
      </c>
    </row>
    <row r="2685" customFormat="false" ht="15" hidden="false" customHeight="false" outlineLevel="0" collapsed="false">
      <c r="A2685" s="3" t="s">
        <v>3075</v>
      </c>
      <c r="B2685" s="3" t="s">
        <v>283</v>
      </c>
      <c r="C2685" s="3" t="s">
        <v>396</v>
      </c>
      <c r="D2685" s="3" t="s">
        <v>692</v>
      </c>
      <c r="E2685" s="3" t="s">
        <v>398</v>
      </c>
      <c r="F2685" s="16" t="n">
        <v>1</v>
      </c>
      <c r="G2685" s="15" t="n">
        <v>0</v>
      </c>
      <c r="H2685" s="16" t="n">
        <v>1</v>
      </c>
      <c r="I2685" s="33" t="n">
        <v>8108.64</v>
      </c>
      <c r="J2685" s="33" t="n">
        <v>8108.64</v>
      </c>
    </row>
    <row r="2686" customFormat="false" ht="15" hidden="false" customHeight="false" outlineLevel="0" collapsed="false">
      <c r="A2686" s="3" t="s">
        <v>3076</v>
      </c>
      <c r="B2686" s="3" t="s">
        <v>283</v>
      </c>
      <c r="C2686" s="3" t="s">
        <v>401</v>
      </c>
      <c r="D2686" s="3" t="s">
        <v>388</v>
      </c>
      <c r="E2686" s="3" t="s">
        <v>398</v>
      </c>
      <c r="F2686" s="16" t="n">
        <v>12</v>
      </c>
      <c r="G2686" s="15" t="n">
        <v>0.1</v>
      </c>
      <c r="H2686" s="16" t="n">
        <v>9</v>
      </c>
      <c r="I2686" s="33" t="n">
        <v>8108.28</v>
      </c>
      <c r="J2686" s="33" t="n">
        <v>9009.12</v>
      </c>
    </row>
    <row r="2687" customFormat="false" ht="15" hidden="false" customHeight="false" outlineLevel="0" collapsed="false">
      <c r="A2687" s="3" t="s">
        <v>3077</v>
      </c>
      <c r="B2687" s="3" t="s">
        <v>283</v>
      </c>
      <c r="C2687" s="3" t="s">
        <v>387</v>
      </c>
      <c r="D2687" s="3" t="s">
        <v>392</v>
      </c>
      <c r="E2687" s="3" t="s">
        <v>398</v>
      </c>
      <c r="F2687" s="16" t="n">
        <v>12</v>
      </c>
      <c r="G2687" s="15" t="n">
        <v>0</v>
      </c>
      <c r="H2687" s="16" t="n">
        <v>7</v>
      </c>
      <c r="I2687" s="33" t="n">
        <v>8073.12</v>
      </c>
      <c r="J2687" s="33" t="n">
        <v>8073.12</v>
      </c>
    </row>
    <row r="2688" customFormat="false" ht="15" hidden="false" customHeight="false" outlineLevel="0" collapsed="false">
      <c r="A2688" s="3" t="s">
        <v>3078</v>
      </c>
      <c r="B2688" s="3" t="s">
        <v>283</v>
      </c>
      <c r="C2688" s="3" t="s">
        <v>405</v>
      </c>
      <c r="D2688" s="3" t="s">
        <v>392</v>
      </c>
      <c r="E2688" s="3" t="s">
        <v>398</v>
      </c>
      <c r="F2688" s="16" t="n">
        <v>1</v>
      </c>
      <c r="G2688" s="15" t="n">
        <v>0</v>
      </c>
      <c r="H2688" s="16" t="n">
        <v>1</v>
      </c>
      <c r="I2688" s="33" t="n">
        <v>8071.44</v>
      </c>
      <c r="J2688" s="33" t="n">
        <v>8071.44</v>
      </c>
    </row>
    <row r="2689" customFormat="false" ht="15" hidden="false" customHeight="false" outlineLevel="0" collapsed="false">
      <c r="A2689" s="3" t="s">
        <v>3079</v>
      </c>
      <c r="B2689" s="3" t="s">
        <v>283</v>
      </c>
      <c r="C2689" s="3" t="s">
        <v>403</v>
      </c>
      <c r="D2689" s="3" t="s">
        <v>381</v>
      </c>
      <c r="E2689" s="3" t="s">
        <v>398</v>
      </c>
      <c r="F2689" s="16" t="n">
        <v>1</v>
      </c>
      <c r="G2689" s="15" t="n">
        <v>0</v>
      </c>
      <c r="H2689" s="16" t="n">
        <v>1</v>
      </c>
      <c r="I2689" s="33" t="n">
        <v>8071.2</v>
      </c>
      <c r="J2689" s="33" t="n">
        <v>8071.2</v>
      </c>
    </row>
    <row r="2690" customFormat="false" ht="15" hidden="false" customHeight="false" outlineLevel="0" collapsed="false">
      <c r="A2690" s="3" t="s">
        <v>3080</v>
      </c>
      <c r="B2690" s="3" t="s">
        <v>283</v>
      </c>
      <c r="C2690" s="3" t="s">
        <v>405</v>
      </c>
      <c r="D2690" s="3" t="s">
        <v>388</v>
      </c>
      <c r="E2690" s="3" t="s">
        <v>398</v>
      </c>
      <c r="F2690" s="16" t="n">
        <v>1</v>
      </c>
      <c r="G2690" s="15" t="n">
        <v>0</v>
      </c>
      <c r="H2690" s="16" t="n">
        <v>1</v>
      </c>
      <c r="I2690" s="33" t="n">
        <v>8064.6</v>
      </c>
      <c r="J2690" s="33" t="n">
        <v>8064.6</v>
      </c>
    </row>
    <row r="2691" customFormat="false" ht="15" hidden="false" customHeight="false" outlineLevel="0" collapsed="false">
      <c r="A2691" s="3" t="s">
        <v>3081</v>
      </c>
      <c r="B2691" s="3" t="s">
        <v>283</v>
      </c>
      <c r="C2691" s="3" t="s">
        <v>405</v>
      </c>
      <c r="D2691" s="3" t="s">
        <v>692</v>
      </c>
      <c r="E2691" s="3" t="s">
        <v>382</v>
      </c>
      <c r="F2691" s="16" t="n">
        <v>1</v>
      </c>
      <c r="G2691" s="15" t="n">
        <v>0</v>
      </c>
      <c r="H2691" s="16" t="n">
        <v>1</v>
      </c>
      <c r="I2691" s="33" t="n">
        <v>8060.04</v>
      </c>
      <c r="J2691" s="33" t="n">
        <v>8060.04</v>
      </c>
    </row>
    <row r="2692" customFormat="false" ht="15" hidden="false" customHeight="false" outlineLevel="0" collapsed="false">
      <c r="A2692" s="3" t="s">
        <v>3082</v>
      </c>
      <c r="B2692" s="3" t="s">
        <v>283</v>
      </c>
      <c r="C2692" s="3" t="s">
        <v>403</v>
      </c>
      <c r="D2692" s="3" t="s">
        <v>392</v>
      </c>
      <c r="E2692" s="3" t="s">
        <v>382</v>
      </c>
      <c r="F2692" s="16" t="n">
        <v>1</v>
      </c>
      <c r="G2692" s="15" t="n">
        <v>0.1</v>
      </c>
      <c r="H2692" s="16" t="n">
        <v>1</v>
      </c>
      <c r="I2692" s="33" t="n">
        <v>8053.08</v>
      </c>
      <c r="J2692" s="33" t="n">
        <v>8947.92</v>
      </c>
    </row>
    <row r="2693" customFormat="false" ht="15" hidden="false" customHeight="false" outlineLevel="0" collapsed="false">
      <c r="A2693" s="3" t="s">
        <v>3083</v>
      </c>
      <c r="B2693" s="3" t="s">
        <v>283</v>
      </c>
      <c r="C2693" s="3" t="s">
        <v>387</v>
      </c>
      <c r="D2693" s="3" t="s">
        <v>392</v>
      </c>
      <c r="E2693" s="3" t="s">
        <v>398</v>
      </c>
      <c r="F2693" s="16" t="n">
        <v>1</v>
      </c>
      <c r="G2693" s="15" t="n">
        <v>0</v>
      </c>
      <c r="H2693" s="16" t="n">
        <v>1</v>
      </c>
      <c r="I2693" s="33" t="n">
        <v>8051.16</v>
      </c>
      <c r="J2693" s="33" t="n">
        <v>8051.16</v>
      </c>
    </row>
    <row r="2694" customFormat="false" ht="15" hidden="false" customHeight="false" outlineLevel="0" collapsed="false">
      <c r="A2694" s="3" t="s">
        <v>3084</v>
      </c>
      <c r="B2694" s="3" t="s">
        <v>283</v>
      </c>
      <c r="C2694" s="3" t="s">
        <v>396</v>
      </c>
      <c r="D2694" s="3" t="s">
        <v>692</v>
      </c>
      <c r="E2694" s="3" t="s">
        <v>398</v>
      </c>
      <c r="F2694" s="16" t="n">
        <v>1</v>
      </c>
      <c r="G2694" s="15" t="n">
        <v>0</v>
      </c>
      <c r="H2694" s="16" t="n">
        <v>1</v>
      </c>
      <c r="I2694" s="33" t="n">
        <v>8048.52</v>
      </c>
      <c r="J2694" s="33" t="n">
        <v>8048.52</v>
      </c>
    </row>
    <row r="2695" customFormat="false" ht="15" hidden="false" customHeight="false" outlineLevel="0" collapsed="false">
      <c r="A2695" s="3" t="s">
        <v>3085</v>
      </c>
      <c r="B2695" s="3" t="s">
        <v>283</v>
      </c>
      <c r="C2695" s="3" t="s">
        <v>380</v>
      </c>
      <c r="D2695" s="3" t="s">
        <v>692</v>
      </c>
      <c r="E2695" s="3" t="s">
        <v>385</v>
      </c>
      <c r="F2695" s="16" t="n">
        <v>12</v>
      </c>
      <c r="G2695" s="15" t="n">
        <v>0.1</v>
      </c>
      <c r="H2695" s="16" t="n">
        <v>5</v>
      </c>
      <c r="I2695" s="33" t="n">
        <v>8044.68</v>
      </c>
      <c r="J2695" s="33" t="n">
        <v>8938.44</v>
      </c>
    </row>
    <row r="2696" customFormat="false" ht="15" hidden="false" customHeight="false" outlineLevel="0" collapsed="false">
      <c r="A2696" s="3" t="s">
        <v>3086</v>
      </c>
      <c r="B2696" s="3" t="s">
        <v>283</v>
      </c>
      <c r="C2696" s="3" t="s">
        <v>396</v>
      </c>
      <c r="D2696" s="3" t="s">
        <v>418</v>
      </c>
      <c r="E2696" s="3" t="s">
        <v>398</v>
      </c>
      <c r="F2696" s="16" t="n">
        <v>1</v>
      </c>
      <c r="G2696" s="15" t="n">
        <v>0</v>
      </c>
      <c r="H2696" s="16" t="n">
        <v>1</v>
      </c>
      <c r="I2696" s="33" t="n">
        <v>8033.76</v>
      </c>
      <c r="J2696" s="33" t="n">
        <v>8033.76</v>
      </c>
    </row>
    <row r="2697" customFormat="false" ht="15" hidden="false" customHeight="false" outlineLevel="0" collapsed="false">
      <c r="A2697" s="3" t="s">
        <v>3087</v>
      </c>
      <c r="B2697" s="3" t="s">
        <v>283</v>
      </c>
      <c r="C2697" s="3" t="s">
        <v>384</v>
      </c>
      <c r="D2697" s="3" t="s">
        <v>418</v>
      </c>
      <c r="E2697" s="3" t="s">
        <v>398</v>
      </c>
      <c r="F2697" s="16" t="n">
        <v>1</v>
      </c>
      <c r="G2697" s="15" t="n">
        <v>0</v>
      </c>
      <c r="H2697" s="16" t="n">
        <v>1</v>
      </c>
      <c r="I2697" s="33" t="n">
        <v>8033.4</v>
      </c>
      <c r="J2697" s="33" t="n">
        <v>8033.4</v>
      </c>
    </row>
    <row r="2698" customFormat="false" ht="15" hidden="false" customHeight="false" outlineLevel="0" collapsed="false">
      <c r="A2698" s="3" t="s">
        <v>3088</v>
      </c>
      <c r="B2698" s="3" t="s">
        <v>283</v>
      </c>
      <c r="C2698" s="3" t="s">
        <v>380</v>
      </c>
      <c r="D2698" s="3" t="s">
        <v>381</v>
      </c>
      <c r="E2698" s="3" t="s">
        <v>382</v>
      </c>
      <c r="F2698" s="16" t="n">
        <v>1</v>
      </c>
      <c r="G2698" s="15" t="n">
        <v>0</v>
      </c>
      <c r="H2698" s="16" t="n">
        <v>1</v>
      </c>
      <c r="I2698" s="33" t="n">
        <v>8016.84</v>
      </c>
      <c r="J2698" s="33" t="n">
        <v>8016.84</v>
      </c>
    </row>
    <row r="2699" customFormat="false" ht="15" hidden="false" customHeight="false" outlineLevel="0" collapsed="false">
      <c r="A2699" s="3" t="s">
        <v>3089</v>
      </c>
      <c r="B2699" s="3" t="s">
        <v>283</v>
      </c>
      <c r="C2699" s="3" t="s">
        <v>380</v>
      </c>
      <c r="D2699" s="3" t="s">
        <v>418</v>
      </c>
      <c r="E2699" s="3" t="s">
        <v>382</v>
      </c>
      <c r="F2699" s="16" t="n">
        <v>12</v>
      </c>
      <c r="G2699" s="15" t="n">
        <v>0</v>
      </c>
      <c r="H2699" s="16" t="n">
        <v>6</v>
      </c>
      <c r="I2699" s="33" t="n">
        <v>7996.32</v>
      </c>
      <c r="J2699" s="33" t="n">
        <v>7996.32</v>
      </c>
    </row>
    <row r="2700" customFormat="false" ht="15" hidden="false" customHeight="false" outlineLevel="0" collapsed="false">
      <c r="A2700" s="3" t="s">
        <v>3090</v>
      </c>
      <c r="B2700" s="3" t="s">
        <v>283</v>
      </c>
      <c r="C2700" s="3" t="s">
        <v>384</v>
      </c>
      <c r="D2700" s="3" t="s">
        <v>392</v>
      </c>
      <c r="E2700" s="3" t="s">
        <v>398</v>
      </c>
      <c r="F2700" s="16" t="n">
        <v>12</v>
      </c>
      <c r="G2700" s="15" t="n">
        <v>0</v>
      </c>
      <c r="H2700" s="16" t="n">
        <v>10</v>
      </c>
      <c r="I2700" s="33" t="n">
        <v>7996.08</v>
      </c>
      <c r="J2700" s="33" t="n">
        <v>7996.08</v>
      </c>
    </row>
    <row r="2701" customFormat="false" ht="15" hidden="false" customHeight="false" outlineLevel="0" collapsed="false">
      <c r="A2701" s="3" t="s">
        <v>3091</v>
      </c>
      <c r="B2701" s="3" t="s">
        <v>283</v>
      </c>
      <c r="C2701" s="3" t="s">
        <v>403</v>
      </c>
      <c r="D2701" s="3" t="s">
        <v>392</v>
      </c>
      <c r="E2701" s="3" t="s">
        <v>382</v>
      </c>
      <c r="F2701" s="16" t="n">
        <v>12</v>
      </c>
      <c r="G2701" s="15" t="n">
        <v>0</v>
      </c>
      <c r="H2701" s="16" t="n">
        <v>7</v>
      </c>
      <c r="I2701" s="33" t="n">
        <v>7990.56</v>
      </c>
      <c r="J2701" s="33" t="n">
        <v>7990.56</v>
      </c>
    </row>
    <row r="2702" customFormat="false" ht="15" hidden="false" customHeight="false" outlineLevel="0" collapsed="false">
      <c r="A2702" s="3" t="s">
        <v>3092</v>
      </c>
      <c r="B2702" s="3" t="s">
        <v>283</v>
      </c>
      <c r="C2702" s="3" t="s">
        <v>396</v>
      </c>
      <c r="D2702" s="3" t="s">
        <v>692</v>
      </c>
      <c r="E2702" s="3" t="s">
        <v>382</v>
      </c>
      <c r="F2702" s="16" t="n">
        <v>1</v>
      </c>
      <c r="G2702" s="15" t="n">
        <v>0</v>
      </c>
      <c r="H2702" s="16" t="n">
        <v>1</v>
      </c>
      <c r="I2702" s="33" t="n">
        <v>7976.16</v>
      </c>
      <c r="J2702" s="33" t="n">
        <v>7976.16</v>
      </c>
    </row>
    <row r="2703" customFormat="false" ht="15" hidden="false" customHeight="false" outlineLevel="0" collapsed="false">
      <c r="A2703" s="3" t="s">
        <v>3093</v>
      </c>
      <c r="B2703" s="3" t="s">
        <v>283</v>
      </c>
      <c r="C2703" s="3" t="s">
        <v>405</v>
      </c>
      <c r="D2703" s="3" t="s">
        <v>392</v>
      </c>
      <c r="E2703" s="3" t="s">
        <v>385</v>
      </c>
      <c r="F2703" s="16" t="n">
        <v>1</v>
      </c>
      <c r="G2703" s="15" t="n">
        <v>0</v>
      </c>
      <c r="H2703" s="16" t="n">
        <v>1</v>
      </c>
      <c r="I2703" s="33" t="n">
        <v>7962.6</v>
      </c>
      <c r="J2703" s="33" t="n">
        <v>7962.6</v>
      </c>
    </row>
    <row r="2704" customFormat="false" ht="15" hidden="false" customHeight="false" outlineLevel="0" collapsed="false">
      <c r="A2704" s="3" t="s">
        <v>3094</v>
      </c>
      <c r="B2704" s="3" t="s">
        <v>283</v>
      </c>
      <c r="C2704" s="3" t="s">
        <v>384</v>
      </c>
      <c r="D2704" s="3" t="s">
        <v>418</v>
      </c>
      <c r="E2704" s="3" t="s">
        <v>398</v>
      </c>
      <c r="F2704" s="16" t="n">
        <v>1</v>
      </c>
      <c r="G2704" s="15" t="n">
        <v>0.1</v>
      </c>
      <c r="H2704" s="16" t="n">
        <v>1</v>
      </c>
      <c r="I2704" s="33" t="n">
        <v>7959.6</v>
      </c>
      <c r="J2704" s="33" t="n">
        <v>8844</v>
      </c>
    </row>
    <row r="2705" customFormat="false" ht="15" hidden="false" customHeight="false" outlineLevel="0" collapsed="false">
      <c r="A2705" s="3" t="s">
        <v>3095</v>
      </c>
      <c r="B2705" s="3" t="s">
        <v>283</v>
      </c>
      <c r="C2705" s="3" t="s">
        <v>396</v>
      </c>
      <c r="D2705" s="3" t="s">
        <v>692</v>
      </c>
      <c r="E2705" s="3" t="s">
        <v>398</v>
      </c>
      <c r="F2705" s="16" t="n">
        <v>1</v>
      </c>
      <c r="G2705" s="15" t="n">
        <v>0</v>
      </c>
      <c r="H2705" s="16" t="n">
        <v>1</v>
      </c>
      <c r="I2705" s="33" t="n">
        <v>7958.04</v>
      </c>
      <c r="J2705" s="33" t="n">
        <v>7958.04</v>
      </c>
    </row>
    <row r="2706" customFormat="false" ht="15" hidden="false" customHeight="false" outlineLevel="0" collapsed="false">
      <c r="A2706" s="3" t="s">
        <v>3096</v>
      </c>
      <c r="B2706" s="3" t="s">
        <v>283</v>
      </c>
      <c r="C2706" s="3" t="s">
        <v>401</v>
      </c>
      <c r="D2706" s="3" t="s">
        <v>392</v>
      </c>
      <c r="E2706" s="3" t="s">
        <v>382</v>
      </c>
      <c r="F2706" s="16" t="n">
        <v>12</v>
      </c>
      <c r="G2706" s="15" t="n">
        <v>0</v>
      </c>
      <c r="H2706" s="16" t="n">
        <v>4</v>
      </c>
      <c r="I2706" s="33" t="n">
        <v>7951.08</v>
      </c>
      <c r="J2706" s="33" t="n">
        <v>7951.08</v>
      </c>
    </row>
    <row r="2707" customFormat="false" ht="15" hidden="false" customHeight="false" outlineLevel="0" collapsed="false">
      <c r="A2707" s="3" t="s">
        <v>3097</v>
      </c>
      <c r="B2707" s="3" t="s">
        <v>283</v>
      </c>
      <c r="C2707" s="3" t="s">
        <v>396</v>
      </c>
      <c r="D2707" s="3" t="s">
        <v>692</v>
      </c>
      <c r="E2707" s="3" t="s">
        <v>398</v>
      </c>
      <c r="F2707" s="16" t="n">
        <v>12</v>
      </c>
      <c r="G2707" s="15" t="n">
        <v>0</v>
      </c>
      <c r="H2707" s="16" t="n">
        <v>1</v>
      </c>
      <c r="I2707" s="33" t="n">
        <v>7947.48</v>
      </c>
      <c r="J2707" s="33" t="n">
        <v>7947.48</v>
      </c>
    </row>
    <row r="2708" customFormat="false" ht="15" hidden="false" customHeight="false" outlineLevel="0" collapsed="false">
      <c r="A2708" s="3" t="s">
        <v>3098</v>
      </c>
      <c r="B2708" s="3" t="s">
        <v>283</v>
      </c>
      <c r="C2708" s="3" t="s">
        <v>387</v>
      </c>
      <c r="D2708" s="3" t="s">
        <v>392</v>
      </c>
      <c r="E2708" s="3" t="s">
        <v>385</v>
      </c>
      <c r="F2708" s="16" t="n">
        <v>1</v>
      </c>
      <c r="G2708" s="15" t="n">
        <v>0</v>
      </c>
      <c r="H2708" s="16" t="n">
        <v>1</v>
      </c>
      <c r="I2708" s="33" t="n">
        <v>7935</v>
      </c>
      <c r="J2708" s="33" t="n">
        <v>7935</v>
      </c>
    </row>
    <row r="2709" customFormat="false" ht="15" hidden="false" customHeight="false" outlineLevel="0" collapsed="false">
      <c r="A2709" s="3" t="s">
        <v>3099</v>
      </c>
      <c r="B2709" s="3" t="s">
        <v>283</v>
      </c>
      <c r="C2709" s="3" t="s">
        <v>401</v>
      </c>
      <c r="D2709" s="3" t="s">
        <v>692</v>
      </c>
      <c r="E2709" s="3" t="s">
        <v>382</v>
      </c>
      <c r="F2709" s="16" t="n">
        <v>12</v>
      </c>
      <c r="G2709" s="15" t="n">
        <v>0</v>
      </c>
      <c r="H2709" s="16" t="n">
        <v>5</v>
      </c>
      <c r="I2709" s="33" t="n">
        <v>7933.68</v>
      </c>
      <c r="J2709" s="33" t="n">
        <v>7933.68</v>
      </c>
    </row>
    <row r="2710" customFormat="false" ht="15" hidden="false" customHeight="false" outlineLevel="0" collapsed="false">
      <c r="A2710" s="3" t="s">
        <v>3100</v>
      </c>
      <c r="B2710" s="3" t="s">
        <v>283</v>
      </c>
      <c r="C2710" s="3" t="s">
        <v>405</v>
      </c>
      <c r="D2710" s="3" t="s">
        <v>392</v>
      </c>
      <c r="E2710" s="3" t="s">
        <v>398</v>
      </c>
      <c r="F2710" s="16" t="n">
        <v>1</v>
      </c>
      <c r="G2710" s="15" t="n">
        <v>0</v>
      </c>
      <c r="H2710" s="16" t="n">
        <v>1</v>
      </c>
      <c r="I2710" s="33" t="n">
        <v>7928.76</v>
      </c>
      <c r="J2710" s="33" t="n">
        <v>7928.76</v>
      </c>
    </row>
    <row r="2711" customFormat="false" ht="15" hidden="false" customHeight="false" outlineLevel="0" collapsed="false">
      <c r="A2711" s="3" t="s">
        <v>3101</v>
      </c>
      <c r="B2711" s="3" t="s">
        <v>283</v>
      </c>
      <c r="C2711" s="3" t="s">
        <v>403</v>
      </c>
      <c r="D2711" s="3" t="s">
        <v>381</v>
      </c>
      <c r="E2711" s="3" t="s">
        <v>398</v>
      </c>
      <c r="F2711" s="16" t="n">
        <v>12</v>
      </c>
      <c r="G2711" s="15" t="n">
        <v>0</v>
      </c>
      <c r="H2711" s="16" t="n">
        <v>5</v>
      </c>
      <c r="I2711" s="33" t="n">
        <v>7925.4</v>
      </c>
      <c r="J2711" s="33" t="n">
        <v>7925.4</v>
      </c>
    </row>
    <row r="2712" customFormat="false" ht="15" hidden="false" customHeight="false" outlineLevel="0" collapsed="false">
      <c r="A2712" s="3" t="s">
        <v>3102</v>
      </c>
      <c r="B2712" s="3" t="s">
        <v>283</v>
      </c>
      <c r="C2712" s="3" t="s">
        <v>387</v>
      </c>
      <c r="D2712" s="3" t="s">
        <v>392</v>
      </c>
      <c r="E2712" s="3" t="s">
        <v>398</v>
      </c>
      <c r="F2712" s="16" t="n">
        <v>12</v>
      </c>
      <c r="G2712" s="15" t="n">
        <v>0</v>
      </c>
      <c r="H2712" s="16" t="n">
        <v>7</v>
      </c>
      <c r="I2712" s="33" t="n">
        <v>7920.96</v>
      </c>
      <c r="J2712" s="33" t="n">
        <v>7920.96</v>
      </c>
    </row>
    <row r="2713" customFormat="false" ht="15" hidden="false" customHeight="false" outlineLevel="0" collapsed="false">
      <c r="A2713" s="3" t="s">
        <v>3103</v>
      </c>
      <c r="B2713" s="3" t="s">
        <v>283</v>
      </c>
      <c r="C2713" s="3" t="s">
        <v>403</v>
      </c>
      <c r="D2713" s="3" t="s">
        <v>418</v>
      </c>
      <c r="E2713" s="3" t="s">
        <v>398</v>
      </c>
      <c r="F2713" s="16" t="n">
        <v>12</v>
      </c>
      <c r="G2713" s="15" t="n">
        <v>0</v>
      </c>
      <c r="H2713" s="16" t="n">
        <v>1</v>
      </c>
      <c r="I2713" s="33" t="n">
        <v>7916.4</v>
      </c>
      <c r="J2713" s="33" t="n">
        <v>7916.4</v>
      </c>
    </row>
    <row r="2714" customFormat="false" ht="15" hidden="false" customHeight="false" outlineLevel="0" collapsed="false">
      <c r="A2714" s="3" t="s">
        <v>3104</v>
      </c>
      <c r="B2714" s="3" t="s">
        <v>283</v>
      </c>
      <c r="C2714" s="3" t="s">
        <v>396</v>
      </c>
      <c r="D2714" s="3" t="s">
        <v>418</v>
      </c>
      <c r="E2714" s="3" t="s">
        <v>398</v>
      </c>
      <c r="F2714" s="16" t="n">
        <v>12</v>
      </c>
      <c r="G2714" s="15" t="n">
        <v>0.25</v>
      </c>
      <c r="H2714" s="16" t="n">
        <v>7</v>
      </c>
      <c r="I2714" s="33" t="n">
        <v>7905.36</v>
      </c>
      <c r="J2714" s="33" t="n">
        <v>10540.44</v>
      </c>
    </row>
    <row r="2715" customFormat="false" ht="15" hidden="false" customHeight="false" outlineLevel="0" collapsed="false">
      <c r="A2715" s="3" t="s">
        <v>3105</v>
      </c>
      <c r="B2715" s="3" t="s">
        <v>283</v>
      </c>
      <c r="C2715" s="3" t="s">
        <v>387</v>
      </c>
      <c r="D2715" s="3" t="s">
        <v>392</v>
      </c>
      <c r="E2715" s="3" t="s">
        <v>398</v>
      </c>
      <c r="F2715" s="16" t="n">
        <v>12</v>
      </c>
      <c r="G2715" s="15" t="n">
        <v>0.05</v>
      </c>
      <c r="H2715" s="16" t="n">
        <v>1</v>
      </c>
      <c r="I2715" s="33" t="n">
        <v>7899.6</v>
      </c>
      <c r="J2715" s="33" t="n">
        <v>8315.4</v>
      </c>
    </row>
    <row r="2716" customFormat="false" ht="15" hidden="false" customHeight="false" outlineLevel="0" collapsed="false">
      <c r="A2716" s="3" t="s">
        <v>3106</v>
      </c>
      <c r="B2716" s="3" t="s">
        <v>283</v>
      </c>
      <c r="C2716" s="3" t="s">
        <v>396</v>
      </c>
      <c r="D2716" s="3" t="s">
        <v>381</v>
      </c>
      <c r="E2716" s="3" t="s">
        <v>398</v>
      </c>
      <c r="F2716" s="16" t="n">
        <v>12</v>
      </c>
      <c r="G2716" s="15" t="n">
        <v>0</v>
      </c>
      <c r="H2716" s="16" t="n">
        <v>4</v>
      </c>
      <c r="I2716" s="33" t="n">
        <v>7896.6</v>
      </c>
      <c r="J2716" s="33" t="n">
        <v>7896.6</v>
      </c>
    </row>
    <row r="2717" customFormat="false" ht="15" hidden="false" customHeight="false" outlineLevel="0" collapsed="false">
      <c r="A2717" s="3" t="s">
        <v>3107</v>
      </c>
      <c r="B2717" s="3" t="s">
        <v>283</v>
      </c>
      <c r="C2717" s="3" t="s">
        <v>403</v>
      </c>
      <c r="D2717" s="3" t="s">
        <v>388</v>
      </c>
      <c r="E2717" s="3" t="s">
        <v>398</v>
      </c>
      <c r="F2717" s="16" t="n">
        <v>12</v>
      </c>
      <c r="G2717" s="15" t="n">
        <v>0.05</v>
      </c>
      <c r="H2717" s="16" t="n">
        <v>8</v>
      </c>
      <c r="I2717" s="33" t="n">
        <v>7894.8</v>
      </c>
      <c r="J2717" s="33" t="n">
        <v>8310.36</v>
      </c>
    </row>
    <row r="2718" customFormat="false" ht="15" hidden="false" customHeight="false" outlineLevel="0" collapsed="false">
      <c r="A2718" s="3" t="s">
        <v>3108</v>
      </c>
      <c r="B2718" s="3" t="s">
        <v>283</v>
      </c>
      <c r="C2718" s="3" t="s">
        <v>401</v>
      </c>
      <c r="D2718" s="3" t="s">
        <v>392</v>
      </c>
      <c r="E2718" s="3" t="s">
        <v>398</v>
      </c>
      <c r="F2718" s="16" t="n">
        <v>12</v>
      </c>
      <c r="G2718" s="15" t="n">
        <v>0</v>
      </c>
      <c r="H2718" s="16" t="n">
        <v>6</v>
      </c>
      <c r="I2718" s="33" t="n">
        <v>7890.12</v>
      </c>
      <c r="J2718" s="33" t="n">
        <v>7890.12</v>
      </c>
    </row>
    <row r="2719" customFormat="false" ht="15" hidden="false" customHeight="false" outlineLevel="0" collapsed="false">
      <c r="A2719" s="3" t="s">
        <v>3109</v>
      </c>
      <c r="B2719" s="3" t="s">
        <v>283</v>
      </c>
      <c r="C2719" s="3" t="s">
        <v>396</v>
      </c>
      <c r="D2719" s="3" t="s">
        <v>418</v>
      </c>
      <c r="E2719" s="3" t="s">
        <v>398</v>
      </c>
      <c r="F2719" s="16" t="n">
        <v>12</v>
      </c>
      <c r="G2719" s="15" t="n">
        <v>0.15</v>
      </c>
      <c r="H2719" s="16" t="n">
        <v>7</v>
      </c>
      <c r="I2719" s="33" t="n">
        <v>7884.24</v>
      </c>
      <c r="J2719" s="33" t="n">
        <v>9275.52</v>
      </c>
    </row>
    <row r="2720" customFormat="false" ht="15" hidden="false" customHeight="false" outlineLevel="0" collapsed="false">
      <c r="A2720" s="3" t="s">
        <v>3110</v>
      </c>
      <c r="B2720" s="3" t="s">
        <v>283</v>
      </c>
      <c r="C2720" s="3" t="s">
        <v>401</v>
      </c>
      <c r="D2720" s="3" t="s">
        <v>381</v>
      </c>
      <c r="E2720" s="3" t="s">
        <v>398</v>
      </c>
      <c r="F2720" s="16" t="n">
        <v>1</v>
      </c>
      <c r="G2720" s="15" t="n">
        <v>0</v>
      </c>
      <c r="H2720" s="16" t="n">
        <v>1</v>
      </c>
      <c r="I2720" s="33" t="n">
        <v>7883.64</v>
      </c>
      <c r="J2720" s="33" t="n">
        <v>7883.64</v>
      </c>
    </row>
    <row r="2721" customFormat="false" ht="15" hidden="false" customHeight="false" outlineLevel="0" collapsed="false">
      <c r="A2721" s="3" t="s">
        <v>3111</v>
      </c>
      <c r="B2721" s="3" t="s">
        <v>283</v>
      </c>
      <c r="C2721" s="3" t="s">
        <v>401</v>
      </c>
      <c r="D2721" s="3" t="s">
        <v>388</v>
      </c>
      <c r="E2721" s="3" t="s">
        <v>398</v>
      </c>
      <c r="F2721" s="16" t="n">
        <v>1</v>
      </c>
      <c r="G2721" s="15" t="n">
        <v>0</v>
      </c>
      <c r="H2721" s="16" t="n">
        <v>1</v>
      </c>
      <c r="I2721" s="33" t="n">
        <v>7875.36</v>
      </c>
      <c r="J2721" s="33" t="n">
        <v>7875.36</v>
      </c>
    </row>
    <row r="2722" customFormat="false" ht="15" hidden="false" customHeight="false" outlineLevel="0" collapsed="false">
      <c r="A2722" s="3" t="s">
        <v>3112</v>
      </c>
      <c r="B2722" s="3" t="s">
        <v>283</v>
      </c>
      <c r="C2722" s="3" t="s">
        <v>396</v>
      </c>
      <c r="D2722" s="3" t="s">
        <v>692</v>
      </c>
      <c r="E2722" s="3" t="s">
        <v>382</v>
      </c>
      <c r="F2722" s="16" t="n">
        <v>1</v>
      </c>
      <c r="G2722" s="15" t="n">
        <v>0</v>
      </c>
      <c r="H2722" s="16" t="n">
        <v>1</v>
      </c>
      <c r="I2722" s="33" t="n">
        <v>7873.2</v>
      </c>
      <c r="J2722" s="33" t="n">
        <v>7873.2</v>
      </c>
    </row>
    <row r="2723" customFormat="false" ht="15" hidden="false" customHeight="false" outlineLevel="0" collapsed="false">
      <c r="A2723" s="3" t="s">
        <v>3113</v>
      </c>
      <c r="B2723" s="3" t="s">
        <v>283</v>
      </c>
      <c r="C2723" s="3" t="s">
        <v>403</v>
      </c>
      <c r="D2723" s="3" t="s">
        <v>388</v>
      </c>
      <c r="E2723" s="3" t="s">
        <v>398</v>
      </c>
      <c r="F2723" s="16" t="n">
        <v>12</v>
      </c>
      <c r="G2723" s="15" t="n">
        <v>0.35</v>
      </c>
      <c r="H2723" s="16" t="n">
        <v>2</v>
      </c>
      <c r="I2723" s="33" t="n">
        <v>7866.6</v>
      </c>
      <c r="J2723" s="33" t="n">
        <v>12102.48</v>
      </c>
    </row>
    <row r="2724" customFormat="false" ht="15" hidden="false" customHeight="false" outlineLevel="0" collapsed="false">
      <c r="A2724" s="3" t="s">
        <v>3114</v>
      </c>
      <c r="B2724" s="3" t="s">
        <v>283</v>
      </c>
      <c r="C2724" s="3" t="s">
        <v>403</v>
      </c>
      <c r="D2724" s="3" t="s">
        <v>388</v>
      </c>
      <c r="E2724" s="3" t="s">
        <v>385</v>
      </c>
      <c r="F2724" s="16" t="n">
        <v>12</v>
      </c>
      <c r="G2724" s="15" t="n">
        <v>0</v>
      </c>
      <c r="H2724" s="16" t="n">
        <v>6</v>
      </c>
      <c r="I2724" s="33" t="n">
        <v>7864.8</v>
      </c>
      <c r="J2724" s="33" t="n">
        <v>7864.8</v>
      </c>
    </row>
    <row r="2725" customFormat="false" ht="15" hidden="false" customHeight="false" outlineLevel="0" collapsed="false">
      <c r="A2725" s="3" t="s">
        <v>3115</v>
      </c>
      <c r="B2725" s="3" t="s">
        <v>283</v>
      </c>
      <c r="C2725" s="3" t="s">
        <v>384</v>
      </c>
      <c r="D2725" s="3" t="s">
        <v>381</v>
      </c>
      <c r="E2725" s="3" t="s">
        <v>398</v>
      </c>
      <c r="F2725" s="16" t="n">
        <v>12</v>
      </c>
      <c r="G2725" s="15" t="n">
        <v>0.1</v>
      </c>
      <c r="H2725" s="16" t="n">
        <v>5</v>
      </c>
      <c r="I2725" s="33" t="n">
        <v>7858.68</v>
      </c>
      <c r="J2725" s="33" t="n">
        <v>8731.92</v>
      </c>
    </row>
    <row r="2726" customFormat="false" ht="15" hidden="false" customHeight="false" outlineLevel="0" collapsed="false">
      <c r="A2726" s="3" t="s">
        <v>3116</v>
      </c>
      <c r="B2726" s="3" t="s">
        <v>283</v>
      </c>
      <c r="C2726" s="3" t="s">
        <v>384</v>
      </c>
      <c r="D2726" s="3" t="s">
        <v>418</v>
      </c>
      <c r="E2726" s="3" t="s">
        <v>385</v>
      </c>
      <c r="F2726" s="16" t="n">
        <v>1</v>
      </c>
      <c r="G2726" s="15" t="n">
        <v>0.15</v>
      </c>
      <c r="H2726" s="16" t="n">
        <v>1</v>
      </c>
      <c r="I2726" s="33" t="n">
        <v>7855.2</v>
      </c>
      <c r="J2726" s="33" t="n">
        <v>9241.44</v>
      </c>
    </row>
    <row r="2727" customFormat="false" ht="15" hidden="false" customHeight="false" outlineLevel="0" collapsed="false">
      <c r="A2727" s="3" t="s">
        <v>3117</v>
      </c>
      <c r="B2727" s="3" t="s">
        <v>283</v>
      </c>
      <c r="C2727" s="3" t="s">
        <v>387</v>
      </c>
      <c r="D2727" s="3" t="s">
        <v>392</v>
      </c>
      <c r="E2727" s="3" t="s">
        <v>398</v>
      </c>
      <c r="F2727" s="16" t="n">
        <v>1</v>
      </c>
      <c r="G2727" s="15" t="n">
        <v>0</v>
      </c>
      <c r="H2727" s="16" t="n">
        <v>1</v>
      </c>
      <c r="I2727" s="33" t="n">
        <v>7854.72</v>
      </c>
      <c r="J2727" s="33" t="n">
        <v>7854.72</v>
      </c>
    </row>
    <row r="2728" customFormat="false" ht="15" hidden="false" customHeight="false" outlineLevel="0" collapsed="false">
      <c r="A2728" s="3" t="s">
        <v>3118</v>
      </c>
      <c r="B2728" s="3" t="s">
        <v>283</v>
      </c>
      <c r="C2728" s="3" t="s">
        <v>384</v>
      </c>
      <c r="D2728" s="3" t="s">
        <v>418</v>
      </c>
      <c r="E2728" s="3" t="s">
        <v>398</v>
      </c>
      <c r="F2728" s="16" t="n">
        <v>12</v>
      </c>
      <c r="G2728" s="15" t="n">
        <v>0</v>
      </c>
      <c r="H2728" s="16" t="n">
        <v>6</v>
      </c>
      <c r="I2728" s="33" t="n">
        <v>7851.24</v>
      </c>
      <c r="J2728" s="33" t="n">
        <v>7851.24</v>
      </c>
    </row>
    <row r="2729" customFormat="false" ht="15" hidden="false" customHeight="false" outlineLevel="0" collapsed="false">
      <c r="A2729" s="3" t="s">
        <v>3119</v>
      </c>
      <c r="B2729" s="3" t="s">
        <v>283</v>
      </c>
      <c r="C2729" s="3" t="s">
        <v>380</v>
      </c>
      <c r="D2729" s="3" t="s">
        <v>392</v>
      </c>
      <c r="E2729" s="3" t="s">
        <v>385</v>
      </c>
      <c r="F2729" s="16" t="n">
        <v>1</v>
      </c>
      <c r="G2729" s="15" t="n">
        <v>0</v>
      </c>
      <c r="H2729" s="16" t="n">
        <v>1</v>
      </c>
      <c r="I2729" s="33" t="n">
        <v>7848.84</v>
      </c>
      <c r="J2729" s="33" t="n">
        <v>7848.84</v>
      </c>
    </row>
    <row r="2730" customFormat="false" ht="15" hidden="false" customHeight="false" outlineLevel="0" collapsed="false">
      <c r="A2730" s="3" t="s">
        <v>3120</v>
      </c>
      <c r="B2730" s="3" t="s">
        <v>283</v>
      </c>
      <c r="C2730" s="3" t="s">
        <v>384</v>
      </c>
      <c r="D2730" s="3" t="s">
        <v>418</v>
      </c>
      <c r="E2730" s="3" t="s">
        <v>382</v>
      </c>
      <c r="F2730" s="16" t="n">
        <v>1</v>
      </c>
      <c r="G2730" s="15" t="n">
        <v>0.1</v>
      </c>
      <c r="H2730" s="16" t="n">
        <v>1</v>
      </c>
      <c r="I2730" s="33" t="n">
        <v>7842.72</v>
      </c>
      <c r="J2730" s="33" t="n">
        <v>8714.16</v>
      </c>
    </row>
    <row r="2731" customFormat="false" ht="15" hidden="false" customHeight="false" outlineLevel="0" collapsed="false">
      <c r="A2731" s="3" t="s">
        <v>3121</v>
      </c>
      <c r="B2731" s="3" t="s">
        <v>283</v>
      </c>
      <c r="C2731" s="3" t="s">
        <v>384</v>
      </c>
      <c r="D2731" s="3" t="s">
        <v>381</v>
      </c>
      <c r="E2731" s="3" t="s">
        <v>398</v>
      </c>
      <c r="F2731" s="16" t="n">
        <v>12</v>
      </c>
      <c r="G2731" s="15" t="n">
        <v>0</v>
      </c>
      <c r="H2731" s="16" t="n">
        <v>12</v>
      </c>
      <c r="I2731" s="33" t="n">
        <v>7835.88</v>
      </c>
      <c r="J2731" s="33" t="n">
        <v>7835.88</v>
      </c>
    </row>
    <row r="2732" customFormat="false" ht="15" hidden="false" customHeight="false" outlineLevel="0" collapsed="false">
      <c r="A2732" s="3" t="s">
        <v>3122</v>
      </c>
      <c r="B2732" s="3" t="s">
        <v>283</v>
      </c>
      <c r="C2732" s="3" t="s">
        <v>403</v>
      </c>
      <c r="D2732" s="3" t="s">
        <v>392</v>
      </c>
      <c r="E2732" s="3" t="s">
        <v>385</v>
      </c>
      <c r="F2732" s="16" t="n">
        <v>1</v>
      </c>
      <c r="G2732" s="15" t="n">
        <v>0</v>
      </c>
      <c r="H2732" s="16" t="n">
        <v>1</v>
      </c>
      <c r="I2732" s="33" t="n">
        <v>7832.76</v>
      </c>
      <c r="J2732" s="33" t="n">
        <v>7832.76</v>
      </c>
    </row>
    <row r="2733" customFormat="false" ht="15" hidden="false" customHeight="false" outlineLevel="0" collapsed="false">
      <c r="A2733" s="3" t="s">
        <v>3123</v>
      </c>
      <c r="B2733" s="3" t="s">
        <v>283</v>
      </c>
      <c r="C2733" s="3" t="s">
        <v>384</v>
      </c>
      <c r="D2733" s="3" t="s">
        <v>381</v>
      </c>
      <c r="E2733" s="3" t="s">
        <v>398</v>
      </c>
      <c r="F2733" s="16" t="n">
        <v>12</v>
      </c>
      <c r="G2733" s="15" t="n">
        <v>0.1</v>
      </c>
      <c r="H2733" s="16" t="n">
        <v>7</v>
      </c>
      <c r="I2733" s="33" t="n">
        <v>7828.8</v>
      </c>
      <c r="J2733" s="33" t="n">
        <v>8698.68</v>
      </c>
    </row>
    <row r="2734" customFormat="false" ht="15" hidden="false" customHeight="false" outlineLevel="0" collapsed="false">
      <c r="A2734" s="3" t="s">
        <v>3124</v>
      </c>
      <c r="B2734" s="3" t="s">
        <v>283</v>
      </c>
      <c r="C2734" s="3" t="s">
        <v>387</v>
      </c>
      <c r="D2734" s="3" t="s">
        <v>392</v>
      </c>
      <c r="E2734" s="3" t="s">
        <v>398</v>
      </c>
      <c r="F2734" s="16" t="n">
        <v>1</v>
      </c>
      <c r="G2734" s="15" t="n">
        <v>0</v>
      </c>
      <c r="H2734" s="16" t="n">
        <v>1</v>
      </c>
      <c r="I2734" s="33" t="n">
        <v>7819.68</v>
      </c>
      <c r="J2734" s="33" t="n">
        <v>7819.68</v>
      </c>
    </row>
    <row r="2735" customFormat="false" ht="15" hidden="false" customHeight="false" outlineLevel="0" collapsed="false">
      <c r="A2735" s="3" t="s">
        <v>3125</v>
      </c>
      <c r="B2735" s="3" t="s">
        <v>283</v>
      </c>
      <c r="C2735" s="3" t="s">
        <v>384</v>
      </c>
      <c r="D2735" s="3" t="s">
        <v>692</v>
      </c>
      <c r="E2735" s="3" t="s">
        <v>398</v>
      </c>
      <c r="F2735" s="16" t="n">
        <v>12</v>
      </c>
      <c r="G2735" s="15" t="n">
        <v>0</v>
      </c>
      <c r="H2735" s="16" t="n">
        <v>12</v>
      </c>
      <c r="I2735" s="33" t="n">
        <v>7812.6</v>
      </c>
      <c r="J2735" s="33" t="n">
        <v>7812.6</v>
      </c>
    </row>
    <row r="2736" customFormat="false" ht="15" hidden="false" customHeight="false" outlineLevel="0" collapsed="false">
      <c r="A2736" s="3" t="s">
        <v>3126</v>
      </c>
      <c r="B2736" s="3" t="s">
        <v>283</v>
      </c>
      <c r="C2736" s="3" t="s">
        <v>387</v>
      </c>
      <c r="D2736" s="3" t="s">
        <v>692</v>
      </c>
      <c r="E2736" s="3" t="s">
        <v>398</v>
      </c>
      <c r="F2736" s="16" t="n">
        <v>1</v>
      </c>
      <c r="G2736" s="15" t="n">
        <v>0.1</v>
      </c>
      <c r="H2736" s="16" t="n">
        <v>1</v>
      </c>
      <c r="I2736" s="33" t="n">
        <v>7812.24</v>
      </c>
      <c r="J2736" s="33" t="n">
        <v>8680.2</v>
      </c>
    </row>
    <row r="2737" customFormat="false" ht="15" hidden="false" customHeight="false" outlineLevel="0" collapsed="false">
      <c r="A2737" s="3" t="s">
        <v>3127</v>
      </c>
      <c r="B2737" s="3" t="s">
        <v>283</v>
      </c>
      <c r="C2737" s="3" t="s">
        <v>396</v>
      </c>
      <c r="D2737" s="3" t="s">
        <v>418</v>
      </c>
      <c r="E2737" s="3" t="s">
        <v>398</v>
      </c>
      <c r="F2737" s="16" t="n">
        <v>1</v>
      </c>
      <c r="G2737" s="15" t="n">
        <v>0</v>
      </c>
      <c r="H2737" s="16" t="n">
        <v>1</v>
      </c>
      <c r="I2737" s="33" t="n">
        <v>7807.8</v>
      </c>
      <c r="J2737" s="33" t="n">
        <v>7807.8</v>
      </c>
    </row>
    <row r="2738" customFormat="false" ht="15" hidden="false" customHeight="false" outlineLevel="0" collapsed="false">
      <c r="A2738" s="3" t="s">
        <v>3128</v>
      </c>
      <c r="B2738" s="3" t="s">
        <v>283</v>
      </c>
      <c r="C2738" s="3" t="s">
        <v>387</v>
      </c>
      <c r="D2738" s="3" t="s">
        <v>692</v>
      </c>
      <c r="E2738" s="3" t="s">
        <v>398</v>
      </c>
      <c r="F2738" s="16" t="n">
        <v>12</v>
      </c>
      <c r="G2738" s="15" t="n">
        <v>0</v>
      </c>
      <c r="H2738" s="16" t="n">
        <v>2</v>
      </c>
      <c r="I2738" s="33" t="n">
        <v>7797.84</v>
      </c>
      <c r="J2738" s="33" t="n">
        <v>7797.84</v>
      </c>
    </row>
    <row r="2739" customFormat="false" ht="15" hidden="false" customHeight="false" outlineLevel="0" collapsed="false">
      <c r="A2739" s="3" t="s">
        <v>3129</v>
      </c>
      <c r="B2739" s="3" t="s">
        <v>283</v>
      </c>
      <c r="C2739" s="3" t="s">
        <v>384</v>
      </c>
      <c r="D2739" s="3" t="s">
        <v>392</v>
      </c>
      <c r="E2739" s="3" t="s">
        <v>398</v>
      </c>
      <c r="F2739" s="16" t="n">
        <v>1</v>
      </c>
      <c r="G2739" s="15" t="n">
        <v>0</v>
      </c>
      <c r="H2739" s="16" t="n">
        <v>1</v>
      </c>
      <c r="I2739" s="33" t="n">
        <v>7792.68</v>
      </c>
      <c r="J2739" s="33" t="n">
        <v>7792.68</v>
      </c>
    </row>
    <row r="2740" customFormat="false" ht="15" hidden="false" customHeight="false" outlineLevel="0" collapsed="false">
      <c r="A2740" s="3" t="s">
        <v>3130</v>
      </c>
      <c r="B2740" s="3" t="s">
        <v>283</v>
      </c>
      <c r="C2740" s="3" t="s">
        <v>396</v>
      </c>
      <c r="D2740" s="3" t="s">
        <v>392</v>
      </c>
      <c r="E2740" s="3" t="s">
        <v>398</v>
      </c>
      <c r="F2740" s="16" t="n">
        <v>12</v>
      </c>
      <c r="G2740" s="15" t="n">
        <v>0.1</v>
      </c>
      <c r="H2740" s="16" t="n">
        <v>1</v>
      </c>
      <c r="I2740" s="33" t="n">
        <v>7780.92</v>
      </c>
      <c r="J2740" s="33" t="n">
        <v>8645.4</v>
      </c>
    </row>
    <row r="2741" customFormat="false" ht="15" hidden="false" customHeight="false" outlineLevel="0" collapsed="false">
      <c r="A2741" s="3" t="s">
        <v>3131</v>
      </c>
      <c r="B2741" s="3" t="s">
        <v>283</v>
      </c>
      <c r="C2741" s="3" t="s">
        <v>401</v>
      </c>
      <c r="D2741" s="3" t="s">
        <v>392</v>
      </c>
      <c r="E2741" s="3" t="s">
        <v>398</v>
      </c>
      <c r="F2741" s="16" t="n">
        <v>12</v>
      </c>
      <c r="G2741" s="15" t="n">
        <v>0</v>
      </c>
      <c r="H2741" s="16" t="n">
        <v>10</v>
      </c>
      <c r="I2741" s="33" t="n">
        <v>7779</v>
      </c>
      <c r="J2741" s="33" t="n">
        <v>7779</v>
      </c>
    </row>
    <row r="2742" customFormat="false" ht="15" hidden="false" customHeight="false" outlineLevel="0" collapsed="false">
      <c r="A2742" s="3" t="s">
        <v>3132</v>
      </c>
      <c r="B2742" s="3" t="s">
        <v>283</v>
      </c>
      <c r="C2742" s="3" t="s">
        <v>384</v>
      </c>
      <c r="D2742" s="3" t="s">
        <v>388</v>
      </c>
      <c r="E2742" s="3" t="s">
        <v>385</v>
      </c>
      <c r="F2742" s="16" t="n">
        <v>1</v>
      </c>
      <c r="G2742" s="15" t="n">
        <v>0</v>
      </c>
      <c r="H2742" s="16" t="n">
        <v>1</v>
      </c>
      <c r="I2742" s="33" t="n">
        <v>7772.28</v>
      </c>
      <c r="J2742" s="33" t="n">
        <v>7772.28</v>
      </c>
    </row>
    <row r="2743" customFormat="false" ht="15" hidden="false" customHeight="false" outlineLevel="0" collapsed="false">
      <c r="A2743" s="3" t="s">
        <v>3133</v>
      </c>
      <c r="B2743" s="3" t="s">
        <v>283</v>
      </c>
      <c r="C2743" s="3" t="s">
        <v>391</v>
      </c>
      <c r="D2743" s="3" t="s">
        <v>381</v>
      </c>
      <c r="E2743" s="3" t="s">
        <v>398</v>
      </c>
      <c r="F2743" s="16" t="n">
        <v>12</v>
      </c>
      <c r="G2743" s="15" t="n">
        <v>0</v>
      </c>
      <c r="H2743" s="16" t="n">
        <v>5</v>
      </c>
      <c r="I2743" s="33" t="n">
        <v>7765.08</v>
      </c>
      <c r="J2743" s="33" t="n">
        <v>7765.08</v>
      </c>
    </row>
    <row r="2744" customFormat="false" ht="15" hidden="false" customHeight="false" outlineLevel="0" collapsed="false">
      <c r="A2744" s="3" t="s">
        <v>3134</v>
      </c>
      <c r="B2744" s="3" t="s">
        <v>283</v>
      </c>
      <c r="C2744" s="3" t="s">
        <v>380</v>
      </c>
      <c r="D2744" s="3" t="s">
        <v>692</v>
      </c>
      <c r="E2744" s="3" t="s">
        <v>398</v>
      </c>
      <c r="F2744" s="16" t="n">
        <v>1</v>
      </c>
      <c r="G2744" s="15" t="n">
        <v>0.1</v>
      </c>
      <c r="H2744" s="16" t="n">
        <v>1</v>
      </c>
      <c r="I2744" s="33" t="n">
        <v>7763.52</v>
      </c>
      <c r="J2744" s="33" t="n">
        <v>8626.2</v>
      </c>
    </row>
    <row r="2745" customFormat="false" ht="15" hidden="false" customHeight="false" outlineLevel="0" collapsed="false">
      <c r="A2745" s="3" t="s">
        <v>3135</v>
      </c>
      <c r="B2745" s="3" t="s">
        <v>283</v>
      </c>
      <c r="C2745" s="3" t="s">
        <v>401</v>
      </c>
      <c r="D2745" s="3" t="s">
        <v>388</v>
      </c>
      <c r="E2745" s="3" t="s">
        <v>398</v>
      </c>
      <c r="F2745" s="16" t="n">
        <v>12</v>
      </c>
      <c r="G2745" s="15" t="n">
        <v>0</v>
      </c>
      <c r="H2745" s="16" t="n">
        <v>10</v>
      </c>
      <c r="I2745" s="33" t="n">
        <v>7762.2</v>
      </c>
      <c r="J2745" s="33" t="n">
        <v>7762.2</v>
      </c>
    </row>
    <row r="2746" customFormat="false" ht="15" hidden="false" customHeight="false" outlineLevel="0" collapsed="false">
      <c r="A2746" s="3" t="s">
        <v>3136</v>
      </c>
      <c r="B2746" s="3" t="s">
        <v>283</v>
      </c>
      <c r="C2746" s="3" t="s">
        <v>380</v>
      </c>
      <c r="D2746" s="3" t="s">
        <v>418</v>
      </c>
      <c r="E2746" s="3" t="s">
        <v>398</v>
      </c>
      <c r="F2746" s="16" t="n">
        <v>12</v>
      </c>
      <c r="G2746" s="15" t="n">
        <v>0.15</v>
      </c>
      <c r="H2746" s="16" t="n">
        <v>1</v>
      </c>
      <c r="I2746" s="33" t="n">
        <v>7735.68</v>
      </c>
      <c r="J2746" s="33" t="n">
        <v>9100.8</v>
      </c>
    </row>
    <row r="2747" customFormat="false" ht="15" hidden="false" customHeight="false" outlineLevel="0" collapsed="false">
      <c r="A2747" s="3" t="s">
        <v>3137</v>
      </c>
      <c r="B2747" s="3" t="s">
        <v>283</v>
      </c>
      <c r="C2747" s="3" t="s">
        <v>380</v>
      </c>
      <c r="D2747" s="3" t="s">
        <v>388</v>
      </c>
      <c r="E2747" s="3" t="s">
        <v>385</v>
      </c>
      <c r="F2747" s="16" t="n">
        <v>1</v>
      </c>
      <c r="G2747" s="15" t="n">
        <v>0</v>
      </c>
      <c r="H2747" s="16" t="n">
        <v>1</v>
      </c>
      <c r="I2747" s="33" t="n">
        <v>7735.32</v>
      </c>
      <c r="J2747" s="33" t="n">
        <v>7735.32</v>
      </c>
    </row>
    <row r="2748" customFormat="false" ht="15" hidden="false" customHeight="false" outlineLevel="0" collapsed="false">
      <c r="A2748" s="3" t="s">
        <v>3138</v>
      </c>
      <c r="B2748" s="3" t="s">
        <v>283</v>
      </c>
      <c r="C2748" s="3" t="s">
        <v>401</v>
      </c>
      <c r="D2748" s="3" t="s">
        <v>692</v>
      </c>
      <c r="E2748" s="3" t="s">
        <v>398</v>
      </c>
      <c r="F2748" s="16" t="n">
        <v>12</v>
      </c>
      <c r="G2748" s="15" t="n">
        <v>0</v>
      </c>
      <c r="H2748" s="16" t="n">
        <v>10</v>
      </c>
      <c r="I2748" s="33" t="n">
        <v>7703.16</v>
      </c>
      <c r="J2748" s="33" t="n">
        <v>7703.16</v>
      </c>
    </row>
    <row r="2749" customFormat="false" ht="15" hidden="false" customHeight="false" outlineLevel="0" collapsed="false">
      <c r="A2749" s="3" t="s">
        <v>3139</v>
      </c>
      <c r="B2749" s="3" t="s">
        <v>283</v>
      </c>
      <c r="C2749" s="3" t="s">
        <v>384</v>
      </c>
      <c r="D2749" s="3" t="s">
        <v>388</v>
      </c>
      <c r="E2749" s="3" t="s">
        <v>398</v>
      </c>
      <c r="F2749" s="16" t="n">
        <v>12</v>
      </c>
      <c r="G2749" s="15" t="n">
        <v>0.1</v>
      </c>
      <c r="H2749" s="16" t="n">
        <v>6</v>
      </c>
      <c r="I2749" s="33" t="n">
        <v>7702.2</v>
      </c>
      <c r="J2749" s="33" t="n">
        <v>8558.04</v>
      </c>
    </row>
    <row r="2750" customFormat="false" ht="15" hidden="false" customHeight="false" outlineLevel="0" collapsed="false">
      <c r="A2750" s="3" t="s">
        <v>3140</v>
      </c>
      <c r="B2750" s="3" t="s">
        <v>283</v>
      </c>
      <c r="C2750" s="3" t="s">
        <v>384</v>
      </c>
      <c r="D2750" s="3" t="s">
        <v>392</v>
      </c>
      <c r="E2750" s="3" t="s">
        <v>385</v>
      </c>
      <c r="F2750" s="16" t="n">
        <v>1</v>
      </c>
      <c r="G2750" s="15" t="n">
        <v>0</v>
      </c>
      <c r="H2750" s="16" t="n">
        <v>1</v>
      </c>
      <c r="I2750" s="33" t="n">
        <v>7696.2</v>
      </c>
      <c r="J2750" s="33" t="n">
        <v>7696.2</v>
      </c>
    </row>
    <row r="2751" customFormat="false" ht="15" hidden="false" customHeight="false" outlineLevel="0" collapsed="false">
      <c r="A2751" s="3" t="s">
        <v>3141</v>
      </c>
      <c r="B2751" s="3" t="s">
        <v>283</v>
      </c>
      <c r="C2751" s="3" t="s">
        <v>405</v>
      </c>
      <c r="D2751" s="3" t="s">
        <v>692</v>
      </c>
      <c r="E2751" s="3" t="s">
        <v>398</v>
      </c>
      <c r="F2751" s="16" t="n">
        <v>12</v>
      </c>
      <c r="G2751" s="15" t="n">
        <v>0</v>
      </c>
      <c r="H2751" s="16" t="n">
        <v>5</v>
      </c>
      <c r="I2751" s="33" t="n">
        <v>7692.48</v>
      </c>
      <c r="J2751" s="33" t="n">
        <v>7692.48</v>
      </c>
    </row>
    <row r="2752" customFormat="false" ht="15" hidden="false" customHeight="false" outlineLevel="0" collapsed="false">
      <c r="A2752" s="3" t="s">
        <v>3142</v>
      </c>
      <c r="B2752" s="3" t="s">
        <v>283</v>
      </c>
      <c r="C2752" s="3" t="s">
        <v>396</v>
      </c>
      <c r="D2752" s="3" t="s">
        <v>392</v>
      </c>
      <c r="E2752" s="3" t="s">
        <v>398</v>
      </c>
      <c r="F2752" s="16" t="n">
        <v>12</v>
      </c>
      <c r="G2752" s="15" t="n">
        <v>0</v>
      </c>
      <c r="H2752" s="16" t="n">
        <v>11</v>
      </c>
      <c r="I2752" s="33" t="n">
        <v>7686.6</v>
      </c>
      <c r="J2752" s="33" t="n">
        <v>7686.6</v>
      </c>
    </row>
    <row r="2753" customFormat="false" ht="15" hidden="false" customHeight="false" outlineLevel="0" collapsed="false">
      <c r="A2753" s="3" t="s">
        <v>3143</v>
      </c>
      <c r="B2753" s="3" t="s">
        <v>283</v>
      </c>
      <c r="C2753" s="3" t="s">
        <v>396</v>
      </c>
      <c r="D2753" s="3" t="s">
        <v>692</v>
      </c>
      <c r="E2753" s="3" t="s">
        <v>398</v>
      </c>
      <c r="F2753" s="16" t="n">
        <v>12</v>
      </c>
      <c r="G2753" s="15" t="n">
        <v>0.25</v>
      </c>
      <c r="H2753" s="16" t="n">
        <v>7</v>
      </c>
      <c r="I2753" s="33" t="n">
        <v>7680.72</v>
      </c>
      <c r="J2753" s="33" t="n">
        <v>10240.92</v>
      </c>
    </row>
    <row r="2754" customFormat="false" ht="15" hidden="false" customHeight="false" outlineLevel="0" collapsed="false">
      <c r="A2754" s="3" t="s">
        <v>3144</v>
      </c>
      <c r="B2754" s="3" t="s">
        <v>283</v>
      </c>
      <c r="C2754" s="3" t="s">
        <v>401</v>
      </c>
      <c r="D2754" s="3" t="s">
        <v>388</v>
      </c>
      <c r="E2754" s="3" t="s">
        <v>398</v>
      </c>
      <c r="F2754" s="16" t="n">
        <v>12</v>
      </c>
      <c r="G2754" s="15" t="n">
        <v>0</v>
      </c>
      <c r="H2754" s="16" t="n">
        <v>5</v>
      </c>
      <c r="I2754" s="33" t="n">
        <v>7670.16</v>
      </c>
      <c r="J2754" s="33" t="n">
        <v>7670.16</v>
      </c>
    </row>
    <row r="2755" customFormat="false" ht="15" hidden="false" customHeight="false" outlineLevel="0" collapsed="false">
      <c r="A2755" s="3" t="s">
        <v>3145</v>
      </c>
      <c r="B2755" s="3" t="s">
        <v>283</v>
      </c>
      <c r="C2755" s="3" t="s">
        <v>403</v>
      </c>
      <c r="D2755" s="3" t="s">
        <v>388</v>
      </c>
      <c r="E2755" s="3" t="s">
        <v>385</v>
      </c>
      <c r="F2755" s="16" t="n">
        <v>1</v>
      </c>
      <c r="G2755" s="15" t="n">
        <v>0</v>
      </c>
      <c r="H2755" s="16" t="n">
        <v>1</v>
      </c>
      <c r="I2755" s="33" t="n">
        <v>7667.76</v>
      </c>
      <c r="J2755" s="33" t="n">
        <v>7667.76</v>
      </c>
    </row>
    <row r="2756" customFormat="false" ht="15" hidden="false" customHeight="false" outlineLevel="0" collapsed="false">
      <c r="A2756" s="3" t="s">
        <v>3146</v>
      </c>
      <c r="B2756" s="3" t="s">
        <v>283</v>
      </c>
      <c r="C2756" s="3" t="s">
        <v>380</v>
      </c>
      <c r="D2756" s="3" t="s">
        <v>388</v>
      </c>
      <c r="E2756" s="3" t="s">
        <v>398</v>
      </c>
      <c r="F2756" s="16" t="n">
        <v>12</v>
      </c>
      <c r="G2756" s="15" t="n">
        <v>0</v>
      </c>
      <c r="H2756" s="16" t="n">
        <v>6</v>
      </c>
      <c r="I2756" s="33" t="n">
        <v>7665.36</v>
      </c>
      <c r="J2756" s="33" t="n">
        <v>7665.36</v>
      </c>
    </row>
    <row r="2757" customFormat="false" ht="15" hidden="false" customHeight="false" outlineLevel="0" collapsed="false">
      <c r="A2757" s="3" t="s">
        <v>3147</v>
      </c>
      <c r="B2757" s="3" t="s">
        <v>283</v>
      </c>
      <c r="C2757" s="3" t="s">
        <v>396</v>
      </c>
      <c r="D2757" s="3" t="s">
        <v>692</v>
      </c>
      <c r="E2757" s="3" t="s">
        <v>398</v>
      </c>
      <c r="F2757" s="16" t="n">
        <v>1</v>
      </c>
      <c r="G2757" s="15" t="n">
        <v>0</v>
      </c>
      <c r="H2757" s="16" t="n">
        <v>1</v>
      </c>
      <c r="I2757" s="33" t="n">
        <v>7665.12</v>
      </c>
      <c r="J2757" s="33" t="n">
        <v>7665.12</v>
      </c>
    </row>
    <row r="2758" customFormat="false" ht="15" hidden="false" customHeight="false" outlineLevel="0" collapsed="false">
      <c r="A2758" s="3" t="s">
        <v>3148</v>
      </c>
      <c r="B2758" s="3" t="s">
        <v>283</v>
      </c>
      <c r="C2758" s="3" t="s">
        <v>405</v>
      </c>
      <c r="D2758" s="3" t="s">
        <v>392</v>
      </c>
      <c r="E2758" s="3" t="s">
        <v>385</v>
      </c>
      <c r="F2758" s="16" t="n">
        <v>1</v>
      </c>
      <c r="G2758" s="15" t="n">
        <v>0</v>
      </c>
      <c r="H2758" s="16" t="n">
        <v>1</v>
      </c>
      <c r="I2758" s="33" t="n">
        <v>7658.64</v>
      </c>
      <c r="J2758" s="33" t="n">
        <v>7658.64</v>
      </c>
    </row>
    <row r="2759" customFormat="false" ht="15" hidden="false" customHeight="false" outlineLevel="0" collapsed="false">
      <c r="A2759" s="3" t="s">
        <v>3149</v>
      </c>
      <c r="B2759" s="3" t="s">
        <v>283</v>
      </c>
      <c r="C2759" s="3" t="s">
        <v>403</v>
      </c>
      <c r="D2759" s="3" t="s">
        <v>392</v>
      </c>
      <c r="E2759" s="3" t="s">
        <v>382</v>
      </c>
      <c r="F2759" s="16" t="n">
        <v>1</v>
      </c>
      <c r="G2759" s="15" t="n">
        <v>0.1</v>
      </c>
      <c r="H2759" s="16" t="n">
        <v>1</v>
      </c>
      <c r="I2759" s="33" t="n">
        <v>7657.08</v>
      </c>
      <c r="J2759" s="33" t="n">
        <v>8507.88</v>
      </c>
    </row>
    <row r="2760" customFormat="false" ht="15" hidden="false" customHeight="false" outlineLevel="0" collapsed="false">
      <c r="A2760" s="3" t="s">
        <v>3150</v>
      </c>
      <c r="B2760" s="3" t="s">
        <v>283</v>
      </c>
      <c r="C2760" s="3" t="s">
        <v>387</v>
      </c>
      <c r="D2760" s="3" t="s">
        <v>418</v>
      </c>
      <c r="E2760" s="3" t="s">
        <v>398</v>
      </c>
      <c r="F2760" s="16" t="n">
        <v>1</v>
      </c>
      <c r="G2760" s="15" t="n">
        <v>0</v>
      </c>
      <c r="H2760" s="16" t="n">
        <v>1</v>
      </c>
      <c r="I2760" s="33" t="n">
        <v>7656.72</v>
      </c>
      <c r="J2760" s="33" t="n">
        <v>7656.72</v>
      </c>
    </row>
    <row r="2761" customFormat="false" ht="15" hidden="false" customHeight="false" outlineLevel="0" collapsed="false">
      <c r="A2761" s="3" t="s">
        <v>3151</v>
      </c>
      <c r="B2761" s="3" t="s">
        <v>283</v>
      </c>
      <c r="C2761" s="3" t="s">
        <v>396</v>
      </c>
      <c r="D2761" s="3" t="s">
        <v>692</v>
      </c>
      <c r="E2761" s="3" t="s">
        <v>398</v>
      </c>
      <c r="F2761" s="16" t="n">
        <v>12</v>
      </c>
      <c r="G2761" s="15" t="n">
        <v>0</v>
      </c>
      <c r="H2761" s="16" t="n">
        <v>2</v>
      </c>
      <c r="I2761" s="33" t="n">
        <v>7648.56</v>
      </c>
      <c r="J2761" s="33" t="n">
        <v>7648.56</v>
      </c>
    </row>
    <row r="2762" customFormat="false" ht="15" hidden="false" customHeight="false" outlineLevel="0" collapsed="false">
      <c r="A2762" s="3" t="s">
        <v>3152</v>
      </c>
      <c r="B2762" s="3" t="s">
        <v>283</v>
      </c>
      <c r="C2762" s="3" t="s">
        <v>403</v>
      </c>
      <c r="D2762" s="3" t="s">
        <v>692</v>
      </c>
      <c r="E2762" s="3" t="s">
        <v>385</v>
      </c>
      <c r="F2762" s="16" t="n">
        <v>12</v>
      </c>
      <c r="G2762" s="15" t="n">
        <v>0</v>
      </c>
      <c r="H2762" s="16" t="n">
        <v>11</v>
      </c>
      <c r="I2762" s="33" t="n">
        <v>7646.04</v>
      </c>
      <c r="J2762" s="33" t="n">
        <v>7646.04</v>
      </c>
    </row>
    <row r="2763" customFormat="false" ht="15" hidden="false" customHeight="false" outlineLevel="0" collapsed="false">
      <c r="A2763" s="3" t="s">
        <v>3153</v>
      </c>
      <c r="B2763" s="3" t="s">
        <v>283</v>
      </c>
      <c r="C2763" s="3" t="s">
        <v>387</v>
      </c>
      <c r="D2763" s="3" t="s">
        <v>392</v>
      </c>
      <c r="E2763" s="3" t="s">
        <v>398</v>
      </c>
      <c r="F2763" s="16" t="n">
        <v>1</v>
      </c>
      <c r="G2763" s="15" t="n">
        <v>0</v>
      </c>
      <c r="H2763" s="16" t="n">
        <v>1</v>
      </c>
      <c r="I2763" s="33" t="n">
        <v>7629.72</v>
      </c>
      <c r="J2763" s="33" t="n">
        <v>7629.72</v>
      </c>
    </row>
    <row r="2764" customFormat="false" ht="15" hidden="false" customHeight="false" outlineLevel="0" collapsed="false">
      <c r="A2764" s="3" t="s">
        <v>3154</v>
      </c>
      <c r="B2764" s="3" t="s">
        <v>283</v>
      </c>
      <c r="C2764" s="3" t="s">
        <v>384</v>
      </c>
      <c r="D2764" s="3" t="s">
        <v>392</v>
      </c>
      <c r="E2764" s="3" t="s">
        <v>382</v>
      </c>
      <c r="F2764" s="16" t="n">
        <v>1</v>
      </c>
      <c r="G2764" s="15" t="n">
        <v>0</v>
      </c>
      <c r="H2764" s="16" t="n">
        <v>1</v>
      </c>
      <c r="I2764" s="33" t="n">
        <v>7626.48</v>
      </c>
      <c r="J2764" s="33" t="n">
        <v>7626.48</v>
      </c>
    </row>
    <row r="2765" customFormat="false" ht="15" hidden="false" customHeight="false" outlineLevel="0" collapsed="false">
      <c r="A2765" s="3" t="s">
        <v>3155</v>
      </c>
      <c r="B2765" s="3" t="s">
        <v>283</v>
      </c>
      <c r="C2765" s="3" t="s">
        <v>403</v>
      </c>
      <c r="D2765" s="3" t="s">
        <v>418</v>
      </c>
      <c r="E2765" s="3" t="s">
        <v>398</v>
      </c>
      <c r="F2765" s="16" t="n">
        <v>12</v>
      </c>
      <c r="G2765" s="15" t="n">
        <v>0</v>
      </c>
      <c r="H2765" s="16" t="n">
        <v>11</v>
      </c>
      <c r="I2765" s="33" t="n">
        <v>7626.12</v>
      </c>
      <c r="J2765" s="33" t="n">
        <v>7626.12</v>
      </c>
    </row>
    <row r="2766" customFormat="false" ht="15" hidden="false" customHeight="false" outlineLevel="0" collapsed="false">
      <c r="A2766" s="3" t="s">
        <v>3156</v>
      </c>
      <c r="B2766" s="3" t="s">
        <v>283</v>
      </c>
      <c r="C2766" s="3" t="s">
        <v>403</v>
      </c>
      <c r="D2766" s="3" t="s">
        <v>392</v>
      </c>
      <c r="E2766" s="3" t="s">
        <v>385</v>
      </c>
      <c r="F2766" s="16" t="n">
        <v>12</v>
      </c>
      <c r="G2766" s="15" t="n">
        <v>0</v>
      </c>
      <c r="H2766" s="16" t="n">
        <v>11</v>
      </c>
      <c r="I2766" s="33" t="n">
        <v>7608.24</v>
      </c>
      <c r="J2766" s="33" t="n">
        <v>7608.24</v>
      </c>
    </row>
    <row r="2767" customFormat="false" ht="15" hidden="false" customHeight="false" outlineLevel="0" collapsed="false">
      <c r="A2767" s="3" t="s">
        <v>3157</v>
      </c>
      <c r="B2767" s="3" t="s">
        <v>283</v>
      </c>
      <c r="C2767" s="3" t="s">
        <v>384</v>
      </c>
      <c r="D2767" s="3" t="s">
        <v>692</v>
      </c>
      <c r="E2767" s="3" t="s">
        <v>398</v>
      </c>
      <c r="F2767" s="16" t="n">
        <v>12</v>
      </c>
      <c r="G2767" s="15" t="n">
        <v>0</v>
      </c>
      <c r="H2767" s="16" t="n">
        <v>12</v>
      </c>
      <c r="I2767" s="33" t="n">
        <v>7604.4</v>
      </c>
      <c r="J2767" s="33" t="n">
        <v>7604.4</v>
      </c>
    </row>
    <row r="2768" customFormat="false" ht="15" hidden="false" customHeight="false" outlineLevel="0" collapsed="false">
      <c r="A2768" s="3" t="s">
        <v>3158</v>
      </c>
      <c r="B2768" s="3" t="s">
        <v>283</v>
      </c>
      <c r="C2768" s="3" t="s">
        <v>396</v>
      </c>
      <c r="D2768" s="3" t="s">
        <v>692</v>
      </c>
      <c r="E2768" s="3" t="s">
        <v>385</v>
      </c>
      <c r="F2768" s="16" t="n">
        <v>1</v>
      </c>
      <c r="G2768" s="15" t="n">
        <v>0</v>
      </c>
      <c r="H2768" s="16" t="n">
        <v>1</v>
      </c>
      <c r="I2768" s="33" t="n">
        <v>7582.56</v>
      </c>
      <c r="J2768" s="33" t="n">
        <v>7582.56</v>
      </c>
    </row>
    <row r="2769" customFormat="false" ht="15" hidden="false" customHeight="false" outlineLevel="0" collapsed="false">
      <c r="A2769" s="3" t="s">
        <v>3159</v>
      </c>
      <c r="B2769" s="3" t="s">
        <v>283</v>
      </c>
      <c r="C2769" s="3" t="s">
        <v>405</v>
      </c>
      <c r="D2769" s="3" t="s">
        <v>392</v>
      </c>
      <c r="E2769" s="3" t="s">
        <v>398</v>
      </c>
      <c r="F2769" s="16" t="n">
        <v>1</v>
      </c>
      <c r="G2769" s="15" t="n">
        <v>0.1</v>
      </c>
      <c r="H2769" s="16" t="n">
        <v>1</v>
      </c>
      <c r="I2769" s="33" t="n">
        <v>7576.2</v>
      </c>
      <c r="J2769" s="33" t="n">
        <v>8418</v>
      </c>
    </row>
    <row r="2770" customFormat="false" ht="15" hidden="false" customHeight="false" outlineLevel="0" collapsed="false">
      <c r="A2770" s="3" t="s">
        <v>3160</v>
      </c>
      <c r="B2770" s="3" t="s">
        <v>283</v>
      </c>
      <c r="C2770" s="3" t="s">
        <v>403</v>
      </c>
      <c r="D2770" s="3" t="s">
        <v>392</v>
      </c>
      <c r="E2770" s="3" t="s">
        <v>385</v>
      </c>
      <c r="F2770" s="16" t="n">
        <v>1</v>
      </c>
      <c r="G2770" s="15" t="n">
        <v>0</v>
      </c>
      <c r="H2770" s="16" t="n">
        <v>1</v>
      </c>
      <c r="I2770" s="33" t="n">
        <v>7575.84</v>
      </c>
      <c r="J2770" s="33" t="n">
        <v>7575.84</v>
      </c>
    </row>
    <row r="2771" customFormat="false" ht="15" hidden="false" customHeight="false" outlineLevel="0" collapsed="false">
      <c r="A2771" s="3" t="s">
        <v>3161</v>
      </c>
      <c r="B2771" s="3" t="s">
        <v>283</v>
      </c>
      <c r="C2771" s="3" t="s">
        <v>387</v>
      </c>
      <c r="D2771" s="3" t="s">
        <v>392</v>
      </c>
      <c r="E2771" s="3" t="s">
        <v>398</v>
      </c>
      <c r="F2771" s="16" t="n">
        <v>1</v>
      </c>
      <c r="G2771" s="15" t="n">
        <v>0</v>
      </c>
      <c r="H2771" s="16" t="n">
        <v>1</v>
      </c>
      <c r="I2771" s="33" t="n">
        <v>7572.24</v>
      </c>
      <c r="J2771" s="33" t="n">
        <v>7572.24</v>
      </c>
    </row>
    <row r="2772" customFormat="false" ht="15" hidden="false" customHeight="false" outlineLevel="0" collapsed="false">
      <c r="A2772" s="3" t="s">
        <v>3162</v>
      </c>
      <c r="B2772" s="3" t="s">
        <v>283</v>
      </c>
      <c r="C2772" s="3" t="s">
        <v>405</v>
      </c>
      <c r="D2772" s="3" t="s">
        <v>418</v>
      </c>
      <c r="E2772" s="3" t="s">
        <v>385</v>
      </c>
      <c r="F2772" s="16" t="n">
        <v>12</v>
      </c>
      <c r="G2772" s="15" t="n">
        <v>0</v>
      </c>
      <c r="H2772" s="16" t="n">
        <v>9</v>
      </c>
      <c r="I2772" s="33" t="n">
        <v>7561.2</v>
      </c>
      <c r="J2772" s="33" t="n">
        <v>7561.2</v>
      </c>
    </row>
    <row r="2773" customFormat="false" ht="15" hidden="false" customHeight="false" outlineLevel="0" collapsed="false">
      <c r="A2773" s="3" t="s">
        <v>3163</v>
      </c>
      <c r="B2773" s="3" t="s">
        <v>283</v>
      </c>
      <c r="C2773" s="3" t="s">
        <v>387</v>
      </c>
      <c r="D2773" s="3" t="s">
        <v>418</v>
      </c>
      <c r="E2773" s="3" t="s">
        <v>398</v>
      </c>
      <c r="F2773" s="16" t="n">
        <v>12</v>
      </c>
      <c r="G2773" s="15" t="n">
        <v>0</v>
      </c>
      <c r="H2773" s="16" t="n">
        <v>9</v>
      </c>
      <c r="I2773" s="33" t="n">
        <v>7559.28</v>
      </c>
      <c r="J2773" s="33" t="n">
        <v>7559.28</v>
      </c>
    </row>
    <row r="2774" customFormat="false" ht="15" hidden="false" customHeight="false" outlineLevel="0" collapsed="false">
      <c r="A2774" s="3" t="s">
        <v>3164</v>
      </c>
      <c r="B2774" s="3" t="s">
        <v>283</v>
      </c>
      <c r="C2774" s="3" t="s">
        <v>396</v>
      </c>
      <c r="D2774" s="3" t="s">
        <v>392</v>
      </c>
      <c r="E2774" s="3" t="s">
        <v>398</v>
      </c>
      <c r="F2774" s="16" t="n">
        <v>1</v>
      </c>
      <c r="G2774" s="15" t="n">
        <v>0.1</v>
      </c>
      <c r="H2774" s="16" t="n">
        <v>1</v>
      </c>
      <c r="I2774" s="33" t="n">
        <v>7551.36</v>
      </c>
      <c r="J2774" s="33" t="n">
        <v>8390.4</v>
      </c>
    </row>
    <row r="2775" customFormat="false" ht="15" hidden="false" customHeight="false" outlineLevel="0" collapsed="false">
      <c r="A2775" s="3" t="s">
        <v>3165</v>
      </c>
      <c r="B2775" s="3" t="s">
        <v>283</v>
      </c>
      <c r="C2775" s="3" t="s">
        <v>387</v>
      </c>
      <c r="D2775" s="3" t="s">
        <v>692</v>
      </c>
      <c r="E2775" s="3" t="s">
        <v>385</v>
      </c>
      <c r="F2775" s="16" t="n">
        <v>1</v>
      </c>
      <c r="G2775" s="15" t="n">
        <v>0</v>
      </c>
      <c r="H2775" s="16" t="n">
        <v>1</v>
      </c>
      <c r="I2775" s="33" t="n">
        <v>7531.92</v>
      </c>
      <c r="J2775" s="33" t="n">
        <v>7531.92</v>
      </c>
    </row>
    <row r="2776" customFormat="false" ht="15" hidden="false" customHeight="false" outlineLevel="0" collapsed="false">
      <c r="A2776" s="3" t="s">
        <v>3166</v>
      </c>
      <c r="B2776" s="3" t="s">
        <v>283</v>
      </c>
      <c r="C2776" s="3" t="s">
        <v>396</v>
      </c>
      <c r="D2776" s="3" t="s">
        <v>388</v>
      </c>
      <c r="E2776" s="3" t="s">
        <v>398</v>
      </c>
      <c r="F2776" s="16" t="n">
        <v>1</v>
      </c>
      <c r="G2776" s="15" t="n">
        <v>0.4</v>
      </c>
      <c r="H2776" s="16" t="n">
        <v>1</v>
      </c>
      <c r="I2776" s="33" t="n">
        <v>7530.96</v>
      </c>
      <c r="J2776" s="33" t="n">
        <v>12551.64</v>
      </c>
    </row>
    <row r="2777" customFormat="false" ht="15" hidden="false" customHeight="false" outlineLevel="0" collapsed="false">
      <c r="A2777" s="3" t="s">
        <v>3167</v>
      </c>
      <c r="B2777" s="3" t="s">
        <v>283</v>
      </c>
      <c r="C2777" s="3" t="s">
        <v>396</v>
      </c>
      <c r="D2777" s="3" t="s">
        <v>418</v>
      </c>
      <c r="E2777" s="3" t="s">
        <v>398</v>
      </c>
      <c r="F2777" s="16" t="n">
        <v>1</v>
      </c>
      <c r="G2777" s="15" t="n">
        <v>0.2</v>
      </c>
      <c r="H2777" s="16" t="n">
        <v>1</v>
      </c>
      <c r="I2777" s="33" t="n">
        <v>7530.84</v>
      </c>
      <c r="J2777" s="33" t="n">
        <v>9413.52</v>
      </c>
    </row>
    <row r="2778" customFormat="false" ht="15" hidden="false" customHeight="false" outlineLevel="0" collapsed="false">
      <c r="A2778" s="3" t="s">
        <v>3168</v>
      </c>
      <c r="B2778" s="3" t="s">
        <v>283</v>
      </c>
      <c r="C2778" s="3" t="s">
        <v>405</v>
      </c>
      <c r="D2778" s="3" t="s">
        <v>418</v>
      </c>
      <c r="E2778" s="3" t="s">
        <v>398</v>
      </c>
      <c r="F2778" s="16" t="n">
        <v>12</v>
      </c>
      <c r="G2778" s="15" t="n">
        <v>0</v>
      </c>
      <c r="H2778" s="16" t="n">
        <v>9</v>
      </c>
      <c r="I2778" s="33" t="n">
        <v>7509.36</v>
      </c>
      <c r="J2778" s="33" t="n">
        <v>7509.36</v>
      </c>
    </row>
    <row r="2779" customFormat="false" ht="15" hidden="false" customHeight="false" outlineLevel="0" collapsed="false">
      <c r="A2779" s="3" t="s">
        <v>3169</v>
      </c>
      <c r="B2779" s="3" t="s">
        <v>283</v>
      </c>
      <c r="C2779" s="3" t="s">
        <v>380</v>
      </c>
      <c r="D2779" s="3" t="s">
        <v>418</v>
      </c>
      <c r="E2779" s="3" t="s">
        <v>385</v>
      </c>
      <c r="F2779" s="16" t="n">
        <v>1</v>
      </c>
      <c r="G2779" s="15" t="n">
        <v>0</v>
      </c>
      <c r="H2779" s="16" t="n">
        <v>1</v>
      </c>
      <c r="I2779" s="33" t="n">
        <v>7495.92</v>
      </c>
      <c r="J2779" s="33" t="n">
        <v>7495.92</v>
      </c>
    </row>
    <row r="2780" customFormat="false" ht="15" hidden="false" customHeight="false" outlineLevel="0" collapsed="false">
      <c r="A2780" s="3" t="s">
        <v>3170</v>
      </c>
      <c r="B2780" s="3" t="s">
        <v>283</v>
      </c>
      <c r="C2780" s="3" t="s">
        <v>403</v>
      </c>
      <c r="D2780" s="3" t="s">
        <v>418</v>
      </c>
      <c r="E2780" s="3" t="s">
        <v>398</v>
      </c>
      <c r="F2780" s="16" t="n">
        <v>12</v>
      </c>
      <c r="G2780" s="15" t="n">
        <v>0</v>
      </c>
      <c r="H2780" s="16" t="n">
        <v>10</v>
      </c>
      <c r="I2780" s="33" t="n">
        <v>7492.56</v>
      </c>
      <c r="J2780" s="33" t="n">
        <v>7492.56</v>
      </c>
    </row>
    <row r="2781" customFormat="false" ht="15" hidden="false" customHeight="false" outlineLevel="0" collapsed="false">
      <c r="A2781" s="3" t="s">
        <v>3171</v>
      </c>
      <c r="B2781" s="3" t="s">
        <v>283</v>
      </c>
      <c r="C2781" s="3" t="s">
        <v>384</v>
      </c>
      <c r="D2781" s="3" t="s">
        <v>418</v>
      </c>
      <c r="E2781" s="3" t="s">
        <v>385</v>
      </c>
      <c r="F2781" s="16" t="n">
        <v>1</v>
      </c>
      <c r="G2781" s="15" t="n">
        <v>0</v>
      </c>
      <c r="H2781" s="16" t="n">
        <v>1</v>
      </c>
      <c r="I2781" s="33" t="n">
        <v>7479.84</v>
      </c>
      <c r="J2781" s="33" t="n">
        <v>7479.84</v>
      </c>
    </row>
    <row r="2782" customFormat="false" ht="15" hidden="false" customHeight="false" outlineLevel="0" collapsed="false">
      <c r="A2782" s="3" t="s">
        <v>3172</v>
      </c>
      <c r="B2782" s="3" t="s">
        <v>283</v>
      </c>
      <c r="C2782" s="3" t="s">
        <v>396</v>
      </c>
      <c r="D2782" s="3" t="s">
        <v>392</v>
      </c>
      <c r="E2782" s="3" t="s">
        <v>398</v>
      </c>
      <c r="F2782" s="16" t="n">
        <v>12</v>
      </c>
      <c r="G2782" s="15" t="n">
        <v>0.2</v>
      </c>
      <c r="H2782" s="16" t="n">
        <v>5</v>
      </c>
      <c r="I2782" s="33" t="n">
        <v>7478.76</v>
      </c>
      <c r="J2782" s="33" t="n">
        <v>9348.48</v>
      </c>
    </row>
    <row r="2783" customFormat="false" ht="15" hidden="false" customHeight="false" outlineLevel="0" collapsed="false">
      <c r="A2783" s="3" t="s">
        <v>3173</v>
      </c>
      <c r="B2783" s="3" t="s">
        <v>283</v>
      </c>
      <c r="C2783" s="3" t="s">
        <v>396</v>
      </c>
      <c r="D2783" s="3" t="s">
        <v>381</v>
      </c>
      <c r="E2783" s="3" t="s">
        <v>385</v>
      </c>
      <c r="F2783" s="16" t="n">
        <v>12</v>
      </c>
      <c r="G2783" s="15" t="n">
        <v>0.1</v>
      </c>
      <c r="H2783" s="16" t="n">
        <v>2</v>
      </c>
      <c r="I2783" s="33" t="n">
        <v>7473.96</v>
      </c>
      <c r="J2783" s="33" t="n">
        <v>8304.36</v>
      </c>
    </row>
    <row r="2784" customFormat="false" ht="15" hidden="false" customHeight="false" outlineLevel="0" collapsed="false">
      <c r="A2784" s="3" t="s">
        <v>3174</v>
      </c>
      <c r="B2784" s="3" t="s">
        <v>283</v>
      </c>
      <c r="C2784" s="3" t="s">
        <v>384</v>
      </c>
      <c r="D2784" s="3" t="s">
        <v>692</v>
      </c>
      <c r="E2784" s="3" t="s">
        <v>385</v>
      </c>
      <c r="F2784" s="16" t="n">
        <v>1</v>
      </c>
      <c r="G2784" s="15" t="n">
        <v>0.1</v>
      </c>
      <c r="H2784" s="16" t="n">
        <v>1</v>
      </c>
      <c r="I2784" s="33" t="n">
        <v>7471.56</v>
      </c>
      <c r="J2784" s="33" t="n">
        <v>8301.72</v>
      </c>
    </row>
    <row r="2785" customFormat="false" ht="15" hidden="false" customHeight="false" outlineLevel="0" collapsed="false">
      <c r="A2785" s="3" t="s">
        <v>3175</v>
      </c>
      <c r="B2785" s="3" t="s">
        <v>283</v>
      </c>
      <c r="C2785" s="3" t="s">
        <v>401</v>
      </c>
      <c r="D2785" s="3" t="s">
        <v>692</v>
      </c>
      <c r="E2785" s="3" t="s">
        <v>398</v>
      </c>
      <c r="F2785" s="16" t="n">
        <v>12</v>
      </c>
      <c r="G2785" s="15" t="n">
        <v>0.1</v>
      </c>
      <c r="H2785" s="16" t="n">
        <v>1</v>
      </c>
      <c r="I2785" s="33" t="n">
        <v>7471.44</v>
      </c>
      <c r="J2785" s="33" t="n">
        <v>8301.6</v>
      </c>
    </row>
    <row r="2786" customFormat="false" ht="15" hidden="false" customHeight="false" outlineLevel="0" collapsed="false">
      <c r="A2786" s="3" t="s">
        <v>3176</v>
      </c>
      <c r="B2786" s="3" t="s">
        <v>283</v>
      </c>
      <c r="C2786" s="3" t="s">
        <v>401</v>
      </c>
      <c r="D2786" s="3" t="s">
        <v>388</v>
      </c>
      <c r="E2786" s="3" t="s">
        <v>385</v>
      </c>
      <c r="F2786" s="16" t="n">
        <v>12</v>
      </c>
      <c r="G2786" s="15" t="n">
        <v>0</v>
      </c>
      <c r="H2786" s="16" t="n">
        <v>7</v>
      </c>
      <c r="I2786" s="33" t="n">
        <v>7463.4</v>
      </c>
      <c r="J2786" s="33" t="n">
        <v>7463.4</v>
      </c>
    </row>
    <row r="2787" customFormat="false" ht="15" hidden="false" customHeight="false" outlineLevel="0" collapsed="false">
      <c r="A2787" s="3" t="s">
        <v>3177</v>
      </c>
      <c r="B2787" s="3" t="s">
        <v>283</v>
      </c>
      <c r="C2787" s="3" t="s">
        <v>387</v>
      </c>
      <c r="D2787" s="3" t="s">
        <v>692</v>
      </c>
      <c r="E2787" s="3" t="s">
        <v>398</v>
      </c>
      <c r="F2787" s="16" t="n">
        <v>1</v>
      </c>
      <c r="G2787" s="15" t="n">
        <v>0</v>
      </c>
      <c r="H2787" s="16" t="n">
        <v>1</v>
      </c>
      <c r="I2787" s="33" t="n">
        <v>7461.48</v>
      </c>
      <c r="J2787" s="33" t="n">
        <v>7461.48</v>
      </c>
    </row>
    <row r="2788" customFormat="false" ht="15" hidden="false" customHeight="false" outlineLevel="0" collapsed="false">
      <c r="A2788" s="3" t="s">
        <v>3178</v>
      </c>
      <c r="B2788" s="3" t="s">
        <v>283</v>
      </c>
      <c r="C2788" s="3" t="s">
        <v>405</v>
      </c>
      <c r="D2788" s="3" t="s">
        <v>392</v>
      </c>
      <c r="E2788" s="3" t="s">
        <v>398</v>
      </c>
      <c r="F2788" s="16" t="n">
        <v>12</v>
      </c>
      <c r="G2788" s="15" t="n">
        <v>0.1</v>
      </c>
      <c r="H2788" s="16" t="n">
        <v>1</v>
      </c>
      <c r="I2788" s="33" t="n">
        <v>7460.4</v>
      </c>
      <c r="J2788" s="33" t="n">
        <v>8289.36</v>
      </c>
    </row>
    <row r="2789" customFormat="false" ht="15" hidden="false" customHeight="false" outlineLevel="0" collapsed="false">
      <c r="A2789" s="3" t="s">
        <v>3179</v>
      </c>
      <c r="B2789" s="3" t="s">
        <v>283</v>
      </c>
      <c r="C2789" s="3" t="s">
        <v>405</v>
      </c>
      <c r="D2789" s="3" t="s">
        <v>418</v>
      </c>
      <c r="E2789" s="3" t="s">
        <v>385</v>
      </c>
      <c r="F2789" s="16" t="n">
        <v>12</v>
      </c>
      <c r="G2789" s="15" t="n">
        <v>0.25</v>
      </c>
      <c r="H2789" s="16" t="n">
        <v>5</v>
      </c>
      <c r="I2789" s="33" t="n">
        <v>7448.4</v>
      </c>
      <c r="J2789" s="33" t="n">
        <v>9931.2</v>
      </c>
    </row>
    <row r="2790" customFormat="false" ht="15" hidden="false" customHeight="false" outlineLevel="0" collapsed="false">
      <c r="A2790" s="3" t="s">
        <v>3180</v>
      </c>
      <c r="B2790" s="3" t="s">
        <v>283</v>
      </c>
      <c r="C2790" s="3" t="s">
        <v>403</v>
      </c>
      <c r="D2790" s="3" t="s">
        <v>418</v>
      </c>
      <c r="E2790" s="3" t="s">
        <v>385</v>
      </c>
      <c r="F2790" s="16" t="n">
        <v>12</v>
      </c>
      <c r="G2790" s="15" t="n">
        <v>0</v>
      </c>
      <c r="H2790" s="16" t="n">
        <v>12</v>
      </c>
      <c r="I2790" s="33" t="n">
        <v>7447.92</v>
      </c>
      <c r="J2790" s="33" t="n">
        <v>7447.92</v>
      </c>
    </row>
    <row r="2791" customFormat="false" ht="15" hidden="false" customHeight="false" outlineLevel="0" collapsed="false">
      <c r="A2791" s="3" t="s">
        <v>3181</v>
      </c>
      <c r="B2791" s="3" t="s">
        <v>283</v>
      </c>
      <c r="C2791" s="3" t="s">
        <v>384</v>
      </c>
      <c r="D2791" s="3" t="s">
        <v>418</v>
      </c>
      <c r="E2791" s="3" t="s">
        <v>398</v>
      </c>
      <c r="F2791" s="16" t="n">
        <v>1</v>
      </c>
      <c r="G2791" s="15" t="n">
        <v>0.05</v>
      </c>
      <c r="H2791" s="16" t="n">
        <v>1</v>
      </c>
      <c r="I2791" s="33" t="n">
        <v>7443.48</v>
      </c>
      <c r="J2791" s="33" t="n">
        <v>7835.28</v>
      </c>
    </row>
    <row r="2792" customFormat="false" ht="15" hidden="false" customHeight="false" outlineLevel="0" collapsed="false">
      <c r="A2792" s="3" t="s">
        <v>3182</v>
      </c>
      <c r="B2792" s="3" t="s">
        <v>283</v>
      </c>
      <c r="C2792" s="3" t="s">
        <v>396</v>
      </c>
      <c r="D2792" s="3" t="s">
        <v>381</v>
      </c>
      <c r="E2792" s="3" t="s">
        <v>398</v>
      </c>
      <c r="F2792" s="16" t="n">
        <v>1</v>
      </c>
      <c r="G2792" s="15" t="n">
        <v>0</v>
      </c>
      <c r="H2792" s="16" t="n">
        <v>1</v>
      </c>
      <c r="I2792" s="33" t="n">
        <v>7439.04</v>
      </c>
      <c r="J2792" s="33" t="n">
        <v>7439.04</v>
      </c>
    </row>
    <row r="2793" customFormat="false" ht="15" hidden="false" customHeight="false" outlineLevel="0" collapsed="false">
      <c r="A2793" s="3" t="s">
        <v>3183</v>
      </c>
      <c r="B2793" s="3" t="s">
        <v>283</v>
      </c>
      <c r="C2793" s="3" t="s">
        <v>401</v>
      </c>
      <c r="D2793" s="3" t="s">
        <v>418</v>
      </c>
      <c r="E2793" s="3" t="s">
        <v>398</v>
      </c>
      <c r="F2793" s="16" t="n">
        <v>12</v>
      </c>
      <c r="G2793" s="15" t="n">
        <v>0.2</v>
      </c>
      <c r="H2793" s="16" t="n">
        <v>1</v>
      </c>
      <c r="I2793" s="33" t="n">
        <v>7433.04</v>
      </c>
      <c r="J2793" s="33" t="n">
        <v>9291.24</v>
      </c>
    </row>
    <row r="2794" customFormat="false" ht="15" hidden="false" customHeight="false" outlineLevel="0" collapsed="false">
      <c r="A2794" s="3" t="s">
        <v>3184</v>
      </c>
      <c r="B2794" s="3" t="s">
        <v>283</v>
      </c>
      <c r="C2794" s="3" t="s">
        <v>401</v>
      </c>
      <c r="D2794" s="3" t="s">
        <v>418</v>
      </c>
      <c r="E2794" s="3" t="s">
        <v>382</v>
      </c>
      <c r="F2794" s="16" t="n">
        <v>12</v>
      </c>
      <c r="G2794" s="15" t="n">
        <v>0</v>
      </c>
      <c r="H2794" s="16" t="n">
        <v>11</v>
      </c>
      <c r="I2794" s="33" t="n">
        <v>7432.92</v>
      </c>
      <c r="J2794" s="33" t="n">
        <v>7432.92</v>
      </c>
    </row>
    <row r="2795" customFormat="false" ht="15" hidden="false" customHeight="false" outlineLevel="0" collapsed="false">
      <c r="A2795" s="3" t="s">
        <v>3185</v>
      </c>
      <c r="B2795" s="3" t="s">
        <v>283</v>
      </c>
      <c r="C2795" s="3" t="s">
        <v>405</v>
      </c>
      <c r="D2795" s="3" t="s">
        <v>392</v>
      </c>
      <c r="E2795" s="3" t="s">
        <v>398</v>
      </c>
      <c r="F2795" s="16" t="n">
        <v>1</v>
      </c>
      <c r="G2795" s="15" t="n">
        <v>0</v>
      </c>
      <c r="H2795" s="16" t="n">
        <v>1</v>
      </c>
      <c r="I2795" s="33" t="n">
        <v>7414.8</v>
      </c>
      <c r="J2795" s="33" t="n">
        <v>7414.8</v>
      </c>
    </row>
    <row r="2796" customFormat="false" ht="15" hidden="false" customHeight="false" outlineLevel="0" collapsed="false">
      <c r="A2796" s="3" t="s">
        <v>3186</v>
      </c>
      <c r="B2796" s="3" t="s">
        <v>283</v>
      </c>
      <c r="C2796" s="3" t="s">
        <v>401</v>
      </c>
      <c r="D2796" s="3" t="s">
        <v>388</v>
      </c>
      <c r="E2796" s="3" t="s">
        <v>398</v>
      </c>
      <c r="F2796" s="16" t="n">
        <v>12</v>
      </c>
      <c r="G2796" s="15" t="n">
        <v>0.15</v>
      </c>
      <c r="H2796" s="16" t="n">
        <v>4</v>
      </c>
      <c r="I2796" s="33" t="n">
        <v>7405.56</v>
      </c>
      <c r="J2796" s="33" t="n">
        <v>8712.36</v>
      </c>
    </row>
    <row r="2797" customFormat="false" ht="15" hidden="false" customHeight="false" outlineLevel="0" collapsed="false">
      <c r="A2797" s="3" t="s">
        <v>3187</v>
      </c>
      <c r="B2797" s="3" t="s">
        <v>283</v>
      </c>
      <c r="C2797" s="3" t="s">
        <v>405</v>
      </c>
      <c r="D2797" s="3" t="s">
        <v>381</v>
      </c>
      <c r="E2797" s="3" t="s">
        <v>382</v>
      </c>
      <c r="F2797" s="16" t="n">
        <v>1</v>
      </c>
      <c r="G2797" s="15" t="n">
        <v>0</v>
      </c>
      <c r="H2797" s="16" t="n">
        <v>1</v>
      </c>
      <c r="I2797" s="33" t="n">
        <v>7392.12</v>
      </c>
      <c r="J2797" s="33" t="n">
        <v>7392.12</v>
      </c>
    </row>
    <row r="2798" customFormat="false" ht="15" hidden="false" customHeight="false" outlineLevel="0" collapsed="false">
      <c r="A2798" s="3" t="s">
        <v>3188</v>
      </c>
      <c r="B2798" s="3" t="s">
        <v>283</v>
      </c>
      <c r="C2798" s="3" t="s">
        <v>401</v>
      </c>
      <c r="D2798" s="3" t="s">
        <v>418</v>
      </c>
      <c r="E2798" s="3" t="s">
        <v>398</v>
      </c>
      <c r="F2798" s="16" t="n">
        <v>1</v>
      </c>
      <c r="G2798" s="15" t="n">
        <v>0</v>
      </c>
      <c r="H2798" s="16" t="n">
        <v>1</v>
      </c>
      <c r="I2798" s="33" t="n">
        <v>7382.4</v>
      </c>
      <c r="J2798" s="33" t="n">
        <v>7382.4</v>
      </c>
    </row>
    <row r="2799" customFormat="false" ht="15" hidden="false" customHeight="false" outlineLevel="0" collapsed="false">
      <c r="A2799" s="3" t="s">
        <v>3189</v>
      </c>
      <c r="B2799" s="3" t="s">
        <v>283</v>
      </c>
      <c r="C2799" s="3" t="s">
        <v>396</v>
      </c>
      <c r="D2799" s="3" t="s">
        <v>392</v>
      </c>
      <c r="E2799" s="3" t="s">
        <v>398</v>
      </c>
      <c r="F2799" s="16" t="n">
        <v>12</v>
      </c>
      <c r="G2799" s="15" t="n">
        <v>0</v>
      </c>
      <c r="H2799" s="16" t="n">
        <v>1</v>
      </c>
      <c r="I2799" s="33" t="n">
        <v>7370.52</v>
      </c>
      <c r="J2799" s="33" t="n">
        <v>7370.52</v>
      </c>
    </row>
    <row r="2800" customFormat="false" ht="15" hidden="false" customHeight="false" outlineLevel="0" collapsed="false">
      <c r="A2800" s="3" t="s">
        <v>3190</v>
      </c>
      <c r="B2800" s="3" t="s">
        <v>283</v>
      </c>
      <c r="C2800" s="3" t="s">
        <v>396</v>
      </c>
      <c r="D2800" s="3" t="s">
        <v>692</v>
      </c>
      <c r="E2800" s="3" t="s">
        <v>398</v>
      </c>
      <c r="F2800" s="16" t="n">
        <v>12</v>
      </c>
      <c r="G2800" s="15" t="n">
        <v>0</v>
      </c>
      <c r="H2800" s="16" t="n">
        <v>5</v>
      </c>
      <c r="I2800" s="33" t="n">
        <v>7354.56</v>
      </c>
      <c r="J2800" s="33" t="n">
        <v>7354.56</v>
      </c>
    </row>
    <row r="2801" customFormat="false" ht="15" hidden="false" customHeight="false" outlineLevel="0" collapsed="false">
      <c r="A2801" s="3" t="s">
        <v>3191</v>
      </c>
      <c r="B2801" s="3" t="s">
        <v>283</v>
      </c>
      <c r="C2801" s="3" t="s">
        <v>387</v>
      </c>
      <c r="D2801" s="3" t="s">
        <v>388</v>
      </c>
      <c r="E2801" s="3" t="s">
        <v>398</v>
      </c>
      <c r="F2801" s="16" t="n">
        <v>1</v>
      </c>
      <c r="G2801" s="15" t="n">
        <v>0.1</v>
      </c>
      <c r="H2801" s="16" t="n">
        <v>1</v>
      </c>
      <c r="I2801" s="33" t="n">
        <v>7354.44</v>
      </c>
      <c r="J2801" s="33" t="n">
        <v>8171.64</v>
      </c>
    </row>
    <row r="2802" customFormat="false" ht="15" hidden="false" customHeight="false" outlineLevel="0" collapsed="false">
      <c r="A2802" s="3" t="s">
        <v>3192</v>
      </c>
      <c r="B2802" s="3" t="s">
        <v>283</v>
      </c>
      <c r="C2802" s="3" t="s">
        <v>405</v>
      </c>
      <c r="D2802" s="3" t="s">
        <v>392</v>
      </c>
      <c r="E2802" s="3" t="s">
        <v>398</v>
      </c>
      <c r="F2802" s="16" t="n">
        <v>12</v>
      </c>
      <c r="G2802" s="15" t="n">
        <v>0</v>
      </c>
      <c r="H2802" s="16" t="n">
        <v>7</v>
      </c>
      <c r="I2802" s="33" t="n">
        <v>7341.6</v>
      </c>
      <c r="J2802" s="33" t="n">
        <v>7341.6</v>
      </c>
    </row>
    <row r="2803" customFormat="false" ht="15" hidden="false" customHeight="false" outlineLevel="0" collapsed="false">
      <c r="A2803" s="3" t="s">
        <v>3193</v>
      </c>
      <c r="B2803" s="3" t="s">
        <v>283</v>
      </c>
      <c r="C2803" s="3" t="s">
        <v>401</v>
      </c>
      <c r="D2803" s="3" t="s">
        <v>418</v>
      </c>
      <c r="E2803" s="3" t="s">
        <v>398</v>
      </c>
      <c r="F2803" s="16" t="n">
        <v>12</v>
      </c>
      <c r="G2803" s="15" t="n">
        <v>0</v>
      </c>
      <c r="H2803" s="16" t="n">
        <v>4</v>
      </c>
      <c r="I2803" s="33" t="n">
        <v>7338.36</v>
      </c>
      <c r="J2803" s="33" t="n">
        <v>7338.36</v>
      </c>
    </row>
    <row r="2804" customFormat="false" ht="15" hidden="false" customHeight="false" outlineLevel="0" collapsed="false">
      <c r="A2804" s="3" t="s">
        <v>3194</v>
      </c>
      <c r="B2804" s="3" t="s">
        <v>283</v>
      </c>
      <c r="C2804" s="3" t="s">
        <v>396</v>
      </c>
      <c r="D2804" s="3" t="s">
        <v>392</v>
      </c>
      <c r="E2804" s="3" t="s">
        <v>385</v>
      </c>
      <c r="F2804" s="16" t="n">
        <v>1</v>
      </c>
      <c r="G2804" s="15" t="n">
        <v>0</v>
      </c>
      <c r="H2804" s="16" t="n">
        <v>1</v>
      </c>
      <c r="I2804" s="33" t="n">
        <v>7335.24</v>
      </c>
      <c r="J2804" s="33" t="n">
        <v>7335.24</v>
      </c>
    </row>
    <row r="2805" customFormat="false" ht="15" hidden="false" customHeight="false" outlineLevel="0" collapsed="false">
      <c r="A2805" s="3" t="s">
        <v>3195</v>
      </c>
      <c r="B2805" s="3" t="s">
        <v>283</v>
      </c>
      <c r="C2805" s="3" t="s">
        <v>387</v>
      </c>
      <c r="D2805" s="3" t="s">
        <v>692</v>
      </c>
      <c r="E2805" s="3" t="s">
        <v>398</v>
      </c>
      <c r="F2805" s="16" t="n">
        <v>1</v>
      </c>
      <c r="G2805" s="15" t="n">
        <v>0</v>
      </c>
      <c r="H2805" s="16" t="n">
        <v>1</v>
      </c>
      <c r="I2805" s="33" t="n">
        <v>7334.64</v>
      </c>
      <c r="J2805" s="33" t="n">
        <v>7334.64</v>
      </c>
    </row>
    <row r="2806" customFormat="false" ht="15" hidden="false" customHeight="false" outlineLevel="0" collapsed="false">
      <c r="A2806" s="3" t="s">
        <v>3196</v>
      </c>
      <c r="B2806" s="3" t="s">
        <v>283</v>
      </c>
      <c r="C2806" s="3" t="s">
        <v>403</v>
      </c>
      <c r="D2806" s="3" t="s">
        <v>418</v>
      </c>
      <c r="E2806" s="3" t="s">
        <v>398</v>
      </c>
      <c r="F2806" s="16" t="n">
        <v>1</v>
      </c>
      <c r="G2806" s="15" t="n">
        <v>0.25</v>
      </c>
      <c r="H2806" s="16" t="n">
        <v>1</v>
      </c>
      <c r="I2806" s="33" t="n">
        <v>7329.96</v>
      </c>
      <c r="J2806" s="33" t="n">
        <v>9773.28</v>
      </c>
    </row>
    <row r="2807" customFormat="false" ht="15" hidden="false" customHeight="false" outlineLevel="0" collapsed="false">
      <c r="A2807" s="3" t="s">
        <v>3197</v>
      </c>
      <c r="B2807" s="3" t="s">
        <v>283</v>
      </c>
      <c r="C2807" s="3" t="s">
        <v>403</v>
      </c>
      <c r="D2807" s="3" t="s">
        <v>692</v>
      </c>
      <c r="E2807" s="3" t="s">
        <v>398</v>
      </c>
      <c r="F2807" s="16" t="n">
        <v>1</v>
      </c>
      <c r="G2807" s="15" t="n">
        <v>0</v>
      </c>
      <c r="H2807" s="16" t="n">
        <v>1</v>
      </c>
      <c r="I2807" s="33" t="n">
        <v>7324.92</v>
      </c>
      <c r="J2807" s="33" t="n">
        <v>7324.92</v>
      </c>
    </row>
    <row r="2808" customFormat="false" ht="15" hidden="false" customHeight="false" outlineLevel="0" collapsed="false">
      <c r="A2808" s="3" t="s">
        <v>3198</v>
      </c>
      <c r="B2808" s="3" t="s">
        <v>283</v>
      </c>
      <c r="C2808" s="3" t="s">
        <v>401</v>
      </c>
      <c r="D2808" s="3" t="s">
        <v>392</v>
      </c>
      <c r="E2808" s="3" t="s">
        <v>398</v>
      </c>
      <c r="F2808" s="16" t="n">
        <v>1</v>
      </c>
      <c r="G2808" s="15" t="n">
        <v>0</v>
      </c>
      <c r="H2808" s="16" t="n">
        <v>1</v>
      </c>
      <c r="I2808" s="33" t="n">
        <v>7323.36</v>
      </c>
      <c r="J2808" s="33" t="n">
        <v>7323.36</v>
      </c>
    </row>
    <row r="2809" customFormat="false" ht="15" hidden="false" customHeight="false" outlineLevel="0" collapsed="false">
      <c r="A2809" s="3" t="s">
        <v>3199</v>
      </c>
      <c r="B2809" s="3" t="s">
        <v>283</v>
      </c>
      <c r="C2809" s="3" t="s">
        <v>401</v>
      </c>
      <c r="D2809" s="3" t="s">
        <v>418</v>
      </c>
      <c r="E2809" s="3" t="s">
        <v>385</v>
      </c>
      <c r="F2809" s="16" t="n">
        <v>12</v>
      </c>
      <c r="G2809" s="15" t="n">
        <v>0</v>
      </c>
      <c r="H2809" s="16" t="n">
        <v>8</v>
      </c>
      <c r="I2809" s="33" t="n">
        <v>7323</v>
      </c>
      <c r="J2809" s="33" t="n">
        <v>7323</v>
      </c>
    </row>
    <row r="2810" customFormat="false" ht="15" hidden="false" customHeight="false" outlineLevel="0" collapsed="false">
      <c r="A2810" s="3" t="s">
        <v>3200</v>
      </c>
      <c r="B2810" s="3" t="s">
        <v>283</v>
      </c>
      <c r="C2810" s="3" t="s">
        <v>387</v>
      </c>
      <c r="D2810" s="3" t="s">
        <v>381</v>
      </c>
      <c r="E2810" s="3" t="s">
        <v>398</v>
      </c>
      <c r="F2810" s="16" t="n">
        <v>12</v>
      </c>
      <c r="G2810" s="15" t="n">
        <v>0</v>
      </c>
      <c r="H2810" s="16" t="n">
        <v>11</v>
      </c>
      <c r="I2810" s="33" t="n">
        <v>7318.68</v>
      </c>
      <c r="J2810" s="33" t="n">
        <v>7318.68</v>
      </c>
    </row>
    <row r="2811" customFormat="false" ht="15" hidden="false" customHeight="false" outlineLevel="0" collapsed="false">
      <c r="A2811" s="3" t="s">
        <v>3201</v>
      </c>
      <c r="B2811" s="3" t="s">
        <v>283</v>
      </c>
      <c r="C2811" s="3" t="s">
        <v>384</v>
      </c>
      <c r="D2811" s="3" t="s">
        <v>392</v>
      </c>
      <c r="E2811" s="3" t="s">
        <v>398</v>
      </c>
      <c r="F2811" s="16" t="n">
        <v>1</v>
      </c>
      <c r="G2811" s="15" t="n">
        <v>0.1</v>
      </c>
      <c r="H2811" s="16" t="n">
        <v>1</v>
      </c>
      <c r="I2811" s="33" t="n">
        <v>7296.84</v>
      </c>
      <c r="J2811" s="33" t="n">
        <v>8107.56</v>
      </c>
    </row>
    <row r="2812" customFormat="false" ht="15" hidden="false" customHeight="false" outlineLevel="0" collapsed="false">
      <c r="A2812" s="3" t="s">
        <v>3202</v>
      </c>
      <c r="B2812" s="3" t="s">
        <v>283</v>
      </c>
      <c r="C2812" s="3" t="s">
        <v>401</v>
      </c>
      <c r="D2812" s="3" t="s">
        <v>692</v>
      </c>
      <c r="E2812" s="3" t="s">
        <v>398</v>
      </c>
      <c r="F2812" s="16" t="n">
        <v>1</v>
      </c>
      <c r="G2812" s="15" t="n">
        <v>0.2</v>
      </c>
      <c r="H2812" s="16" t="n">
        <v>1</v>
      </c>
      <c r="I2812" s="33" t="n">
        <v>7292.76</v>
      </c>
      <c r="J2812" s="33" t="n">
        <v>9115.92</v>
      </c>
    </row>
    <row r="2813" customFormat="false" ht="15" hidden="false" customHeight="false" outlineLevel="0" collapsed="false">
      <c r="A2813" s="3" t="s">
        <v>3203</v>
      </c>
      <c r="B2813" s="3" t="s">
        <v>283</v>
      </c>
      <c r="C2813" s="3" t="s">
        <v>405</v>
      </c>
      <c r="D2813" s="3" t="s">
        <v>692</v>
      </c>
      <c r="E2813" s="3" t="s">
        <v>398</v>
      </c>
      <c r="F2813" s="16" t="n">
        <v>12</v>
      </c>
      <c r="G2813" s="15" t="n">
        <v>0</v>
      </c>
      <c r="H2813" s="16" t="n">
        <v>10</v>
      </c>
      <c r="I2813" s="33" t="n">
        <v>7292.52</v>
      </c>
      <c r="J2813" s="33" t="n">
        <v>7292.52</v>
      </c>
    </row>
    <row r="2814" customFormat="false" ht="15" hidden="false" customHeight="false" outlineLevel="0" collapsed="false">
      <c r="A2814" s="3" t="s">
        <v>3204</v>
      </c>
      <c r="B2814" s="3" t="s">
        <v>283</v>
      </c>
      <c r="C2814" s="3" t="s">
        <v>380</v>
      </c>
      <c r="D2814" s="3" t="s">
        <v>381</v>
      </c>
      <c r="E2814" s="3" t="s">
        <v>398</v>
      </c>
      <c r="F2814" s="16" t="n">
        <v>1</v>
      </c>
      <c r="G2814" s="15" t="n">
        <v>0.1</v>
      </c>
      <c r="H2814" s="16" t="n">
        <v>1</v>
      </c>
      <c r="I2814" s="33" t="n">
        <v>7290.48</v>
      </c>
      <c r="J2814" s="33" t="n">
        <v>8100.48</v>
      </c>
    </row>
    <row r="2815" customFormat="false" ht="15" hidden="false" customHeight="false" outlineLevel="0" collapsed="false">
      <c r="A2815" s="3" t="s">
        <v>3205</v>
      </c>
      <c r="B2815" s="3" t="s">
        <v>283</v>
      </c>
      <c r="C2815" s="3" t="s">
        <v>380</v>
      </c>
      <c r="D2815" s="3" t="s">
        <v>392</v>
      </c>
      <c r="E2815" s="3" t="s">
        <v>398</v>
      </c>
      <c r="F2815" s="16" t="n">
        <v>1</v>
      </c>
      <c r="G2815" s="15" t="n">
        <v>0</v>
      </c>
      <c r="H2815" s="16" t="n">
        <v>1</v>
      </c>
      <c r="I2815" s="33" t="n">
        <v>7286.28</v>
      </c>
      <c r="J2815" s="33" t="n">
        <v>7286.28</v>
      </c>
    </row>
    <row r="2816" customFormat="false" ht="15" hidden="false" customHeight="false" outlineLevel="0" collapsed="false">
      <c r="A2816" s="3" t="s">
        <v>3206</v>
      </c>
      <c r="B2816" s="3" t="s">
        <v>283</v>
      </c>
      <c r="C2816" s="3" t="s">
        <v>401</v>
      </c>
      <c r="D2816" s="3" t="s">
        <v>418</v>
      </c>
      <c r="E2816" s="3" t="s">
        <v>382</v>
      </c>
      <c r="F2816" s="16" t="n">
        <v>12</v>
      </c>
      <c r="G2816" s="15" t="n">
        <v>0</v>
      </c>
      <c r="H2816" s="16" t="n">
        <v>9</v>
      </c>
      <c r="I2816" s="33" t="n">
        <v>7283.28</v>
      </c>
      <c r="J2816" s="33" t="n">
        <v>7283.28</v>
      </c>
    </row>
    <row r="2817" customFormat="false" ht="15" hidden="false" customHeight="false" outlineLevel="0" collapsed="false">
      <c r="A2817" s="3" t="s">
        <v>3207</v>
      </c>
      <c r="B2817" s="3" t="s">
        <v>283</v>
      </c>
      <c r="C2817" s="3" t="s">
        <v>403</v>
      </c>
      <c r="D2817" s="3" t="s">
        <v>388</v>
      </c>
      <c r="E2817" s="3" t="s">
        <v>398</v>
      </c>
      <c r="F2817" s="16" t="n">
        <v>1</v>
      </c>
      <c r="G2817" s="15" t="n">
        <v>0</v>
      </c>
      <c r="H2817" s="16" t="n">
        <v>1</v>
      </c>
      <c r="I2817" s="33" t="n">
        <v>7282.32</v>
      </c>
      <c r="J2817" s="33" t="n">
        <v>7282.32</v>
      </c>
    </row>
    <row r="2818" customFormat="false" ht="15" hidden="false" customHeight="false" outlineLevel="0" collapsed="false">
      <c r="A2818" s="3" t="s">
        <v>3208</v>
      </c>
      <c r="B2818" s="3" t="s">
        <v>283</v>
      </c>
      <c r="C2818" s="3" t="s">
        <v>403</v>
      </c>
      <c r="D2818" s="3" t="s">
        <v>392</v>
      </c>
      <c r="E2818" s="3" t="s">
        <v>398</v>
      </c>
      <c r="F2818" s="16" t="n">
        <v>1</v>
      </c>
      <c r="G2818" s="15" t="n">
        <v>0</v>
      </c>
      <c r="H2818" s="16" t="n">
        <v>1</v>
      </c>
      <c r="I2818" s="33" t="n">
        <v>7277.52</v>
      </c>
      <c r="J2818" s="33" t="n">
        <v>7277.52</v>
      </c>
    </row>
    <row r="2819" customFormat="false" ht="15" hidden="false" customHeight="false" outlineLevel="0" collapsed="false">
      <c r="A2819" s="3" t="s">
        <v>3209</v>
      </c>
      <c r="B2819" s="3" t="s">
        <v>283</v>
      </c>
      <c r="C2819" s="3" t="s">
        <v>387</v>
      </c>
      <c r="D2819" s="3" t="s">
        <v>692</v>
      </c>
      <c r="E2819" s="3" t="s">
        <v>385</v>
      </c>
      <c r="F2819" s="16" t="n">
        <v>12</v>
      </c>
      <c r="G2819" s="15" t="n">
        <v>0</v>
      </c>
      <c r="H2819" s="16" t="n">
        <v>9</v>
      </c>
      <c r="I2819" s="33" t="n">
        <v>7276.44</v>
      </c>
      <c r="J2819" s="33" t="n">
        <v>7276.44</v>
      </c>
    </row>
    <row r="2820" customFormat="false" ht="15" hidden="false" customHeight="false" outlineLevel="0" collapsed="false">
      <c r="A2820" s="3" t="s">
        <v>3210</v>
      </c>
      <c r="B2820" s="3" t="s">
        <v>283</v>
      </c>
      <c r="C2820" s="3" t="s">
        <v>380</v>
      </c>
      <c r="D2820" s="3" t="s">
        <v>692</v>
      </c>
      <c r="E2820" s="3" t="s">
        <v>398</v>
      </c>
      <c r="F2820" s="16" t="n">
        <v>12</v>
      </c>
      <c r="G2820" s="15" t="n">
        <v>0</v>
      </c>
      <c r="H2820" s="16" t="n">
        <v>8</v>
      </c>
      <c r="I2820" s="33" t="n">
        <v>7275.72</v>
      </c>
      <c r="J2820" s="33" t="n">
        <v>7275.72</v>
      </c>
    </row>
    <row r="2821" customFormat="false" ht="15" hidden="false" customHeight="false" outlineLevel="0" collapsed="false">
      <c r="A2821" s="3" t="s">
        <v>3211</v>
      </c>
      <c r="B2821" s="3" t="s">
        <v>283</v>
      </c>
      <c r="C2821" s="3" t="s">
        <v>380</v>
      </c>
      <c r="D2821" s="3" t="s">
        <v>692</v>
      </c>
      <c r="E2821" s="3" t="s">
        <v>398</v>
      </c>
      <c r="F2821" s="16" t="n">
        <v>12</v>
      </c>
      <c r="G2821" s="15" t="n">
        <v>0.1</v>
      </c>
      <c r="H2821" s="16" t="n">
        <v>3</v>
      </c>
      <c r="I2821" s="33" t="n">
        <v>7274.16</v>
      </c>
      <c r="J2821" s="33" t="n">
        <v>8082.36</v>
      </c>
    </row>
    <row r="2822" customFormat="false" ht="15" hidden="false" customHeight="false" outlineLevel="0" collapsed="false">
      <c r="A2822" s="3" t="s">
        <v>3212</v>
      </c>
      <c r="B2822" s="3" t="s">
        <v>283</v>
      </c>
      <c r="C2822" s="3" t="s">
        <v>387</v>
      </c>
      <c r="D2822" s="3" t="s">
        <v>418</v>
      </c>
      <c r="E2822" s="3" t="s">
        <v>398</v>
      </c>
      <c r="F2822" s="16" t="n">
        <v>1</v>
      </c>
      <c r="G2822" s="15" t="n">
        <v>0</v>
      </c>
      <c r="H2822" s="16" t="n">
        <v>1</v>
      </c>
      <c r="I2822" s="33" t="n">
        <v>7273.32</v>
      </c>
      <c r="J2822" s="33" t="n">
        <v>7273.32</v>
      </c>
    </row>
    <row r="2823" customFormat="false" ht="15" hidden="false" customHeight="false" outlineLevel="0" collapsed="false">
      <c r="A2823" s="3" t="s">
        <v>3213</v>
      </c>
      <c r="B2823" s="3" t="s">
        <v>283</v>
      </c>
      <c r="C2823" s="3" t="s">
        <v>380</v>
      </c>
      <c r="D2823" s="3" t="s">
        <v>388</v>
      </c>
      <c r="E2823" s="3" t="s">
        <v>385</v>
      </c>
      <c r="F2823" s="16" t="n">
        <v>12</v>
      </c>
      <c r="G2823" s="15" t="n">
        <v>0</v>
      </c>
      <c r="H2823" s="16" t="n">
        <v>1</v>
      </c>
      <c r="I2823" s="33" t="n">
        <v>7271.28</v>
      </c>
      <c r="J2823" s="33" t="n">
        <v>7271.28</v>
      </c>
    </row>
    <row r="2824" customFormat="false" ht="15" hidden="false" customHeight="false" outlineLevel="0" collapsed="false">
      <c r="A2824" s="3" t="s">
        <v>3214</v>
      </c>
      <c r="B2824" s="3" t="s">
        <v>283</v>
      </c>
      <c r="C2824" s="3" t="s">
        <v>396</v>
      </c>
      <c r="D2824" s="3" t="s">
        <v>392</v>
      </c>
      <c r="E2824" s="3" t="s">
        <v>398</v>
      </c>
      <c r="F2824" s="16" t="n">
        <v>1</v>
      </c>
      <c r="G2824" s="15" t="n">
        <v>0.1</v>
      </c>
      <c r="H2824" s="16" t="n">
        <v>1</v>
      </c>
      <c r="I2824" s="33" t="n">
        <v>7269.84</v>
      </c>
      <c r="J2824" s="33" t="n">
        <v>8077.68</v>
      </c>
    </row>
    <row r="2825" customFormat="false" ht="15" hidden="false" customHeight="false" outlineLevel="0" collapsed="false">
      <c r="A2825" s="3" t="s">
        <v>3215</v>
      </c>
      <c r="B2825" s="3" t="s">
        <v>283</v>
      </c>
      <c r="C2825" s="3" t="s">
        <v>403</v>
      </c>
      <c r="D2825" s="3" t="s">
        <v>692</v>
      </c>
      <c r="E2825" s="3" t="s">
        <v>385</v>
      </c>
      <c r="F2825" s="16" t="n">
        <v>1</v>
      </c>
      <c r="G2825" s="15" t="n">
        <v>0</v>
      </c>
      <c r="H2825" s="16" t="n">
        <v>1</v>
      </c>
      <c r="I2825" s="33" t="n">
        <v>7268.04</v>
      </c>
      <c r="J2825" s="33" t="n">
        <v>7268.04</v>
      </c>
    </row>
    <row r="2826" customFormat="false" ht="15" hidden="false" customHeight="false" outlineLevel="0" collapsed="false">
      <c r="A2826" s="3" t="s">
        <v>3216</v>
      </c>
      <c r="B2826" s="3" t="s">
        <v>283</v>
      </c>
      <c r="C2826" s="3" t="s">
        <v>396</v>
      </c>
      <c r="D2826" s="3" t="s">
        <v>692</v>
      </c>
      <c r="E2826" s="3" t="s">
        <v>385</v>
      </c>
      <c r="F2826" s="16" t="n">
        <v>12</v>
      </c>
      <c r="G2826" s="15" t="n">
        <v>0</v>
      </c>
      <c r="H2826" s="16" t="n">
        <v>7</v>
      </c>
      <c r="I2826" s="33" t="n">
        <v>7264.8</v>
      </c>
      <c r="J2826" s="33" t="n">
        <v>7264.8</v>
      </c>
    </row>
    <row r="2827" customFormat="false" ht="15" hidden="false" customHeight="false" outlineLevel="0" collapsed="false">
      <c r="A2827" s="3" t="s">
        <v>3217</v>
      </c>
      <c r="B2827" s="3" t="s">
        <v>283</v>
      </c>
      <c r="C2827" s="3" t="s">
        <v>401</v>
      </c>
      <c r="D2827" s="3" t="s">
        <v>418</v>
      </c>
      <c r="E2827" s="3" t="s">
        <v>382</v>
      </c>
      <c r="F2827" s="16" t="n">
        <v>1</v>
      </c>
      <c r="G2827" s="15" t="n">
        <v>0</v>
      </c>
      <c r="H2827" s="16" t="n">
        <v>1</v>
      </c>
      <c r="I2827" s="33" t="n">
        <v>7262.64</v>
      </c>
      <c r="J2827" s="33" t="n">
        <v>7262.64</v>
      </c>
    </row>
    <row r="2828" customFormat="false" ht="15" hidden="false" customHeight="false" outlineLevel="0" collapsed="false">
      <c r="A2828" s="3" t="s">
        <v>3218</v>
      </c>
      <c r="B2828" s="3" t="s">
        <v>283</v>
      </c>
      <c r="C2828" s="3" t="s">
        <v>405</v>
      </c>
      <c r="D2828" s="3" t="s">
        <v>418</v>
      </c>
      <c r="E2828" s="3" t="s">
        <v>385</v>
      </c>
      <c r="F2828" s="16" t="n">
        <v>12</v>
      </c>
      <c r="G2828" s="15" t="n">
        <v>0.3</v>
      </c>
      <c r="H2828" s="16" t="n">
        <v>11</v>
      </c>
      <c r="I2828" s="33" t="n">
        <v>7260</v>
      </c>
      <c r="J2828" s="33" t="n">
        <v>10371.48</v>
      </c>
    </row>
    <row r="2829" customFormat="false" ht="15" hidden="false" customHeight="false" outlineLevel="0" collapsed="false">
      <c r="A2829" s="3" t="s">
        <v>3219</v>
      </c>
      <c r="B2829" s="3" t="s">
        <v>283</v>
      </c>
      <c r="C2829" s="3" t="s">
        <v>396</v>
      </c>
      <c r="D2829" s="3" t="s">
        <v>381</v>
      </c>
      <c r="E2829" s="3" t="s">
        <v>398</v>
      </c>
      <c r="F2829" s="16" t="n">
        <v>1</v>
      </c>
      <c r="G2829" s="15" t="n">
        <v>0</v>
      </c>
      <c r="H2829" s="16" t="n">
        <v>1</v>
      </c>
      <c r="I2829" s="33" t="n">
        <v>7255.68</v>
      </c>
      <c r="J2829" s="33" t="n">
        <v>7255.68</v>
      </c>
    </row>
    <row r="2830" customFormat="false" ht="15" hidden="false" customHeight="false" outlineLevel="0" collapsed="false">
      <c r="A2830" s="3" t="s">
        <v>3220</v>
      </c>
      <c r="B2830" s="3" t="s">
        <v>283</v>
      </c>
      <c r="C2830" s="3" t="s">
        <v>396</v>
      </c>
      <c r="D2830" s="3" t="s">
        <v>692</v>
      </c>
      <c r="E2830" s="3" t="s">
        <v>398</v>
      </c>
      <c r="F2830" s="16" t="n">
        <v>1</v>
      </c>
      <c r="G2830" s="15" t="n">
        <v>0.15</v>
      </c>
      <c r="H2830" s="16" t="n">
        <v>1</v>
      </c>
      <c r="I2830" s="33" t="n">
        <v>7255.56</v>
      </c>
      <c r="J2830" s="33" t="n">
        <v>8535.96</v>
      </c>
    </row>
    <row r="2831" customFormat="false" ht="15" hidden="false" customHeight="false" outlineLevel="0" collapsed="false">
      <c r="A2831" s="3" t="s">
        <v>3221</v>
      </c>
      <c r="B2831" s="3" t="s">
        <v>283</v>
      </c>
      <c r="C2831" s="3" t="s">
        <v>384</v>
      </c>
      <c r="D2831" s="3" t="s">
        <v>692</v>
      </c>
      <c r="E2831" s="3" t="s">
        <v>398</v>
      </c>
      <c r="F2831" s="16" t="n">
        <v>12</v>
      </c>
      <c r="G2831" s="15" t="n">
        <v>0</v>
      </c>
      <c r="H2831" s="16" t="n">
        <v>8</v>
      </c>
      <c r="I2831" s="33" t="n">
        <v>7255.44</v>
      </c>
      <c r="J2831" s="33" t="n">
        <v>7255.44</v>
      </c>
    </row>
    <row r="2832" customFormat="false" ht="15" hidden="false" customHeight="false" outlineLevel="0" collapsed="false">
      <c r="A2832" s="3" t="s">
        <v>3222</v>
      </c>
      <c r="B2832" s="3" t="s">
        <v>283</v>
      </c>
      <c r="C2832" s="3" t="s">
        <v>384</v>
      </c>
      <c r="D2832" s="3" t="s">
        <v>692</v>
      </c>
      <c r="E2832" s="3" t="s">
        <v>398</v>
      </c>
      <c r="F2832" s="16" t="n">
        <v>12</v>
      </c>
      <c r="G2832" s="15" t="n">
        <v>0</v>
      </c>
      <c r="H2832" s="16" t="n">
        <v>8</v>
      </c>
      <c r="I2832" s="33" t="n">
        <v>7253.76</v>
      </c>
      <c r="J2832" s="33" t="n">
        <v>7253.76</v>
      </c>
    </row>
    <row r="2833" customFormat="false" ht="15" hidden="false" customHeight="false" outlineLevel="0" collapsed="false">
      <c r="A2833" s="3" t="s">
        <v>3223</v>
      </c>
      <c r="B2833" s="3" t="s">
        <v>283</v>
      </c>
      <c r="C2833" s="3" t="s">
        <v>403</v>
      </c>
      <c r="D2833" s="3" t="s">
        <v>381</v>
      </c>
      <c r="E2833" s="3" t="s">
        <v>382</v>
      </c>
      <c r="F2833" s="16" t="n">
        <v>1</v>
      </c>
      <c r="G2833" s="15" t="n">
        <v>0</v>
      </c>
      <c r="H2833" s="16" t="n">
        <v>1</v>
      </c>
      <c r="I2833" s="33" t="n">
        <v>7253.4</v>
      </c>
      <c r="J2833" s="33" t="n">
        <v>7253.4</v>
      </c>
    </row>
    <row r="2834" customFormat="false" ht="15" hidden="false" customHeight="false" outlineLevel="0" collapsed="false">
      <c r="A2834" s="3" t="s">
        <v>3224</v>
      </c>
      <c r="B2834" s="3" t="s">
        <v>283</v>
      </c>
      <c r="C2834" s="3" t="s">
        <v>380</v>
      </c>
      <c r="D2834" s="3" t="s">
        <v>392</v>
      </c>
      <c r="E2834" s="3" t="s">
        <v>398</v>
      </c>
      <c r="F2834" s="16" t="n">
        <v>12</v>
      </c>
      <c r="G2834" s="15" t="n">
        <v>0</v>
      </c>
      <c r="H2834" s="16" t="n">
        <v>1</v>
      </c>
      <c r="I2834" s="33" t="n">
        <v>7249.92</v>
      </c>
      <c r="J2834" s="33" t="n">
        <v>7249.92</v>
      </c>
    </row>
    <row r="2835" customFormat="false" ht="15" hidden="false" customHeight="false" outlineLevel="0" collapsed="false">
      <c r="A2835" s="3" t="s">
        <v>3225</v>
      </c>
      <c r="B2835" s="3" t="s">
        <v>283</v>
      </c>
      <c r="C2835" s="3" t="s">
        <v>384</v>
      </c>
      <c r="D2835" s="3" t="s">
        <v>381</v>
      </c>
      <c r="E2835" s="3" t="s">
        <v>398</v>
      </c>
      <c r="F2835" s="16" t="n">
        <v>1</v>
      </c>
      <c r="G2835" s="15" t="n">
        <v>0</v>
      </c>
      <c r="H2835" s="16" t="n">
        <v>1</v>
      </c>
      <c r="I2835" s="33" t="n">
        <v>7242.48</v>
      </c>
      <c r="J2835" s="33" t="n">
        <v>7242.48</v>
      </c>
    </row>
    <row r="2836" customFormat="false" ht="15" hidden="false" customHeight="false" outlineLevel="0" collapsed="false">
      <c r="A2836" s="3" t="s">
        <v>3226</v>
      </c>
      <c r="B2836" s="3" t="s">
        <v>283</v>
      </c>
      <c r="C2836" s="3" t="s">
        <v>396</v>
      </c>
      <c r="D2836" s="3" t="s">
        <v>692</v>
      </c>
      <c r="E2836" s="3" t="s">
        <v>385</v>
      </c>
      <c r="F2836" s="16" t="n">
        <v>1</v>
      </c>
      <c r="G2836" s="15" t="n">
        <v>0</v>
      </c>
      <c r="H2836" s="16" t="n">
        <v>1</v>
      </c>
      <c r="I2836" s="33" t="n">
        <v>7236.84</v>
      </c>
      <c r="J2836" s="33" t="n">
        <v>7236.84</v>
      </c>
    </row>
    <row r="2837" customFormat="false" ht="15" hidden="false" customHeight="false" outlineLevel="0" collapsed="false">
      <c r="A2837" s="3" t="s">
        <v>3227</v>
      </c>
      <c r="B2837" s="3" t="s">
        <v>283</v>
      </c>
      <c r="C2837" s="3" t="s">
        <v>387</v>
      </c>
      <c r="D2837" s="3" t="s">
        <v>692</v>
      </c>
      <c r="E2837" s="3" t="s">
        <v>382</v>
      </c>
      <c r="F2837" s="16" t="n">
        <v>12</v>
      </c>
      <c r="G2837" s="15" t="n">
        <v>0</v>
      </c>
      <c r="H2837" s="16" t="n">
        <v>10</v>
      </c>
      <c r="I2837" s="33" t="n">
        <v>7234.92</v>
      </c>
      <c r="J2837" s="33" t="n">
        <v>7234.92</v>
      </c>
    </row>
    <row r="2838" customFormat="false" ht="15" hidden="false" customHeight="false" outlineLevel="0" collapsed="false">
      <c r="A2838" s="3" t="s">
        <v>3228</v>
      </c>
      <c r="B2838" s="3" t="s">
        <v>283</v>
      </c>
      <c r="C2838" s="3" t="s">
        <v>401</v>
      </c>
      <c r="D2838" s="3" t="s">
        <v>418</v>
      </c>
      <c r="E2838" s="3" t="s">
        <v>385</v>
      </c>
      <c r="F2838" s="16" t="n">
        <v>12</v>
      </c>
      <c r="G2838" s="15" t="n">
        <v>0</v>
      </c>
      <c r="H2838" s="16" t="n">
        <v>2</v>
      </c>
      <c r="I2838" s="33" t="n">
        <v>7230.36</v>
      </c>
      <c r="J2838" s="33" t="n">
        <v>7230.36</v>
      </c>
    </row>
    <row r="2839" customFormat="false" ht="15" hidden="false" customHeight="false" outlineLevel="0" collapsed="false">
      <c r="A2839" s="3" t="s">
        <v>3229</v>
      </c>
      <c r="B2839" s="3" t="s">
        <v>283</v>
      </c>
      <c r="C2839" s="3" t="s">
        <v>405</v>
      </c>
      <c r="D2839" s="3" t="s">
        <v>692</v>
      </c>
      <c r="E2839" s="3" t="s">
        <v>382</v>
      </c>
      <c r="F2839" s="16" t="n">
        <v>12</v>
      </c>
      <c r="G2839" s="15" t="n">
        <v>0</v>
      </c>
      <c r="H2839" s="16" t="n">
        <v>11</v>
      </c>
      <c r="I2839" s="33" t="n">
        <v>7227.96</v>
      </c>
      <c r="J2839" s="33" t="n">
        <v>7227.96</v>
      </c>
    </row>
    <row r="2840" customFormat="false" ht="15" hidden="false" customHeight="false" outlineLevel="0" collapsed="false">
      <c r="A2840" s="3" t="s">
        <v>3230</v>
      </c>
      <c r="B2840" s="3" t="s">
        <v>283</v>
      </c>
      <c r="C2840" s="3" t="s">
        <v>384</v>
      </c>
      <c r="D2840" s="3" t="s">
        <v>692</v>
      </c>
      <c r="E2840" s="3" t="s">
        <v>398</v>
      </c>
      <c r="F2840" s="16" t="n">
        <v>1</v>
      </c>
      <c r="G2840" s="15" t="n">
        <v>0.1</v>
      </c>
      <c r="H2840" s="16" t="n">
        <v>1</v>
      </c>
      <c r="I2840" s="33" t="n">
        <v>7226.04</v>
      </c>
      <c r="J2840" s="33" t="n">
        <v>8028.96</v>
      </c>
    </row>
    <row r="2841" customFormat="false" ht="15" hidden="false" customHeight="false" outlineLevel="0" collapsed="false">
      <c r="A2841" s="3" t="s">
        <v>3231</v>
      </c>
      <c r="B2841" s="3" t="s">
        <v>283</v>
      </c>
      <c r="C2841" s="3" t="s">
        <v>387</v>
      </c>
      <c r="D2841" s="3" t="s">
        <v>692</v>
      </c>
      <c r="E2841" s="3" t="s">
        <v>398</v>
      </c>
      <c r="F2841" s="16" t="n">
        <v>1</v>
      </c>
      <c r="G2841" s="15" t="n">
        <v>0</v>
      </c>
      <c r="H2841" s="16" t="n">
        <v>1</v>
      </c>
      <c r="I2841" s="33" t="n">
        <v>7225.56</v>
      </c>
      <c r="J2841" s="33" t="n">
        <v>7225.56</v>
      </c>
    </row>
    <row r="2842" customFormat="false" ht="15" hidden="false" customHeight="false" outlineLevel="0" collapsed="false">
      <c r="A2842" s="3" t="s">
        <v>3232</v>
      </c>
      <c r="B2842" s="3" t="s">
        <v>283</v>
      </c>
      <c r="C2842" s="3" t="s">
        <v>405</v>
      </c>
      <c r="D2842" s="3" t="s">
        <v>692</v>
      </c>
      <c r="E2842" s="3" t="s">
        <v>385</v>
      </c>
      <c r="F2842" s="16" t="n">
        <v>1</v>
      </c>
      <c r="G2842" s="15" t="n">
        <v>0.1</v>
      </c>
      <c r="H2842" s="16" t="n">
        <v>1</v>
      </c>
      <c r="I2842" s="33" t="n">
        <v>7218.6</v>
      </c>
      <c r="J2842" s="33" t="n">
        <v>8020.68</v>
      </c>
    </row>
    <row r="2843" customFormat="false" ht="15" hidden="false" customHeight="false" outlineLevel="0" collapsed="false">
      <c r="A2843" s="3" t="s">
        <v>3233</v>
      </c>
      <c r="B2843" s="3" t="s">
        <v>283</v>
      </c>
      <c r="C2843" s="3" t="s">
        <v>403</v>
      </c>
      <c r="D2843" s="3" t="s">
        <v>418</v>
      </c>
      <c r="E2843" s="3" t="s">
        <v>385</v>
      </c>
      <c r="F2843" s="16" t="n">
        <v>1</v>
      </c>
      <c r="G2843" s="15" t="n">
        <v>0.1</v>
      </c>
      <c r="H2843" s="16" t="n">
        <v>1</v>
      </c>
      <c r="I2843" s="33" t="n">
        <v>7213.2</v>
      </c>
      <c r="J2843" s="33" t="n">
        <v>8014.68</v>
      </c>
    </row>
    <row r="2844" customFormat="false" ht="15" hidden="false" customHeight="false" outlineLevel="0" collapsed="false">
      <c r="A2844" s="3" t="s">
        <v>3234</v>
      </c>
      <c r="B2844" s="3" t="s">
        <v>283</v>
      </c>
      <c r="C2844" s="3" t="s">
        <v>396</v>
      </c>
      <c r="D2844" s="3" t="s">
        <v>418</v>
      </c>
      <c r="E2844" s="3" t="s">
        <v>398</v>
      </c>
      <c r="F2844" s="16" t="n">
        <v>12</v>
      </c>
      <c r="G2844" s="15" t="n">
        <v>0.1</v>
      </c>
      <c r="H2844" s="16" t="n">
        <v>12</v>
      </c>
      <c r="I2844" s="33" t="n">
        <v>7209.6</v>
      </c>
      <c r="J2844" s="33" t="n">
        <v>8010.6</v>
      </c>
    </row>
    <row r="2845" customFormat="false" ht="15" hidden="false" customHeight="false" outlineLevel="0" collapsed="false">
      <c r="A2845" s="3" t="s">
        <v>3235</v>
      </c>
      <c r="B2845" s="3" t="s">
        <v>283</v>
      </c>
      <c r="C2845" s="3" t="s">
        <v>401</v>
      </c>
      <c r="D2845" s="3" t="s">
        <v>418</v>
      </c>
      <c r="E2845" s="3" t="s">
        <v>398</v>
      </c>
      <c r="F2845" s="16" t="n">
        <v>1</v>
      </c>
      <c r="G2845" s="15" t="n">
        <v>0</v>
      </c>
      <c r="H2845" s="16" t="n">
        <v>1</v>
      </c>
      <c r="I2845" s="33" t="n">
        <v>7206.36</v>
      </c>
      <c r="J2845" s="33" t="n">
        <v>7206.36</v>
      </c>
    </row>
    <row r="2846" customFormat="false" ht="15" hidden="false" customHeight="false" outlineLevel="0" collapsed="false">
      <c r="A2846" s="3" t="s">
        <v>3236</v>
      </c>
      <c r="B2846" s="3" t="s">
        <v>283</v>
      </c>
      <c r="C2846" s="3" t="s">
        <v>396</v>
      </c>
      <c r="D2846" s="3" t="s">
        <v>392</v>
      </c>
      <c r="E2846" s="3" t="s">
        <v>385</v>
      </c>
      <c r="F2846" s="16" t="n">
        <v>1</v>
      </c>
      <c r="G2846" s="15" t="n">
        <v>0.2</v>
      </c>
      <c r="H2846" s="16" t="n">
        <v>1</v>
      </c>
      <c r="I2846" s="33" t="n">
        <v>7189.56</v>
      </c>
      <c r="J2846" s="33" t="n">
        <v>8986.92</v>
      </c>
    </row>
    <row r="2847" customFormat="false" ht="15" hidden="false" customHeight="false" outlineLevel="0" collapsed="false">
      <c r="A2847" s="3" t="s">
        <v>3237</v>
      </c>
      <c r="B2847" s="3" t="s">
        <v>283</v>
      </c>
      <c r="C2847" s="3" t="s">
        <v>405</v>
      </c>
      <c r="D2847" s="3" t="s">
        <v>388</v>
      </c>
      <c r="E2847" s="3" t="s">
        <v>398</v>
      </c>
      <c r="F2847" s="16" t="n">
        <v>1</v>
      </c>
      <c r="G2847" s="15" t="n">
        <v>0.1</v>
      </c>
      <c r="H2847" s="16" t="n">
        <v>1</v>
      </c>
      <c r="I2847" s="33" t="n">
        <v>7189.08</v>
      </c>
      <c r="J2847" s="33" t="n">
        <v>7987.92</v>
      </c>
    </row>
    <row r="2848" customFormat="false" ht="15" hidden="false" customHeight="false" outlineLevel="0" collapsed="false">
      <c r="A2848" s="3" t="s">
        <v>3238</v>
      </c>
      <c r="B2848" s="3" t="s">
        <v>283</v>
      </c>
      <c r="C2848" s="3" t="s">
        <v>384</v>
      </c>
      <c r="D2848" s="3" t="s">
        <v>418</v>
      </c>
      <c r="E2848" s="3" t="s">
        <v>382</v>
      </c>
      <c r="F2848" s="16" t="n">
        <v>1</v>
      </c>
      <c r="G2848" s="15" t="n">
        <v>0</v>
      </c>
      <c r="H2848" s="16" t="n">
        <v>1</v>
      </c>
      <c r="I2848" s="33" t="n">
        <v>7166.88</v>
      </c>
      <c r="J2848" s="33" t="n">
        <v>7166.88</v>
      </c>
    </row>
    <row r="2849" customFormat="false" ht="15" hidden="false" customHeight="false" outlineLevel="0" collapsed="false">
      <c r="A2849" s="3" t="s">
        <v>3239</v>
      </c>
      <c r="B2849" s="3" t="s">
        <v>283</v>
      </c>
      <c r="C2849" s="3" t="s">
        <v>387</v>
      </c>
      <c r="D2849" s="3" t="s">
        <v>388</v>
      </c>
      <c r="E2849" s="3" t="s">
        <v>382</v>
      </c>
      <c r="F2849" s="16" t="n">
        <v>12</v>
      </c>
      <c r="G2849" s="15" t="n">
        <v>0</v>
      </c>
      <c r="H2849" s="16" t="n">
        <v>12</v>
      </c>
      <c r="I2849" s="33" t="n">
        <v>7163.76</v>
      </c>
      <c r="J2849" s="33" t="n">
        <v>7163.76</v>
      </c>
    </row>
    <row r="2850" customFormat="false" ht="15" hidden="false" customHeight="false" outlineLevel="0" collapsed="false">
      <c r="A2850" s="3" t="s">
        <v>3240</v>
      </c>
      <c r="B2850" s="3" t="s">
        <v>283</v>
      </c>
      <c r="C2850" s="3" t="s">
        <v>403</v>
      </c>
      <c r="D2850" s="3" t="s">
        <v>381</v>
      </c>
      <c r="E2850" s="3" t="s">
        <v>398</v>
      </c>
      <c r="F2850" s="16" t="n">
        <v>12</v>
      </c>
      <c r="G2850" s="15" t="n">
        <v>0</v>
      </c>
      <c r="H2850" s="16" t="n">
        <v>6</v>
      </c>
      <c r="I2850" s="33" t="n">
        <v>7158.96</v>
      </c>
      <c r="J2850" s="33" t="n">
        <v>7158.96</v>
      </c>
    </row>
    <row r="2851" customFormat="false" ht="15" hidden="false" customHeight="false" outlineLevel="0" collapsed="false">
      <c r="A2851" s="3" t="s">
        <v>3241</v>
      </c>
      <c r="B2851" s="3" t="s">
        <v>283</v>
      </c>
      <c r="C2851" s="3" t="s">
        <v>403</v>
      </c>
      <c r="D2851" s="3" t="s">
        <v>392</v>
      </c>
      <c r="E2851" s="3" t="s">
        <v>398</v>
      </c>
      <c r="F2851" s="16" t="n">
        <v>12</v>
      </c>
      <c r="G2851" s="15" t="n">
        <v>0</v>
      </c>
      <c r="H2851" s="16" t="n">
        <v>11</v>
      </c>
      <c r="I2851" s="33" t="n">
        <v>7146.12</v>
      </c>
      <c r="J2851" s="33" t="n">
        <v>7146.12</v>
      </c>
    </row>
    <row r="2852" customFormat="false" ht="15" hidden="false" customHeight="false" outlineLevel="0" collapsed="false">
      <c r="A2852" s="3" t="s">
        <v>3242</v>
      </c>
      <c r="B2852" s="3" t="s">
        <v>283</v>
      </c>
      <c r="C2852" s="3" t="s">
        <v>405</v>
      </c>
      <c r="D2852" s="3" t="s">
        <v>388</v>
      </c>
      <c r="E2852" s="3" t="s">
        <v>398</v>
      </c>
      <c r="F2852" s="16" t="n">
        <v>1</v>
      </c>
      <c r="G2852" s="15" t="n">
        <v>0</v>
      </c>
      <c r="H2852" s="16" t="n">
        <v>1</v>
      </c>
      <c r="I2852" s="33" t="n">
        <v>7135.2</v>
      </c>
      <c r="J2852" s="33" t="n">
        <v>7135.2</v>
      </c>
    </row>
    <row r="2853" customFormat="false" ht="15" hidden="false" customHeight="false" outlineLevel="0" collapsed="false">
      <c r="A2853" s="3" t="s">
        <v>3243</v>
      </c>
      <c r="B2853" s="3" t="s">
        <v>283</v>
      </c>
      <c r="C2853" s="3" t="s">
        <v>405</v>
      </c>
      <c r="D2853" s="3" t="s">
        <v>692</v>
      </c>
      <c r="E2853" s="3" t="s">
        <v>398</v>
      </c>
      <c r="F2853" s="16" t="n">
        <v>1</v>
      </c>
      <c r="G2853" s="15" t="n">
        <v>0</v>
      </c>
      <c r="H2853" s="16" t="n">
        <v>1</v>
      </c>
      <c r="I2853" s="33" t="n">
        <v>7130.64</v>
      </c>
      <c r="J2853" s="33" t="n">
        <v>7130.64</v>
      </c>
    </row>
    <row r="2854" customFormat="false" ht="15" hidden="false" customHeight="false" outlineLevel="0" collapsed="false">
      <c r="A2854" s="3" t="s">
        <v>3244</v>
      </c>
      <c r="B2854" s="3" t="s">
        <v>283</v>
      </c>
      <c r="C2854" s="3" t="s">
        <v>396</v>
      </c>
      <c r="D2854" s="3" t="s">
        <v>381</v>
      </c>
      <c r="E2854" s="3" t="s">
        <v>382</v>
      </c>
      <c r="F2854" s="16" t="n">
        <v>12</v>
      </c>
      <c r="G2854" s="15" t="n">
        <v>0</v>
      </c>
      <c r="H2854" s="16" t="n">
        <v>5</v>
      </c>
      <c r="I2854" s="33" t="n">
        <v>7129.92</v>
      </c>
      <c r="J2854" s="33" t="n">
        <v>7129.92</v>
      </c>
    </row>
    <row r="2855" customFormat="false" ht="15" hidden="false" customHeight="false" outlineLevel="0" collapsed="false">
      <c r="A2855" s="3" t="s">
        <v>3245</v>
      </c>
      <c r="B2855" s="3" t="s">
        <v>283</v>
      </c>
      <c r="C2855" s="3" t="s">
        <v>401</v>
      </c>
      <c r="D2855" s="3" t="s">
        <v>418</v>
      </c>
      <c r="E2855" s="3" t="s">
        <v>398</v>
      </c>
      <c r="F2855" s="16" t="n">
        <v>12</v>
      </c>
      <c r="G2855" s="15" t="n">
        <v>0</v>
      </c>
      <c r="H2855" s="16" t="n">
        <v>3</v>
      </c>
      <c r="I2855" s="33" t="n">
        <v>7107.24</v>
      </c>
      <c r="J2855" s="33" t="n">
        <v>7107.24</v>
      </c>
    </row>
    <row r="2856" customFormat="false" ht="15" hidden="false" customHeight="false" outlineLevel="0" collapsed="false">
      <c r="A2856" s="3" t="s">
        <v>3246</v>
      </c>
      <c r="B2856" s="3" t="s">
        <v>283</v>
      </c>
      <c r="C2856" s="3" t="s">
        <v>403</v>
      </c>
      <c r="D2856" s="3" t="s">
        <v>692</v>
      </c>
      <c r="E2856" s="3" t="s">
        <v>382</v>
      </c>
      <c r="F2856" s="16" t="n">
        <v>12</v>
      </c>
      <c r="G2856" s="15" t="n">
        <v>0.1</v>
      </c>
      <c r="H2856" s="16" t="n">
        <v>2</v>
      </c>
      <c r="I2856" s="33" t="n">
        <v>7103.88</v>
      </c>
      <c r="J2856" s="33" t="n">
        <v>7893.24</v>
      </c>
    </row>
    <row r="2857" customFormat="false" ht="15" hidden="false" customHeight="false" outlineLevel="0" collapsed="false">
      <c r="A2857" s="3" t="s">
        <v>3247</v>
      </c>
      <c r="B2857" s="3" t="s">
        <v>283</v>
      </c>
      <c r="C2857" s="3" t="s">
        <v>403</v>
      </c>
      <c r="D2857" s="3" t="s">
        <v>381</v>
      </c>
      <c r="E2857" s="3" t="s">
        <v>382</v>
      </c>
      <c r="F2857" s="16" t="n">
        <v>1</v>
      </c>
      <c r="G2857" s="15" t="n">
        <v>0</v>
      </c>
      <c r="H2857" s="16" t="n">
        <v>1</v>
      </c>
      <c r="I2857" s="33" t="n">
        <v>7100.28</v>
      </c>
      <c r="J2857" s="33" t="n">
        <v>7100.28</v>
      </c>
    </row>
    <row r="2858" customFormat="false" ht="15" hidden="false" customHeight="false" outlineLevel="0" collapsed="false">
      <c r="A2858" s="3" t="s">
        <v>3248</v>
      </c>
      <c r="B2858" s="3" t="s">
        <v>283</v>
      </c>
      <c r="C2858" s="3" t="s">
        <v>380</v>
      </c>
      <c r="D2858" s="3" t="s">
        <v>418</v>
      </c>
      <c r="E2858" s="3" t="s">
        <v>398</v>
      </c>
      <c r="F2858" s="16" t="n">
        <v>12</v>
      </c>
      <c r="G2858" s="15" t="n">
        <v>0.4</v>
      </c>
      <c r="H2858" s="16" t="n">
        <v>8</v>
      </c>
      <c r="I2858" s="33" t="n">
        <v>7085.4</v>
      </c>
      <c r="J2858" s="33" t="n">
        <v>11808.96</v>
      </c>
    </row>
    <row r="2859" customFormat="false" ht="15" hidden="false" customHeight="false" outlineLevel="0" collapsed="false">
      <c r="A2859" s="3" t="s">
        <v>3249</v>
      </c>
      <c r="B2859" s="3" t="s">
        <v>283</v>
      </c>
      <c r="C2859" s="3" t="s">
        <v>401</v>
      </c>
      <c r="D2859" s="3" t="s">
        <v>692</v>
      </c>
      <c r="E2859" s="3" t="s">
        <v>398</v>
      </c>
      <c r="F2859" s="16" t="n">
        <v>1</v>
      </c>
      <c r="G2859" s="15" t="n">
        <v>0</v>
      </c>
      <c r="H2859" s="16" t="n">
        <v>1</v>
      </c>
      <c r="I2859" s="33" t="n">
        <v>7075.56</v>
      </c>
      <c r="J2859" s="33" t="n">
        <v>7075.56</v>
      </c>
    </row>
    <row r="2860" customFormat="false" ht="15" hidden="false" customHeight="false" outlineLevel="0" collapsed="false">
      <c r="A2860" s="3" t="s">
        <v>3250</v>
      </c>
      <c r="B2860" s="3" t="s">
        <v>283</v>
      </c>
      <c r="C2860" s="3" t="s">
        <v>401</v>
      </c>
      <c r="D2860" s="3" t="s">
        <v>392</v>
      </c>
      <c r="E2860" s="3" t="s">
        <v>398</v>
      </c>
      <c r="F2860" s="16" t="n">
        <v>1</v>
      </c>
      <c r="G2860" s="15" t="n">
        <v>0</v>
      </c>
      <c r="H2860" s="16" t="n">
        <v>1</v>
      </c>
      <c r="I2860" s="33" t="n">
        <v>7071.48</v>
      </c>
      <c r="J2860" s="33" t="n">
        <v>7071.48</v>
      </c>
    </row>
    <row r="2861" customFormat="false" ht="15" hidden="false" customHeight="false" outlineLevel="0" collapsed="false">
      <c r="A2861" s="3" t="s">
        <v>3251</v>
      </c>
      <c r="B2861" s="3" t="s">
        <v>283</v>
      </c>
      <c r="C2861" s="3" t="s">
        <v>401</v>
      </c>
      <c r="D2861" s="3" t="s">
        <v>418</v>
      </c>
      <c r="E2861" s="3" t="s">
        <v>398</v>
      </c>
      <c r="F2861" s="16" t="n">
        <v>1</v>
      </c>
      <c r="G2861" s="15" t="n">
        <v>0</v>
      </c>
      <c r="H2861" s="16" t="n">
        <v>1</v>
      </c>
      <c r="I2861" s="33" t="n">
        <v>7044.36</v>
      </c>
      <c r="J2861" s="33" t="n">
        <v>7044.36</v>
      </c>
    </row>
    <row r="2862" customFormat="false" ht="15" hidden="false" customHeight="false" outlineLevel="0" collapsed="false">
      <c r="A2862" s="3" t="s">
        <v>3252</v>
      </c>
      <c r="B2862" s="3" t="s">
        <v>283</v>
      </c>
      <c r="C2862" s="3" t="s">
        <v>387</v>
      </c>
      <c r="D2862" s="3" t="s">
        <v>692</v>
      </c>
      <c r="E2862" s="3" t="s">
        <v>398</v>
      </c>
      <c r="F2862" s="16" t="n">
        <v>12</v>
      </c>
      <c r="G2862" s="15" t="n">
        <v>0</v>
      </c>
      <c r="H2862" s="16" t="n">
        <v>11</v>
      </c>
      <c r="I2862" s="33" t="n">
        <v>7042.8</v>
      </c>
      <c r="J2862" s="33" t="n">
        <v>7042.8</v>
      </c>
    </row>
    <row r="2863" customFormat="false" ht="15" hidden="false" customHeight="false" outlineLevel="0" collapsed="false">
      <c r="A2863" s="3" t="s">
        <v>3253</v>
      </c>
      <c r="B2863" s="3" t="s">
        <v>283</v>
      </c>
      <c r="C2863" s="3" t="s">
        <v>401</v>
      </c>
      <c r="D2863" s="3" t="s">
        <v>418</v>
      </c>
      <c r="E2863" s="3" t="s">
        <v>382</v>
      </c>
      <c r="F2863" s="16" t="n">
        <v>12</v>
      </c>
      <c r="G2863" s="15" t="n">
        <v>0</v>
      </c>
      <c r="H2863" s="16" t="n">
        <v>5</v>
      </c>
      <c r="I2863" s="33" t="n">
        <v>7042.32</v>
      </c>
      <c r="J2863" s="33" t="n">
        <v>7042.32</v>
      </c>
    </row>
    <row r="2864" customFormat="false" ht="15" hidden="false" customHeight="false" outlineLevel="0" collapsed="false">
      <c r="A2864" s="3" t="s">
        <v>3254</v>
      </c>
      <c r="B2864" s="3" t="s">
        <v>283</v>
      </c>
      <c r="C2864" s="3" t="s">
        <v>405</v>
      </c>
      <c r="D2864" s="3" t="s">
        <v>418</v>
      </c>
      <c r="E2864" s="3" t="s">
        <v>398</v>
      </c>
      <c r="F2864" s="16" t="n">
        <v>1</v>
      </c>
      <c r="G2864" s="15" t="n">
        <v>0</v>
      </c>
      <c r="H2864" s="16" t="n">
        <v>1</v>
      </c>
      <c r="I2864" s="33" t="n">
        <v>7041.36</v>
      </c>
      <c r="J2864" s="33" t="n">
        <v>7041.36</v>
      </c>
    </row>
    <row r="2865" customFormat="false" ht="15" hidden="false" customHeight="false" outlineLevel="0" collapsed="false">
      <c r="A2865" s="3" t="s">
        <v>3255</v>
      </c>
      <c r="B2865" s="3" t="s">
        <v>283</v>
      </c>
      <c r="C2865" s="3" t="s">
        <v>380</v>
      </c>
      <c r="D2865" s="3" t="s">
        <v>692</v>
      </c>
      <c r="E2865" s="3" t="s">
        <v>398</v>
      </c>
      <c r="F2865" s="16" t="n">
        <v>1</v>
      </c>
      <c r="G2865" s="15" t="n">
        <v>0.1</v>
      </c>
      <c r="H2865" s="16" t="n">
        <v>1</v>
      </c>
      <c r="I2865" s="33" t="n">
        <v>7038.72</v>
      </c>
      <c r="J2865" s="33" t="n">
        <v>7820.76</v>
      </c>
    </row>
    <row r="2866" customFormat="false" ht="15" hidden="false" customHeight="false" outlineLevel="0" collapsed="false">
      <c r="A2866" s="3" t="s">
        <v>3256</v>
      </c>
      <c r="B2866" s="3" t="s">
        <v>283</v>
      </c>
      <c r="C2866" s="3" t="s">
        <v>387</v>
      </c>
      <c r="D2866" s="3" t="s">
        <v>392</v>
      </c>
      <c r="E2866" s="3" t="s">
        <v>385</v>
      </c>
      <c r="F2866" s="16" t="n">
        <v>12</v>
      </c>
      <c r="G2866" s="15" t="n">
        <v>0</v>
      </c>
      <c r="H2866" s="16" t="n">
        <v>2</v>
      </c>
      <c r="I2866" s="33" t="n">
        <v>7020.48</v>
      </c>
      <c r="J2866" s="33" t="n">
        <v>7020.48</v>
      </c>
    </row>
    <row r="2867" customFormat="false" ht="15" hidden="false" customHeight="false" outlineLevel="0" collapsed="false">
      <c r="A2867" s="3" t="s">
        <v>3257</v>
      </c>
      <c r="B2867" s="3" t="s">
        <v>283</v>
      </c>
      <c r="C2867" s="3" t="s">
        <v>387</v>
      </c>
      <c r="D2867" s="3" t="s">
        <v>418</v>
      </c>
      <c r="E2867" s="3" t="s">
        <v>382</v>
      </c>
      <c r="F2867" s="16" t="n">
        <v>1</v>
      </c>
      <c r="G2867" s="15" t="n">
        <v>0</v>
      </c>
      <c r="H2867" s="16" t="n">
        <v>1</v>
      </c>
      <c r="I2867" s="33" t="n">
        <v>7008.72</v>
      </c>
      <c r="J2867" s="33" t="n">
        <v>7008.72</v>
      </c>
    </row>
    <row r="2868" customFormat="false" ht="15" hidden="false" customHeight="false" outlineLevel="0" collapsed="false">
      <c r="A2868" s="3" t="s">
        <v>3258</v>
      </c>
      <c r="B2868" s="3" t="s">
        <v>283</v>
      </c>
      <c r="C2868" s="3" t="s">
        <v>396</v>
      </c>
      <c r="D2868" s="3" t="s">
        <v>418</v>
      </c>
      <c r="E2868" s="3" t="s">
        <v>398</v>
      </c>
      <c r="F2868" s="16" t="n">
        <v>1</v>
      </c>
      <c r="G2868" s="15" t="n">
        <v>0</v>
      </c>
      <c r="H2868" s="16" t="n">
        <v>1</v>
      </c>
      <c r="I2868" s="33" t="n">
        <v>6996.24</v>
      </c>
      <c r="J2868" s="33" t="n">
        <v>6996.24</v>
      </c>
    </row>
    <row r="2869" customFormat="false" ht="15" hidden="false" customHeight="false" outlineLevel="0" collapsed="false">
      <c r="A2869" s="3" t="s">
        <v>3259</v>
      </c>
      <c r="B2869" s="3" t="s">
        <v>283</v>
      </c>
      <c r="C2869" s="3" t="s">
        <v>384</v>
      </c>
      <c r="D2869" s="3" t="s">
        <v>388</v>
      </c>
      <c r="E2869" s="3" t="s">
        <v>398</v>
      </c>
      <c r="F2869" s="16" t="n">
        <v>1</v>
      </c>
      <c r="G2869" s="15" t="n">
        <v>0</v>
      </c>
      <c r="H2869" s="16" t="n">
        <v>1</v>
      </c>
      <c r="I2869" s="33" t="n">
        <v>6975.84</v>
      </c>
      <c r="J2869" s="33" t="n">
        <v>6975.84</v>
      </c>
    </row>
    <row r="2870" customFormat="false" ht="15" hidden="false" customHeight="false" outlineLevel="0" collapsed="false">
      <c r="A2870" s="3" t="s">
        <v>3260</v>
      </c>
      <c r="B2870" s="3" t="s">
        <v>283</v>
      </c>
      <c r="C2870" s="3" t="s">
        <v>396</v>
      </c>
      <c r="D2870" s="3" t="s">
        <v>392</v>
      </c>
      <c r="E2870" s="3" t="s">
        <v>398</v>
      </c>
      <c r="F2870" s="16" t="n">
        <v>1</v>
      </c>
      <c r="G2870" s="15" t="n">
        <v>0</v>
      </c>
      <c r="H2870" s="16" t="n">
        <v>1</v>
      </c>
      <c r="I2870" s="33" t="n">
        <v>6973.56</v>
      </c>
      <c r="J2870" s="33" t="n">
        <v>6973.56</v>
      </c>
    </row>
    <row r="2871" customFormat="false" ht="15" hidden="false" customHeight="false" outlineLevel="0" collapsed="false">
      <c r="A2871" s="3" t="s">
        <v>3261</v>
      </c>
      <c r="B2871" s="3" t="s">
        <v>283</v>
      </c>
      <c r="C2871" s="3" t="s">
        <v>403</v>
      </c>
      <c r="D2871" s="3" t="s">
        <v>388</v>
      </c>
      <c r="E2871" s="3" t="s">
        <v>398</v>
      </c>
      <c r="F2871" s="16" t="n">
        <v>1</v>
      </c>
      <c r="G2871" s="15" t="n">
        <v>0</v>
      </c>
      <c r="H2871" s="16" t="n">
        <v>1</v>
      </c>
      <c r="I2871" s="33" t="n">
        <v>6970.32</v>
      </c>
      <c r="J2871" s="33" t="n">
        <v>6970.32</v>
      </c>
    </row>
    <row r="2872" customFormat="false" ht="15" hidden="false" customHeight="false" outlineLevel="0" collapsed="false">
      <c r="A2872" s="3" t="s">
        <v>3262</v>
      </c>
      <c r="B2872" s="3" t="s">
        <v>283</v>
      </c>
      <c r="C2872" s="3" t="s">
        <v>405</v>
      </c>
      <c r="D2872" s="3" t="s">
        <v>392</v>
      </c>
      <c r="E2872" s="3" t="s">
        <v>382</v>
      </c>
      <c r="F2872" s="16" t="n">
        <v>12</v>
      </c>
      <c r="G2872" s="15" t="n">
        <v>0.2</v>
      </c>
      <c r="H2872" s="16" t="n">
        <v>8</v>
      </c>
      <c r="I2872" s="33" t="n">
        <v>6965.76</v>
      </c>
      <c r="J2872" s="33" t="n">
        <v>8707.2</v>
      </c>
    </row>
    <row r="2873" customFormat="false" ht="15" hidden="false" customHeight="false" outlineLevel="0" collapsed="false">
      <c r="A2873" s="3" t="s">
        <v>3263</v>
      </c>
      <c r="B2873" s="3" t="s">
        <v>283</v>
      </c>
      <c r="C2873" s="3" t="s">
        <v>403</v>
      </c>
      <c r="D2873" s="3" t="s">
        <v>392</v>
      </c>
      <c r="E2873" s="3" t="s">
        <v>382</v>
      </c>
      <c r="F2873" s="16" t="n">
        <v>1</v>
      </c>
      <c r="G2873" s="15" t="n">
        <v>0</v>
      </c>
      <c r="H2873" s="16" t="n">
        <v>1</v>
      </c>
      <c r="I2873" s="33" t="n">
        <v>6961.8</v>
      </c>
      <c r="J2873" s="33" t="n">
        <v>6961.8</v>
      </c>
    </row>
    <row r="2874" customFormat="false" ht="15" hidden="false" customHeight="false" outlineLevel="0" collapsed="false">
      <c r="A2874" s="3" t="s">
        <v>3264</v>
      </c>
      <c r="B2874" s="3" t="s">
        <v>283</v>
      </c>
      <c r="C2874" s="3" t="s">
        <v>401</v>
      </c>
      <c r="D2874" s="3" t="s">
        <v>692</v>
      </c>
      <c r="E2874" s="3" t="s">
        <v>398</v>
      </c>
      <c r="F2874" s="16" t="n">
        <v>12</v>
      </c>
      <c r="G2874" s="15" t="n">
        <v>0</v>
      </c>
      <c r="H2874" s="16" t="n">
        <v>4</v>
      </c>
      <c r="I2874" s="33" t="n">
        <v>6955.44</v>
      </c>
      <c r="J2874" s="33" t="n">
        <v>6955.44</v>
      </c>
    </row>
    <row r="2875" customFormat="false" ht="15" hidden="false" customHeight="false" outlineLevel="0" collapsed="false">
      <c r="A2875" s="3" t="s">
        <v>3265</v>
      </c>
      <c r="B2875" s="3" t="s">
        <v>283</v>
      </c>
      <c r="C2875" s="3" t="s">
        <v>396</v>
      </c>
      <c r="D2875" s="3" t="s">
        <v>388</v>
      </c>
      <c r="E2875" s="3" t="s">
        <v>382</v>
      </c>
      <c r="F2875" s="16" t="n">
        <v>1</v>
      </c>
      <c r="G2875" s="15" t="n">
        <v>0.1</v>
      </c>
      <c r="H2875" s="16" t="n">
        <v>1</v>
      </c>
      <c r="I2875" s="33" t="n">
        <v>6952.44</v>
      </c>
      <c r="J2875" s="33" t="n">
        <v>7725</v>
      </c>
    </row>
    <row r="2876" customFormat="false" ht="15" hidden="false" customHeight="false" outlineLevel="0" collapsed="false">
      <c r="A2876" s="3" t="s">
        <v>3266</v>
      </c>
      <c r="B2876" s="3" t="s">
        <v>283</v>
      </c>
      <c r="C2876" s="3" t="s">
        <v>384</v>
      </c>
      <c r="D2876" s="3" t="s">
        <v>692</v>
      </c>
      <c r="E2876" s="3" t="s">
        <v>382</v>
      </c>
      <c r="F2876" s="16" t="n">
        <v>1</v>
      </c>
      <c r="G2876" s="15" t="n">
        <v>0.1</v>
      </c>
      <c r="H2876" s="16" t="n">
        <v>1</v>
      </c>
      <c r="I2876" s="33" t="n">
        <v>6935.76</v>
      </c>
      <c r="J2876" s="33" t="n">
        <v>7706.28</v>
      </c>
    </row>
    <row r="2877" customFormat="false" ht="15" hidden="false" customHeight="false" outlineLevel="0" collapsed="false">
      <c r="A2877" s="3" t="s">
        <v>3267</v>
      </c>
      <c r="B2877" s="3" t="s">
        <v>283</v>
      </c>
      <c r="C2877" s="3" t="s">
        <v>384</v>
      </c>
      <c r="D2877" s="3" t="s">
        <v>692</v>
      </c>
      <c r="E2877" s="3" t="s">
        <v>398</v>
      </c>
      <c r="F2877" s="16" t="n">
        <v>1</v>
      </c>
      <c r="G2877" s="15" t="n">
        <v>0.1</v>
      </c>
      <c r="H2877" s="16" t="n">
        <v>1</v>
      </c>
      <c r="I2877" s="33" t="n">
        <v>6935.16</v>
      </c>
      <c r="J2877" s="33" t="n">
        <v>7705.68</v>
      </c>
    </row>
    <row r="2878" customFormat="false" ht="15" hidden="false" customHeight="false" outlineLevel="0" collapsed="false">
      <c r="A2878" s="3" t="s">
        <v>3268</v>
      </c>
      <c r="B2878" s="3" t="s">
        <v>283</v>
      </c>
      <c r="C2878" s="3" t="s">
        <v>396</v>
      </c>
      <c r="D2878" s="3" t="s">
        <v>692</v>
      </c>
      <c r="E2878" s="3" t="s">
        <v>385</v>
      </c>
      <c r="F2878" s="16" t="n">
        <v>1</v>
      </c>
      <c r="G2878" s="15" t="n">
        <v>0</v>
      </c>
      <c r="H2878" s="16" t="n">
        <v>1</v>
      </c>
      <c r="I2878" s="33" t="n">
        <v>6926.16</v>
      </c>
      <c r="J2878" s="33" t="n">
        <v>6926.16</v>
      </c>
    </row>
    <row r="2879" customFormat="false" ht="15" hidden="false" customHeight="false" outlineLevel="0" collapsed="false">
      <c r="A2879" s="3" t="s">
        <v>3269</v>
      </c>
      <c r="B2879" s="3" t="s">
        <v>283</v>
      </c>
      <c r="C2879" s="3" t="s">
        <v>384</v>
      </c>
      <c r="D2879" s="3" t="s">
        <v>692</v>
      </c>
      <c r="E2879" s="3" t="s">
        <v>398</v>
      </c>
      <c r="F2879" s="16" t="n">
        <v>1</v>
      </c>
      <c r="G2879" s="15" t="n">
        <v>0</v>
      </c>
      <c r="H2879" s="16" t="n">
        <v>1</v>
      </c>
      <c r="I2879" s="33" t="n">
        <v>6923.16</v>
      </c>
      <c r="J2879" s="33" t="n">
        <v>6923.16</v>
      </c>
    </row>
    <row r="2880" customFormat="false" ht="15" hidden="false" customHeight="false" outlineLevel="0" collapsed="false">
      <c r="A2880" s="3" t="s">
        <v>3270</v>
      </c>
      <c r="B2880" s="3" t="s">
        <v>283</v>
      </c>
      <c r="C2880" s="3" t="s">
        <v>405</v>
      </c>
      <c r="D2880" s="3" t="s">
        <v>392</v>
      </c>
      <c r="E2880" s="3" t="s">
        <v>398</v>
      </c>
      <c r="F2880" s="16" t="n">
        <v>12</v>
      </c>
      <c r="G2880" s="15" t="n">
        <v>0.3</v>
      </c>
      <c r="H2880" s="16" t="n">
        <v>6</v>
      </c>
      <c r="I2880" s="33" t="n">
        <v>6912.12</v>
      </c>
      <c r="J2880" s="33" t="n">
        <v>9874.44</v>
      </c>
    </row>
    <row r="2881" customFormat="false" ht="15" hidden="false" customHeight="false" outlineLevel="0" collapsed="false">
      <c r="A2881" s="3" t="s">
        <v>3271</v>
      </c>
      <c r="B2881" s="3" t="s">
        <v>283</v>
      </c>
      <c r="C2881" s="3" t="s">
        <v>401</v>
      </c>
      <c r="D2881" s="3" t="s">
        <v>418</v>
      </c>
      <c r="E2881" s="3" t="s">
        <v>398</v>
      </c>
      <c r="F2881" s="16" t="n">
        <v>12</v>
      </c>
      <c r="G2881" s="15" t="n">
        <v>0.2</v>
      </c>
      <c r="H2881" s="16" t="n">
        <v>12</v>
      </c>
      <c r="I2881" s="33" t="n">
        <v>6911.88</v>
      </c>
      <c r="J2881" s="33" t="n">
        <v>8639.88</v>
      </c>
    </row>
    <row r="2882" customFormat="false" ht="15" hidden="false" customHeight="false" outlineLevel="0" collapsed="false">
      <c r="A2882" s="3" t="s">
        <v>3272</v>
      </c>
      <c r="B2882" s="3" t="s">
        <v>283</v>
      </c>
      <c r="C2882" s="3" t="s">
        <v>387</v>
      </c>
      <c r="D2882" s="3" t="s">
        <v>388</v>
      </c>
      <c r="E2882" s="3" t="s">
        <v>385</v>
      </c>
      <c r="F2882" s="16" t="n">
        <v>1</v>
      </c>
      <c r="G2882" s="15" t="n">
        <v>0</v>
      </c>
      <c r="H2882" s="16" t="n">
        <v>1</v>
      </c>
      <c r="I2882" s="33" t="n">
        <v>6910.68</v>
      </c>
      <c r="J2882" s="33" t="n">
        <v>6910.68</v>
      </c>
    </row>
    <row r="2883" customFormat="false" ht="15" hidden="false" customHeight="false" outlineLevel="0" collapsed="false">
      <c r="A2883" s="3" t="s">
        <v>3273</v>
      </c>
      <c r="B2883" s="3" t="s">
        <v>283</v>
      </c>
      <c r="C2883" s="3" t="s">
        <v>401</v>
      </c>
      <c r="D2883" s="3" t="s">
        <v>381</v>
      </c>
      <c r="E2883" s="3" t="s">
        <v>398</v>
      </c>
      <c r="F2883" s="16" t="n">
        <v>1</v>
      </c>
      <c r="G2883" s="15" t="n">
        <v>0</v>
      </c>
      <c r="H2883" s="16" t="n">
        <v>1</v>
      </c>
      <c r="I2883" s="33" t="n">
        <v>6898.68</v>
      </c>
      <c r="J2883" s="33" t="n">
        <v>6898.68</v>
      </c>
    </row>
    <row r="2884" customFormat="false" ht="15" hidden="false" customHeight="false" outlineLevel="0" collapsed="false">
      <c r="A2884" s="3" t="s">
        <v>3274</v>
      </c>
      <c r="B2884" s="3" t="s">
        <v>283</v>
      </c>
      <c r="C2884" s="3" t="s">
        <v>405</v>
      </c>
      <c r="D2884" s="3" t="s">
        <v>692</v>
      </c>
      <c r="E2884" s="3" t="s">
        <v>398</v>
      </c>
      <c r="F2884" s="16" t="n">
        <v>1</v>
      </c>
      <c r="G2884" s="15" t="n">
        <v>0.2</v>
      </c>
      <c r="H2884" s="16" t="n">
        <v>1</v>
      </c>
      <c r="I2884" s="33" t="n">
        <v>6890.28</v>
      </c>
      <c r="J2884" s="33" t="n">
        <v>8612.88</v>
      </c>
    </row>
    <row r="2885" customFormat="false" ht="15" hidden="false" customHeight="false" outlineLevel="0" collapsed="false">
      <c r="A2885" s="3" t="s">
        <v>3275</v>
      </c>
      <c r="B2885" s="3" t="s">
        <v>283</v>
      </c>
      <c r="C2885" s="3" t="s">
        <v>405</v>
      </c>
      <c r="D2885" s="3" t="s">
        <v>392</v>
      </c>
      <c r="E2885" s="3" t="s">
        <v>398</v>
      </c>
      <c r="F2885" s="16" t="n">
        <v>12</v>
      </c>
      <c r="G2885" s="15" t="n">
        <v>0</v>
      </c>
      <c r="H2885" s="16" t="n">
        <v>3</v>
      </c>
      <c r="I2885" s="33" t="n">
        <v>6883.68</v>
      </c>
      <c r="J2885" s="33" t="n">
        <v>6883.68</v>
      </c>
    </row>
    <row r="2886" customFormat="false" ht="15" hidden="false" customHeight="false" outlineLevel="0" collapsed="false">
      <c r="A2886" s="3" t="s">
        <v>3276</v>
      </c>
      <c r="B2886" s="3" t="s">
        <v>283</v>
      </c>
      <c r="C2886" s="3" t="s">
        <v>405</v>
      </c>
      <c r="D2886" s="3" t="s">
        <v>692</v>
      </c>
      <c r="E2886" s="3" t="s">
        <v>382</v>
      </c>
      <c r="F2886" s="16" t="n">
        <v>12</v>
      </c>
      <c r="G2886" s="15" t="n">
        <v>0.05</v>
      </c>
      <c r="H2886" s="16" t="n">
        <v>12</v>
      </c>
      <c r="I2886" s="33" t="n">
        <v>6878.88</v>
      </c>
      <c r="J2886" s="33" t="n">
        <v>7240.92</v>
      </c>
    </row>
    <row r="2887" customFormat="false" ht="15" hidden="false" customHeight="false" outlineLevel="0" collapsed="false">
      <c r="A2887" s="3" t="s">
        <v>3277</v>
      </c>
      <c r="B2887" s="3" t="s">
        <v>283</v>
      </c>
      <c r="C2887" s="3" t="s">
        <v>384</v>
      </c>
      <c r="D2887" s="3" t="s">
        <v>418</v>
      </c>
      <c r="E2887" s="3" t="s">
        <v>382</v>
      </c>
      <c r="F2887" s="16" t="n">
        <v>12</v>
      </c>
      <c r="G2887" s="15" t="n">
        <v>0</v>
      </c>
      <c r="H2887" s="16" t="n">
        <v>5</v>
      </c>
      <c r="I2887" s="33" t="n">
        <v>6878.4</v>
      </c>
      <c r="J2887" s="33" t="n">
        <v>6878.4</v>
      </c>
    </row>
    <row r="2888" customFormat="false" ht="15" hidden="false" customHeight="false" outlineLevel="0" collapsed="false">
      <c r="A2888" s="3" t="s">
        <v>3278</v>
      </c>
      <c r="B2888" s="3" t="s">
        <v>283</v>
      </c>
      <c r="C2888" s="3" t="s">
        <v>380</v>
      </c>
      <c r="D2888" s="3" t="s">
        <v>392</v>
      </c>
      <c r="E2888" s="3" t="s">
        <v>398</v>
      </c>
      <c r="F2888" s="16" t="n">
        <v>1</v>
      </c>
      <c r="G2888" s="15" t="n">
        <v>0</v>
      </c>
      <c r="H2888" s="16" t="n">
        <v>1</v>
      </c>
      <c r="I2888" s="33" t="n">
        <v>6877.08</v>
      </c>
      <c r="J2888" s="33" t="n">
        <v>6877.08</v>
      </c>
    </row>
    <row r="2889" customFormat="false" ht="15" hidden="false" customHeight="false" outlineLevel="0" collapsed="false">
      <c r="A2889" s="3" t="s">
        <v>3279</v>
      </c>
      <c r="B2889" s="3" t="s">
        <v>283</v>
      </c>
      <c r="C2889" s="3" t="s">
        <v>403</v>
      </c>
      <c r="D2889" s="3" t="s">
        <v>692</v>
      </c>
      <c r="E2889" s="3" t="s">
        <v>398</v>
      </c>
      <c r="F2889" s="16" t="n">
        <v>1</v>
      </c>
      <c r="G2889" s="15" t="n">
        <v>0</v>
      </c>
      <c r="H2889" s="16" t="n">
        <v>1</v>
      </c>
      <c r="I2889" s="33" t="n">
        <v>6870.12</v>
      </c>
      <c r="J2889" s="33" t="n">
        <v>6870.12</v>
      </c>
    </row>
    <row r="2890" customFormat="false" ht="15" hidden="false" customHeight="false" outlineLevel="0" collapsed="false">
      <c r="A2890" s="3" t="s">
        <v>3280</v>
      </c>
      <c r="B2890" s="3" t="s">
        <v>283</v>
      </c>
      <c r="C2890" s="3" t="s">
        <v>396</v>
      </c>
      <c r="D2890" s="3" t="s">
        <v>692</v>
      </c>
      <c r="E2890" s="3" t="s">
        <v>398</v>
      </c>
      <c r="F2890" s="16" t="n">
        <v>1</v>
      </c>
      <c r="G2890" s="15" t="n">
        <v>0</v>
      </c>
      <c r="H2890" s="16" t="n">
        <v>1</v>
      </c>
      <c r="I2890" s="33" t="n">
        <v>6863.52</v>
      </c>
      <c r="J2890" s="33" t="n">
        <v>6863.52</v>
      </c>
    </row>
    <row r="2891" customFormat="false" ht="15" hidden="false" customHeight="false" outlineLevel="0" collapsed="false">
      <c r="A2891" s="3" t="s">
        <v>3281</v>
      </c>
      <c r="B2891" s="3" t="s">
        <v>283</v>
      </c>
      <c r="C2891" s="3" t="s">
        <v>387</v>
      </c>
      <c r="D2891" s="3" t="s">
        <v>692</v>
      </c>
      <c r="E2891" s="3" t="s">
        <v>385</v>
      </c>
      <c r="F2891" s="16" t="n">
        <v>1</v>
      </c>
      <c r="G2891" s="15" t="n">
        <v>0.15</v>
      </c>
      <c r="H2891" s="16" t="n">
        <v>1</v>
      </c>
      <c r="I2891" s="33" t="n">
        <v>6861.6</v>
      </c>
      <c r="J2891" s="33" t="n">
        <v>8072.52</v>
      </c>
    </row>
    <row r="2892" customFormat="false" ht="15" hidden="false" customHeight="false" outlineLevel="0" collapsed="false">
      <c r="A2892" s="3" t="s">
        <v>3282</v>
      </c>
      <c r="B2892" s="3" t="s">
        <v>283</v>
      </c>
      <c r="C2892" s="3" t="s">
        <v>384</v>
      </c>
      <c r="D2892" s="3" t="s">
        <v>392</v>
      </c>
      <c r="E2892" s="3" t="s">
        <v>398</v>
      </c>
      <c r="F2892" s="16" t="n">
        <v>1</v>
      </c>
      <c r="G2892" s="15" t="n">
        <v>0</v>
      </c>
      <c r="H2892" s="16" t="n">
        <v>1</v>
      </c>
      <c r="I2892" s="33" t="n">
        <v>6858.72</v>
      </c>
      <c r="J2892" s="33" t="n">
        <v>6858.72</v>
      </c>
    </row>
    <row r="2893" customFormat="false" ht="15" hidden="false" customHeight="false" outlineLevel="0" collapsed="false">
      <c r="A2893" s="3" t="s">
        <v>3283</v>
      </c>
      <c r="B2893" s="3" t="s">
        <v>283</v>
      </c>
      <c r="C2893" s="3" t="s">
        <v>380</v>
      </c>
      <c r="D2893" s="3" t="s">
        <v>381</v>
      </c>
      <c r="E2893" s="3" t="s">
        <v>385</v>
      </c>
      <c r="F2893" s="16" t="n">
        <v>1</v>
      </c>
      <c r="G2893" s="15" t="n">
        <v>0</v>
      </c>
      <c r="H2893" s="16" t="n">
        <v>1</v>
      </c>
      <c r="I2893" s="33" t="n">
        <v>6858.48</v>
      </c>
      <c r="J2893" s="33" t="n">
        <v>6858.48</v>
      </c>
    </row>
    <row r="2894" customFormat="false" ht="15" hidden="false" customHeight="false" outlineLevel="0" collapsed="false">
      <c r="A2894" s="3" t="s">
        <v>3284</v>
      </c>
      <c r="B2894" s="3" t="s">
        <v>283</v>
      </c>
      <c r="C2894" s="3" t="s">
        <v>387</v>
      </c>
      <c r="D2894" s="3" t="s">
        <v>692</v>
      </c>
      <c r="E2894" s="3" t="s">
        <v>398</v>
      </c>
      <c r="F2894" s="16" t="n">
        <v>12</v>
      </c>
      <c r="G2894" s="15" t="n">
        <v>0.1</v>
      </c>
      <c r="H2894" s="16" t="n">
        <v>10</v>
      </c>
      <c r="I2894" s="33" t="n">
        <v>6858</v>
      </c>
      <c r="J2894" s="33" t="n">
        <v>7620</v>
      </c>
    </row>
    <row r="2895" customFormat="false" ht="15" hidden="false" customHeight="false" outlineLevel="0" collapsed="false">
      <c r="A2895" s="3" t="s">
        <v>3285</v>
      </c>
      <c r="B2895" s="3" t="s">
        <v>283</v>
      </c>
      <c r="C2895" s="3" t="s">
        <v>396</v>
      </c>
      <c r="D2895" s="3" t="s">
        <v>392</v>
      </c>
      <c r="E2895" s="3" t="s">
        <v>398</v>
      </c>
      <c r="F2895" s="16" t="n">
        <v>1</v>
      </c>
      <c r="G2895" s="15" t="n">
        <v>0</v>
      </c>
      <c r="H2895" s="16" t="n">
        <v>1</v>
      </c>
      <c r="I2895" s="33" t="n">
        <v>6857.4</v>
      </c>
      <c r="J2895" s="33" t="n">
        <v>6857.4</v>
      </c>
    </row>
    <row r="2896" customFormat="false" ht="15" hidden="false" customHeight="false" outlineLevel="0" collapsed="false">
      <c r="A2896" s="3" t="s">
        <v>3286</v>
      </c>
      <c r="B2896" s="3" t="s">
        <v>283</v>
      </c>
      <c r="C2896" s="3" t="s">
        <v>380</v>
      </c>
      <c r="D2896" s="3" t="s">
        <v>692</v>
      </c>
      <c r="E2896" s="3" t="s">
        <v>382</v>
      </c>
      <c r="F2896" s="16" t="n">
        <v>12</v>
      </c>
      <c r="G2896" s="15" t="n">
        <v>0.1</v>
      </c>
      <c r="H2896" s="16" t="n">
        <v>9</v>
      </c>
      <c r="I2896" s="33" t="n">
        <v>6850.08</v>
      </c>
      <c r="J2896" s="33" t="n">
        <v>7611.24</v>
      </c>
    </row>
    <row r="2897" customFormat="false" ht="15" hidden="false" customHeight="false" outlineLevel="0" collapsed="false">
      <c r="A2897" s="3" t="s">
        <v>3287</v>
      </c>
      <c r="B2897" s="3" t="s">
        <v>283</v>
      </c>
      <c r="C2897" s="3" t="s">
        <v>401</v>
      </c>
      <c r="D2897" s="3" t="s">
        <v>418</v>
      </c>
      <c r="E2897" s="3" t="s">
        <v>398</v>
      </c>
      <c r="F2897" s="16" t="n">
        <v>1</v>
      </c>
      <c r="G2897" s="15" t="n">
        <v>0</v>
      </c>
      <c r="H2897" s="16" t="n">
        <v>1</v>
      </c>
      <c r="I2897" s="33" t="n">
        <v>6842.88</v>
      </c>
      <c r="J2897" s="33" t="n">
        <v>6842.88</v>
      </c>
    </row>
    <row r="2898" customFormat="false" ht="15" hidden="false" customHeight="false" outlineLevel="0" collapsed="false">
      <c r="A2898" s="3" t="s">
        <v>3288</v>
      </c>
      <c r="B2898" s="3" t="s">
        <v>283</v>
      </c>
      <c r="C2898" s="3" t="s">
        <v>401</v>
      </c>
      <c r="D2898" s="3" t="s">
        <v>392</v>
      </c>
      <c r="E2898" s="3" t="s">
        <v>398</v>
      </c>
      <c r="F2898" s="16" t="n">
        <v>12</v>
      </c>
      <c r="G2898" s="15" t="n">
        <v>0</v>
      </c>
      <c r="H2898" s="16" t="n">
        <v>11</v>
      </c>
      <c r="I2898" s="33" t="n">
        <v>6837.12</v>
      </c>
      <c r="J2898" s="33" t="n">
        <v>6837.12</v>
      </c>
    </row>
    <row r="2899" customFormat="false" ht="15" hidden="false" customHeight="false" outlineLevel="0" collapsed="false">
      <c r="A2899" s="3" t="s">
        <v>3289</v>
      </c>
      <c r="B2899" s="3" t="s">
        <v>283</v>
      </c>
      <c r="C2899" s="3" t="s">
        <v>387</v>
      </c>
      <c r="D2899" s="3" t="s">
        <v>392</v>
      </c>
      <c r="E2899" s="3" t="s">
        <v>385</v>
      </c>
      <c r="F2899" s="16" t="n">
        <v>1</v>
      </c>
      <c r="G2899" s="15" t="n">
        <v>0</v>
      </c>
      <c r="H2899" s="16" t="n">
        <v>1</v>
      </c>
      <c r="I2899" s="33" t="n">
        <v>6835.08</v>
      </c>
      <c r="J2899" s="33" t="n">
        <v>6835.08</v>
      </c>
    </row>
    <row r="2900" customFormat="false" ht="15" hidden="false" customHeight="false" outlineLevel="0" collapsed="false">
      <c r="A2900" s="3" t="s">
        <v>3290</v>
      </c>
      <c r="B2900" s="3" t="s">
        <v>283</v>
      </c>
      <c r="C2900" s="3" t="s">
        <v>405</v>
      </c>
      <c r="D2900" s="3" t="s">
        <v>392</v>
      </c>
      <c r="E2900" s="3" t="s">
        <v>398</v>
      </c>
      <c r="F2900" s="16" t="n">
        <v>12</v>
      </c>
      <c r="G2900" s="15" t="n">
        <v>0.15</v>
      </c>
      <c r="H2900" s="16" t="n">
        <v>4</v>
      </c>
      <c r="I2900" s="33" t="n">
        <v>6830.76</v>
      </c>
      <c r="J2900" s="33" t="n">
        <v>8036.28</v>
      </c>
    </row>
    <row r="2901" customFormat="false" ht="15" hidden="false" customHeight="false" outlineLevel="0" collapsed="false">
      <c r="A2901" s="3" t="s">
        <v>3291</v>
      </c>
      <c r="B2901" s="3" t="s">
        <v>283</v>
      </c>
      <c r="C2901" s="3" t="s">
        <v>396</v>
      </c>
      <c r="D2901" s="3" t="s">
        <v>381</v>
      </c>
      <c r="E2901" s="3" t="s">
        <v>382</v>
      </c>
      <c r="F2901" s="16" t="n">
        <v>1</v>
      </c>
      <c r="G2901" s="15" t="n">
        <v>0</v>
      </c>
      <c r="H2901" s="16" t="n">
        <v>1</v>
      </c>
      <c r="I2901" s="33" t="n">
        <v>6823.8</v>
      </c>
      <c r="J2901" s="33" t="n">
        <v>6823.8</v>
      </c>
    </row>
    <row r="2902" customFormat="false" ht="15" hidden="false" customHeight="false" outlineLevel="0" collapsed="false">
      <c r="A2902" s="3" t="s">
        <v>3292</v>
      </c>
      <c r="B2902" s="3" t="s">
        <v>283</v>
      </c>
      <c r="C2902" s="3" t="s">
        <v>396</v>
      </c>
      <c r="D2902" s="3" t="s">
        <v>381</v>
      </c>
      <c r="E2902" s="3" t="s">
        <v>398</v>
      </c>
      <c r="F2902" s="16" t="n">
        <v>12</v>
      </c>
      <c r="G2902" s="15" t="n">
        <v>0</v>
      </c>
      <c r="H2902" s="16" t="n">
        <v>7</v>
      </c>
      <c r="I2902" s="33" t="n">
        <v>6819.48</v>
      </c>
      <c r="J2902" s="33" t="n">
        <v>6819.48</v>
      </c>
    </row>
    <row r="2903" customFormat="false" ht="15" hidden="false" customHeight="false" outlineLevel="0" collapsed="false">
      <c r="A2903" s="3" t="s">
        <v>3293</v>
      </c>
      <c r="B2903" s="3" t="s">
        <v>283</v>
      </c>
      <c r="C2903" s="3" t="s">
        <v>380</v>
      </c>
      <c r="D2903" s="3" t="s">
        <v>392</v>
      </c>
      <c r="E2903" s="3" t="s">
        <v>398</v>
      </c>
      <c r="F2903" s="16" t="n">
        <v>12</v>
      </c>
      <c r="G2903" s="15" t="n">
        <v>0</v>
      </c>
      <c r="H2903" s="16" t="n">
        <v>10</v>
      </c>
      <c r="I2903" s="33" t="n">
        <v>6815.04</v>
      </c>
      <c r="J2903" s="33" t="n">
        <v>6815.04</v>
      </c>
    </row>
    <row r="2904" customFormat="false" ht="15" hidden="false" customHeight="false" outlineLevel="0" collapsed="false">
      <c r="A2904" s="3" t="s">
        <v>3294</v>
      </c>
      <c r="B2904" s="3" t="s">
        <v>283</v>
      </c>
      <c r="C2904" s="3" t="s">
        <v>403</v>
      </c>
      <c r="D2904" s="3" t="s">
        <v>392</v>
      </c>
      <c r="E2904" s="3" t="s">
        <v>382</v>
      </c>
      <c r="F2904" s="16" t="n">
        <v>1</v>
      </c>
      <c r="G2904" s="15" t="n">
        <v>0</v>
      </c>
      <c r="H2904" s="16" t="n">
        <v>1</v>
      </c>
      <c r="I2904" s="33" t="n">
        <v>6813.96</v>
      </c>
      <c r="J2904" s="33" t="n">
        <v>6813.96</v>
      </c>
    </row>
    <row r="2905" customFormat="false" ht="15" hidden="false" customHeight="false" outlineLevel="0" collapsed="false">
      <c r="A2905" s="3" t="s">
        <v>3295</v>
      </c>
      <c r="B2905" s="3" t="s">
        <v>283</v>
      </c>
      <c r="C2905" s="3" t="s">
        <v>380</v>
      </c>
      <c r="D2905" s="3" t="s">
        <v>692</v>
      </c>
      <c r="E2905" s="3" t="s">
        <v>385</v>
      </c>
      <c r="F2905" s="16" t="n">
        <v>1</v>
      </c>
      <c r="G2905" s="15" t="n">
        <v>0.3</v>
      </c>
      <c r="H2905" s="16" t="n">
        <v>1</v>
      </c>
      <c r="I2905" s="33" t="n">
        <v>6809.88</v>
      </c>
      <c r="J2905" s="33" t="n">
        <v>9728.52</v>
      </c>
    </row>
    <row r="2906" customFormat="false" ht="15" hidden="false" customHeight="false" outlineLevel="0" collapsed="false">
      <c r="A2906" s="3" t="s">
        <v>3296</v>
      </c>
      <c r="B2906" s="3" t="s">
        <v>283</v>
      </c>
      <c r="C2906" s="3" t="s">
        <v>387</v>
      </c>
      <c r="D2906" s="3" t="s">
        <v>692</v>
      </c>
      <c r="E2906" s="3" t="s">
        <v>385</v>
      </c>
      <c r="F2906" s="16" t="n">
        <v>1</v>
      </c>
      <c r="G2906" s="15" t="n">
        <v>0.1</v>
      </c>
      <c r="H2906" s="16" t="n">
        <v>1</v>
      </c>
      <c r="I2906" s="33" t="n">
        <v>6809.76</v>
      </c>
      <c r="J2906" s="33" t="n">
        <v>7566.48</v>
      </c>
    </row>
    <row r="2907" customFormat="false" ht="15" hidden="false" customHeight="false" outlineLevel="0" collapsed="false">
      <c r="A2907" s="3" t="s">
        <v>3297</v>
      </c>
      <c r="B2907" s="3" t="s">
        <v>283</v>
      </c>
      <c r="C2907" s="3" t="s">
        <v>384</v>
      </c>
      <c r="D2907" s="3" t="s">
        <v>692</v>
      </c>
      <c r="E2907" s="3" t="s">
        <v>398</v>
      </c>
      <c r="F2907" s="16" t="n">
        <v>1</v>
      </c>
      <c r="G2907" s="15" t="n">
        <v>0.05</v>
      </c>
      <c r="H2907" s="16" t="n">
        <v>1</v>
      </c>
      <c r="I2907" s="33" t="n">
        <v>6809.52</v>
      </c>
      <c r="J2907" s="33" t="n">
        <v>7167.96</v>
      </c>
    </row>
    <row r="2908" customFormat="false" ht="15" hidden="false" customHeight="false" outlineLevel="0" collapsed="false">
      <c r="A2908" s="3" t="s">
        <v>3298</v>
      </c>
      <c r="B2908" s="3" t="s">
        <v>283</v>
      </c>
      <c r="C2908" s="3" t="s">
        <v>384</v>
      </c>
      <c r="D2908" s="3" t="s">
        <v>692</v>
      </c>
      <c r="E2908" s="3" t="s">
        <v>398</v>
      </c>
      <c r="F2908" s="16" t="n">
        <v>1</v>
      </c>
      <c r="G2908" s="15" t="n">
        <v>0.1</v>
      </c>
      <c r="H2908" s="16" t="n">
        <v>1</v>
      </c>
      <c r="I2908" s="33" t="n">
        <v>6800.88</v>
      </c>
      <c r="J2908" s="33" t="n">
        <v>7556.52</v>
      </c>
    </row>
    <row r="2909" customFormat="false" ht="15" hidden="false" customHeight="false" outlineLevel="0" collapsed="false">
      <c r="A2909" s="3" t="s">
        <v>3299</v>
      </c>
      <c r="B2909" s="3" t="s">
        <v>283</v>
      </c>
      <c r="C2909" s="3" t="s">
        <v>403</v>
      </c>
      <c r="D2909" s="3" t="s">
        <v>392</v>
      </c>
      <c r="E2909" s="3" t="s">
        <v>385</v>
      </c>
      <c r="F2909" s="16" t="n">
        <v>1</v>
      </c>
      <c r="G2909" s="15" t="n">
        <v>0.3</v>
      </c>
      <c r="H2909" s="16" t="n">
        <v>1</v>
      </c>
      <c r="I2909" s="33" t="n">
        <v>6787.08</v>
      </c>
      <c r="J2909" s="33" t="n">
        <v>9695.76</v>
      </c>
    </row>
    <row r="2910" customFormat="false" ht="15" hidden="false" customHeight="false" outlineLevel="0" collapsed="false">
      <c r="A2910" s="3" t="s">
        <v>3300</v>
      </c>
      <c r="B2910" s="3" t="s">
        <v>283</v>
      </c>
      <c r="C2910" s="3" t="s">
        <v>387</v>
      </c>
      <c r="D2910" s="3" t="s">
        <v>392</v>
      </c>
      <c r="E2910" s="3" t="s">
        <v>398</v>
      </c>
      <c r="F2910" s="16" t="n">
        <v>1</v>
      </c>
      <c r="G2910" s="15" t="n">
        <v>0.1</v>
      </c>
      <c r="H2910" s="16" t="n">
        <v>1</v>
      </c>
      <c r="I2910" s="33" t="n">
        <v>6781.44</v>
      </c>
      <c r="J2910" s="33" t="n">
        <v>7534.92</v>
      </c>
    </row>
    <row r="2911" customFormat="false" ht="15" hidden="false" customHeight="false" outlineLevel="0" collapsed="false">
      <c r="A2911" s="3" t="s">
        <v>3301</v>
      </c>
      <c r="B2911" s="3" t="s">
        <v>283</v>
      </c>
      <c r="C2911" s="3" t="s">
        <v>401</v>
      </c>
      <c r="D2911" s="3" t="s">
        <v>388</v>
      </c>
      <c r="E2911" s="3" t="s">
        <v>385</v>
      </c>
      <c r="F2911" s="16" t="n">
        <v>1</v>
      </c>
      <c r="G2911" s="15" t="n">
        <v>0.1</v>
      </c>
      <c r="H2911" s="16" t="n">
        <v>1</v>
      </c>
      <c r="I2911" s="33" t="n">
        <v>6769.32</v>
      </c>
      <c r="J2911" s="33" t="n">
        <v>7521.48</v>
      </c>
    </row>
    <row r="2912" customFormat="false" ht="15" hidden="false" customHeight="false" outlineLevel="0" collapsed="false">
      <c r="A2912" s="3" t="s">
        <v>3302</v>
      </c>
      <c r="B2912" s="3" t="s">
        <v>283</v>
      </c>
      <c r="C2912" s="3" t="s">
        <v>396</v>
      </c>
      <c r="D2912" s="3" t="s">
        <v>418</v>
      </c>
      <c r="E2912" s="3" t="s">
        <v>398</v>
      </c>
      <c r="F2912" s="16" t="n">
        <v>1</v>
      </c>
      <c r="G2912" s="15" t="n">
        <v>0</v>
      </c>
      <c r="H2912" s="16" t="n">
        <v>1</v>
      </c>
      <c r="I2912" s="33" t="n">
        <v>6761.16</v>
      </c>
      <c r="J2912" s="33" t="n">
        <v>6761.16</v>
      </c>
    </row>
    <row r="2913" customFormat="false" ht="15" hidden="false" customHeight="false" outlineLevel="0" collapsed="false">
      <c r="A2913" s="3" t="s">
        <v>3303</v>
      </c>
      <c r="B2913" s="3" t="s">
        <v>283</v>
      </c>
      <c r="C2913" s="3" t="s">
        <v>405</v>
      </c>
      <c r="D2913" s="3" t="s">
        <v>392</v>
      </c>
      <c r="E2913" s="3" t="s">
        <v>398</v>
      </c>
      <c r="F2913" s="16" t="n">
        <v>12</v>
      </c>
      <c r="G2913" s="15" t="n">
        <v>0</v>
      </c>
      <c r="H2913" s="16" t="n">
        <v>10</v>
      </c>
      <c r="I2913" s="33" t="n">
        <v>6760.2</v>
      </c>
      <c r="J2913" s="33" t="n">
        <v>6760.2</v>
      </c>
    </row>
    <row r="2914" customFormat="false" ht="15" hidden="false" customHeight="false" outlineLevel="0" collapsed="false">
      <c r="A2914" s="3" t="s">
        <v>3304</v>
      </c>
      <c r="B2914" s="3" t="s">
        <v>283</v>
      </c>
      <c r="C2914" s="3" t="s">
        <v>403</v>
      </c>
      <c r="D2914" s="3" t="s">
        <v>418</v>
      </c>
      <c r="E2914" s="3" t="s">
        <v>398</v>
      </c>
      <c r="F2914" s="16" t="n">
        <v>12</v>
      </c>
      <c r="G2914" s="15" t="n">
        <v>0</v>
      </c>
      <c r="H2914" s="16" t="n">
        <v>9</v>
      </c>
      <c r="I2914" s="33" t="n">
        <v>6759.84</v>
      </c>
      <c r="J2914" s="33" t="n">
        <v>6759.84</v>
      </c>
    </row>
    <row r="2915" customFormat="false" ht="15" hidden="false" customHeight="false" outlineLevel="0" collapsed="false">
      <c r="A2915" s="3" t="s">
        <v>3305</v>
      </c>
      <c r="B2915" s="3" t="s">
        <v>283</v>
      </c>
      <c r="C2915" s="3" t="s">
        <v>380</v>
      </c>
      <c r="D2915" s="3" t="s">
        <v>392</v>
      </c>
      <c r="E2915" s="3" t="s">
        <v>382</v>
      </c>
      <c r="F2915" s="16" t="n">
        <v>12</v>
      </c>
      <c r="G2915" s="15" t="n">
        <v>0</v>
      </c>
      <c r="H2915" s="16" t="n">
        <v>4</v>
      </c>
      <c r="I2915" s="33" t="n">
        <v>6754.68</v>
      </c>
      <c r="J2915" s="33" t="n">
        <v>6754.68</v>
      </c>
    </row>
    <row r="2916" customFormat="false" ht="15" hidden="false" customHeight="false" outlineLevel="0" collapsed="false">
      <c r="A2916" s="3" t="s">
        <v>3306</v>
      </c>
      <c r="B2916" s="3" t="s">
        <v>283</v>
      </c>
      <c r="C2916" s="3" t="s">
        <v>401</v>
      </c>
      <c r="D2916" s="3" t="s">
        <v>392</v>
      </c>
      <c r="E2916" s="3" t="s">
        <v>382</v>
      </c>
      <c r="F2916" s="16" t="n">
        <v>1</v>
      </c>
      <c r="G2916" s="15" t="n">
        <v>0</v>
      </c>
      <c r="H2916" s="16" t="n">
        <v>1</v>
      </c>
      <c r="I2916" s="33" t="n">
        <v>6751.44</v>
      </c>
      <c r="J2916" s="33" t="n">
        <v>6751.44</v>
      </c>
    </row>
    <row r="2917" customFormat="false" ht="15" hidden="false" customHeight="false" outlineLevel="0" collapsed="false">
      <c r="A2917" s="3" t="s">
        <v>3307</v>
      </c>
      <c r="B2917" s="3" t="s">
        <v>283</v>
      </c>
      <c r="C2917" s="3" t="s">
        <v>405</v>
      </c>
      <c r="D2917" s="3" t="s">
        <v>392</v>
      </c>
      <c r="E2917" s="3" t="s">
        <v>398</v>
      </c>
      <c r="F2917" s="16" t="n">
        <v>1</v>
      </c>
      <c r="G2917" s="15" t="n">
        <v>0</v>
      </c>
      <c r="H2917" s="16" t="n">
        <v>1</v>
      </c>
      <c r="I2917" s="33" t="n">
        <v>6748.8</v>
      </c>
      <c r="J2917" s="33" t="n">
        <v>6748.8</v>
      </c>
    </row>
    <row r="2918" customFormat="false" ht="15" hidden="false" customHeight="false" outlineLevel="0" collapsed="false">
      <c r="A2918" s="3" t="s">
        <v>3308</v>
      </c>
      <c r="B2918" s="3" t="s">
        <v>283</v>
      </c>
      <c r="C2918" s="3" t="s">
        <v>401</v>
      </c>
      <c r="D2918" s="3" t="s">
        <v>692</v>
      </c>
      <c r="E2918" s="3" t="s">
        <v>398</v>
      </c>
      <c r="F2918" s="16" t="n">
        <v>1</v>
      </c>
      <c r="G2918" s="15" t="n">
        <v>0</v>
      </c>
      <c r="H2918" s="16" t="n">
        <v>1</v>
      </c>
      <c r="I2918" s="33" t="n">
        <v>6747.96</v>
      </c>
      <c r="J2918" s="33" t="n">
        <v>6747.96</v>
      </c>
    </row>
    <row r="2919" customFormat="false" ht="15" hidden="false" customHeight="false" outlineLevel="0" collapsed="false">
      <c r="A2919" s="3" t="s">
        <v>3309</v>
      </c>
      <c r="B2919" s="3" t="s">
        <v>283</v>
      </c>
      <c r="C2919" s="3" t="s">
        <v>396</v>
      </c>
      <c r="D2919" s="3" t="s">
        <v>392</v>
      </c>
      <c r="E2919" s="3" t="s">
        <v>398</v>
      </c>
      <c r="F2919" s="16" t="n">
        <v>12</v>
      </c>
      <c r="G2919" s="15" t="n">
        <v>0.15</v>
      </c>
      <c r="H2919" s="16" t="n">
        <v>10</v>
      </c>
      <c r="I2919" s="33" t="n">
        <v>6732.6</v>
      </c>
      <c r="J2919" s="33" t="n">
        <v>7920.72</v>
      </c>
    </row>
    <row r="2920" customFormat="false" ht="15" hidden="false" customHeight="false" outlineLevel="0" collapsed="false">
      <c r="A2920" s="3" t="s">
        <v>3310</v>
      </c>
      <c r="B2920" s="3" t="s">
        <v>283</v>
      </c>
      <c r="C2920" s="3" t="s">
        <v>396</v>
      </c>
      <c r="D2920" s="3" t="s">
        <v>388</v>
      </c>
      <c r="E2920" s="3" t="s">
        <v>385</v>
      </c>
      <c r="F2920" s="16" t="n">
        <v>1</v>
      </c>
      <c r="G2920" s="15" t="n">
        <v>0</v>
      </c>
      <c r="H2920" s="16" t="n">
        <v>1</v>
      </c>
      <c r="I2920" s="33" t="n">
        <v>6719.4</v>
      </c>
      <c r="J2920" s="33" t="n">
        <v>6719.4</v>
      </c>
    </row>
    <row r="2921" customFormat="false" ht="15" hidden="false" customHeight="false" outlineLevel="0" collapsed="false">
      <c r="A2921" s="3" t="s">
        <v>3311</v>
      </c>
      <c r="B2921" s="3" t="s">
        <v>283</v>
      </c>
      <c r="C2921" s="3" t="s">
        <v>405</v>
      </c>
      <c r="D2921" s="3" t="s">
        <v>692</v>
      </c>
      <c r="E2921" s="3" t="s">
        <v>398</v>
      </c>
      <c r="F2921" s="16" t="n">
        <v>1</v>
      </c>
      <c r="G2921" s="15" t="n">
        <v>0.1</v>
      </c>
      <c r="H2921" s="16" t="n">
        <v>1</v>
      </c>
      <c r="I2921" s="33" t="n">
        <v>6718.56</v>
      </c>
      <c r="J2921" s="33" t="n">
        <v>7465.08</v>
      </c>
    </row>
    <row r="2922" customFormat="false" ht="15" hidden="false" customHeight="false" outlineLevel="0" collapsed="false">
      <c r="A2922" s="3" t="s">
        <v>3312</v>
      </c>
      <c r="B2922" s="3" t="s">
        <v>283</v>
      </c>
      <c r="C2922" s="3" t="s">
        <v>405</v>
      </c>
      <c r="D2922" s="3" t="s">
        <v>692</v>
      </c>
      <c r="E2922" s="3" t="s">
        <v>398</v>
      </c>
      <c r="F2922" s="16" t="n">
        <v>1</v>
      </c>
      <c r="G2922" s="15" t="n">
        <v>0</v>
      </c>
      <c r="H2922" s="16" t="n">
        <v>1</v>
      </c>
      <c r="I2922" s="33" t="n">
        <v>6706.56</v>
      </c>
      <c r="J2922" s="33" t="n">
        <v>6706.56</v>
      </c>
    </row>
    <row r="2923" customFormat="false" ht="15" hidden="false" customHeight="false" outlineLevel="0" collapsed="false">
      <c r="A2923" s="3" t="s">
        <v>3313</v>
      </c>
      <c r="B2923" s="3" t="s">
        <v>283</v>
      </c>
      <c r="C2923" s="3" t="s">
        <v>403</v>
      </c>
      <c r="D2923" s="3" t="s">
        <v>388</v>
      </c>
      <c r="E2923" s="3" t="s">
        <v>398</v>
      </c>
      <c r="F2923" s="16" t="n">
        <v>1</v>
      </c>
      <c r="G2923" s="15" t="n">
        <v>0</v>
      </c>
      <c r="H2923" s="16" t="n">
        <v>1</v>
      </c>
      <c r="I2923" s="33" t="n">
        <v>6704.4</v>
      </c>
      <c r="J2923" s="33" t="n">
        <v>6704.4</v>
      </c>
    </row>
    <row r="2924" customFormat="false" ht="15" hidden="false" customHeight="false" outlineLevel="0" collapsed="false">
      <c r="A2924" s="3" t="s">
        <v>3314</v>
      </c>
      <c r="B2924" s="3" t="s">
        <v>283</v>
      </c>
      <c r="C2924" s="3" t="s">
        <v>387</v>
      </c>
      <c r="D2924" s="3" t="s">
        <v>381</v>
      </c>
      <c r="E2924" s="3" t="s">
        <v>385</v>
      </c>
      <c r="F2924" s="16" t="n">
        <v>12</v>
      </c>
      <c r="G2924" s="15" t="n">
        <v>0</v>
      </c>
      <c r="H2924" s="16" t="n">
        <v>8</v>
      </c>
      <c r="I2924" s="33" t="n">
        <v>6703.32</v>
      </c>
      <c r="J2924" s="33" t="n">
        <v>6703.32</v>
      </c>
    </row>
    <row r="2925" customFormat="false" ht="15" hidden="false" customHeight="false" outlineLevel="0" collapsed="false">
      <c r="A2925" s="3" t="s">
        <v>3315</v>
      </c>
      <c r="B2925" s="3" t="s">
        <v>283</v>
      </c>
      <c r="C2925" s="3" t="s">
        <v>384</v>
      </c>
      <c r="D2925" s="3" t="s">
        <v>388</v>
      </c>
      <c r="E2925" s="3" t="s">
        <v>385</v>
      </c>
      <c r="F2925" s="16" t="n">
        <v>1</v>
      </c>
      <c r="G2925" s="15" t="n">
        <v>0</v>
      </c>
      <c r="H2925" s="16" t="n">
        <v>1</v>
      </c>
      <c r="I2925" s="33" t="n">
        <v>6683.04</v>
      </c>
      <c r="J2925" s="33" t="n">
        <v>6683.04</v>
      </c>
    </row>
    <row r="2926" customFormat="false" ht="15" hidden="false" customHeight="false" outlineLevel="0" collapsed="false">
      <c r="A2926" s="3" t="s">
        <v>3316</v>
      </c>
      <c r="B2926" s="3" t="s">
        <v>283</v>
      </c>
      <c r="C2926" s="3" t="s">
        <v>403</v>
      </c>
      <c r="D2926" s="3" t="s">
        <v>381</v>
      </c>
      <c r="E2926" s="3" t="s">
        <v>398</v>
      </c>
      <c r="F2926" s="16" t="n">
        <v>1</v>
      </c>
      <c r="G2926" s="15" t="n">
        <v>0.1</v>
      </c>
      <c r="H2926" s="16" t="n">
        <v>1</v>
      </c>
      <c r="I2926" s="33" t="n">
        <v>6680.88</v>
      </c>
      <c r="J2926" s="33" t="n">
        <v>7423.2</v>
      </c>
    </row>
    <row r="2927" customFormat="false" ht="15" hidden="false" customHeight="false" outlineLevel="0" collapsed="false">
      <c r="A2927" s="3" t="s">
        <v>3317</v>
      </c>
      <c r="B2927" s="3" t="s">
        <v>283</v>
      </c>
      <c r="C2927" s="3" t="s">
        <v>403</v>
      </c>
      <c r="D2927" s="3" t="s">
        <v>418</v>
      </c>
      <c r="E2927" s="3" t="s">
        <v>398</v>
      </c>
      <c r="F2927" s="16" t="n">
        <v>1</v>
      </c>
      <c r="G2927" s="15" t="n">
        <v>0</v>
      </c>
      <c r="H2927" s="16" t="n">
        <v>1</v>
      </c>
      <c r="I2927" s="33" t="n">
        <v>6675.72</v>
      </c>
      <c r="J2927" s="33" t="n">
        <v>6675.72</v>
      </c>
    </row>
    <row r="2928" customFormat="false" ht="15" hidden="false" customHeight="false" outlineLevel="0" collapsed="false">
      <c r="A2928" s="3" t="s">
        <v>3318</v>
      </c>
      <c r="B2928" s="3" t="s">
        <v>283</v>
      </c>
      <c r="C2928" s="3" t="s">
        <v>403</v>
      </c>
      <c r="D2928" s="3" t="s">
        <v>388</v>
      </c>
      <c r="E2928" s="3" t="s">
        <v>398</v>
      </c>
      <c r="F2928" s="16" t="n">
        <v>12</v>
      </c>
      <c r="G2928" s="15" t="n">
        <v>0</v>
      </c>
      <c r="H2928" s="16" t="n">
        <v>9</v>
      </c>
      <c r="I2928" s="33" t="n">
        <v>6675.36</v>
      </c>
      <c r="J2928" s="33" t="n">
        <v>6675.36</v>
      </c>
    </row>
    <row r="2929" customFormat="false" ht="15" hidden="false" customHeight="false" outlineLevel="0" collapsed="false">
      <c r="A2929" s="3" t="s">
        <v>3319</v>
      </c>
      <c r="B2929" s="3" t="s">
        <v>283</v>
      </c>
      <c r="C2929" s="3" t="s">
        <v>401</v>
      </c>
      <c r="D2929" s="3" t="s">
        <v>381</v>
      </c>
      <c r="E2929" s="3" t="s">
        <v>398</v>
      </c>
      <c r="F2929" s="16" t="n">
        <v>1</v>
      </c>
      <c r="G2929" s="15" t="n">
        <v>0</v>
      </c>
      <c r="H2929" s="16" t="n">
        <v>1</v>
      </c>
      <c r="I2929" s="33" t="n">
        <v>6673.8</v>
      </c>
      <c r="J2929" s="33" t="n">
        <v>6673.8</v>
      </c>
    </row>
    <row r="2930" customFormat="false" ht="15" hidden="false" customHeight="false" outlineLevel="0" collapsed="false">
      <c r="A2930" s="3" t="s">
        <v>3320</v>
      </c>
      <c r="B2930" s="3" t="s">
        <v>283</v>
      </c>
      <c r="C2930" s="3" t="s">
        <v>396</v>
      </c>
      <c r="D2930" s="3" t="s">
        <v>392</v>
      </c>
      <c r="E2930" s="3" t="s">
        <v>398</v>
      </c>
      <c r="F2930" s="16" t="n">
        <v>1</v>
      </c>
      <c r="G2930" s="15" t="n">
        <v>0.1</v>
      </c>
      <c r="H2930" s="16" t="n">
        <v>1</v>
      </c>
      <c r="I2930" s="33" t="n">
        <v>6670.08</v>
      </c>
      <c r="J2930" s="33" t="n">
        <v>7411.08</v>
      </c>
    </row>
    <row r="2931" customFormat="false" ht="15" hidden="false" customHeight="false" outlineLevel="0" collapsed="false">
      <c r="A2931" s="3" t="s">
        <v>3321</v>
      </c>
      <c r="B2931" s="3" t="s">
        <v>283</v>
      </c>
      <c r="C2931" s="3" t="s">
        <v>384</v>
      </c>
      <c r="D2931" s="3" t="s">
        <v>692</v>
      </c>
      <c r="E2931" s="3" t="s">
        <v>398</v>
      </c>
      <c r="F2931" s="16" t="n">
        <v>12</v>
      </c>
      <c r="G2931" s="15" t="n">
        <v>0</v>
      </c>
      <c r="H2931" s="16" t="n">
        <v>11</v>
      </c>
      <c r="I2931" s="33" t="n">
        <v>6666.6</v>
      </c>
      <c r="J2931" s="33" t="n">
        <v>6666.6</v>
      </c>
    </row>
    <row r="2932" customFormat="false" ht="15" hidden="false" customHeight="false" outlineLevel="0" collapsed="false">
      <c r="A2932" s="3" t="s">
        <v>3322</v>
      </c>
      <c r="B2932" s="3" t="s">
        <v>283</v>
      </c>
      <c r="C2932" s="3" t="s">
        <v>405</v>
      </c>
      <c r="D2932" s="3" t="s">
        <v>692</v>
      </c>
      <c r="E2932" s="3" t="s">
        <v>398</v>
      </c>
      <c r="F2932" s="16" t="n">
        <v>12</v>
      </c>
      <c r="G2932" s="15" t="n">
        <v>0</v>
      </c>
      <c r="H2932" s="16" t="n">
        <v>4</v>
      </c>
      <c r="I2932" s="33" t="n">
        <v>6661.32</v>
      </c>
      <c r="J2932" s="33" t="n">
        <v>6661.32</v>
      </c>
    </row>
    <row r="2933" customFormat="false" ht="15" hidden="false" customHeight="false" outlineLevel="0" collapsed="false">
      <c r="A2933" s="3" t="s">
        <v>3323</v>
      </c>
      <c r="B2933" s="3" t="s">
        <v>283</v>
      </c>
      <c r="C2933" s="3" t="s">
        <v>405</v>
      </c>
      <c r="D2933" s="3" t="s">
        <v>392</v>
      </c>
      <c r="E2933" s="3" t="s">
        <v>398</v>
      </c>
      <c r="F2933" s="16" t="n">
        <v>12</v>
      </c>
      <c r="G2933" s="15" t="n">
        <v>0.25</v>
      </c>
      <c r="H2933" s="16" t="n">
        <v>4</v>
      </c>
      <c r="I2933" s="33" t="n">
        <v>6656.16</v>
      </c>
      <c r="J2933" s="33" t="n">
        <v>8874.84</v>
      </c>
    </row>
    <row r="2934" customFormat="false" ht="15" hidden="false" customHeight="false" outlineLevel="0" collapsed="false">
      <c r="A2934" s="3" t="s">
        <v>3324</v>
      </c>
      <c r="B2934" s="3" t="s">
        <v>283</v>
      </c>
      <c r="C2934" s="3" t="s">
        <v>405</v>
      </c>
      <c r="D2934" s="3" t="s">
        <v>418</v>
      </c>
      <c r="E2934" s="3" t="s">
        <v>398</v>
      </c>
      <c r="F2934" s="16" t="n">
        <v>1</v>
      </c>
      <c r="G2934" s="15" t="n">
        <v>0.3</v>
      </c>
      <c r="H2934" s="16" t="n">
        <v>1</v>
      </c>
      <c r="I2934" s="33" t="n">
        <v>6654.96</v>
      </c>
      <c r="J2934" s="33" t="n">
        <v>9507.12</v>
      </c>
    </row>
    <row r="2935" customFormat="false" ht="15" hidden="false" customHeight="false" outlineLevel="0" collapsed="false">
      <c r="A2935" s="3" t="s">
        <v>3325</v>
      </c>
      <c r="B2935" s="3" t="s">
        <v>283</v>
      </c>
      <c r="C2935" s="3" t="s">
        <v>405</v>
      </c>
      <c r="D2935" s="3" t="s">
        <v>418</v>
      </c>
      <c r="E2935" s="3" t="s">
        <v>398</v>
      </c>
      <c r="F2935" s="16" t="n">
        <v>12</v>
      </c>
      <c r="G2935" s="15" t="n">
        <v>0.1</v>
      </c>
      <c r="H2935" s="16" t="n">
        <v>12</v>
      </c>
      <c r="I2935" s="33" t="n">
        <v>6652.92</v>
      </c>
      <c r="J2935" s="33" t="n">
        <v>7392.12</v>
      </c>
    </row>
    <row r="2936" customFormat="false" ht="15" hidden="false" customHeight="false" outlineLevel="0" collapsed="false">
      <c r="A2936" s="3" t="s">
        <v>3326</v>
      </c>
      <c r="B2936" s="3" t="s">
        <v>283</v>
      </c>
      <c r="C2936" s="3" t="s">
        <v>401</v>
      </c>
      <c r="D2936" s="3" t="s">
        <v>692</v>
      </c>
      <c r="E2936" s="3" t="s">
        <v>398</v>
      </c>
      <c r="F2936" s="16" t="n">
        <v>1</v>
      </c>
      <c r="G2936" s="15" t="n">
        <v>0</v>
      </c>
      <c r="H2936" s="16" t="n">
        <v>1</v>
      </c>
      <c r="I2936" s="33" t="n">
        <v>6652.2</v>
      </c>
      <c r="J2936" s="33" t="n">
        <v>6652.2</v>
      </c>
    </row>
    <row r="2937" customFormat="false" ht="15" hidden="false" customHeight="false" outlineLevel="0" collapsed="false">
      <c r="A2937" s="3" t="s">
        <v>3327</v>
      </c>
      <c r="B2937" s="3" t="s">
        <v>283</v>
      </c>
      <c r="C2937" s="3" t="s">
        <v>396</v>
      </c>
      <c r="D2937" s="3" t="s">
        <v>418</v>
      </c>
      <c r="E2937" s="3" t="s">
        <v>385</v>
      </c>
      <c r="F2937" s="16" t="n">
        <v>12</v>
      </c>
      <c r="G2937" s="15" t="n">
        <v>0</v>
      </c>
      <c r="H2937" s="16" t="n">
        <v>2</v>
      </c>
      <c r="I2937" s="33" t="n">
        <v>6651.48</v>
      </c>
      <c r="J2937" s="33" t="n">
        <v>6651.48</v>
      </c>
    </row>
    <row r="2938" customFormat="false" ht="15" hidden="false" customHeight="false" outlineLevel="0" collapsed="false">
      <c r="A2938" s="3" t="s">
        <v>3328</v>
      </c>
      <c r="B2938" s="3" t="s">
        <v>283</v>
      </c>
      <c r="C2938" s="3" t="s">
        <v>387</v>
      </c>
      <c r="D2938" s="3" t="s">
        <v>692</v>
      </c>
      <c r="E2938" s="3" t="s">
        <v>382</v>
      </c>
      <c r="F2938" s="16" t="n">
        <v>1</v>
      </c>
      <c r="G2938" s="15" t="n">
        <v>0.1</v>
      </c>
      <c r="H2938" s="16" t="n">
        <v>1</v>
      </c>
      <c r="I2938" s="33" t="n">
        <v>6641.4</v>
      </c>
      <c r="J2938" s="33" t="n">
        <v>7379.28</v>
      </c>
    </row>
    <row r="2939" customFormat="false" ht="15" hidden="false" customHeight="false" outlineLevel="0" collapsed="false">
      <c r="A2939" s="3" t="s">
        <v>3329</v>
      </c>
      <c r="B2939" s="3" t="s">
        <v>283</v>
      </c>
      <c r="C2939" s="3" t="s">
        <v>380</v>
      </c>
      <c r="D2939" s="3" t="s">
        <v>392</v>
      </c>
      <c r="E2939" s="3" t="s">
        <v>382</v>
      </c>
      <c r="F2939" s="16" t="n">
        <v>1</v>
      </c>
      <c r="G2939" s="15" t="n">
        <v>0.1</v>
      </c>
      <c r="H2939" s="16" t="n">
        <v>1</v>
      </c>
      <c r="I2939" s="33" t="n">
        <v>6639</v>
      </c>
      <c r="J2939" s="33" t="n">
        <v>7376.76</v>
      </c>
    </row>
    <row r="2940" customFormat="false" ht="15" hidden="false" customHeight="false" outlineLevel="0" collapsed="false">
      <c r="A2940" s="3" t="s">
        <v>3330</v>
      </c>
      <c r="B2940" s="3" t="s">
        <v>283</v>
      </c>
      <c r="C2940" s="3" t="s">
        <v>380</v>
      </c>
      <c r="D2940" s="3" t="s">
        <v>392</v>
      </c>
      <c r="E2940" s="3" t="s">
        <v>398</v>
      </c>
      <c r="F2940" s="16" t="n">
        <v>12</v>
      </c>
      <c r="G2940" s="15" t="n">
        <v>0</v>
      </c>
      <c r="H2940" s="16" t="n">
        <v>3</v>
      </c>
      <c r="I2940" s="33" t="n">
        <v>6637.56</v>
      </c>
      <c r="J2940" s="33" t="n">
        <v>6637.56</v>
      </c>
    </row>
    <row r="2941" customFormat="false" ht="15" hidden="false" customHeight="false" outlineLevel="0" collapsed="false">
      <c r="A2941" s="3" t="s">
        <v>3331</v>
      </c>
      <c r="B2941" s="3" t="s">
        <v>283</v>
      </c>
      <c r="C2941" s="3" t="s">
        <v>387</v>
      </c>
      <c r="D2941" s="3" t="s">
        <v>392</v>
      </c>
      <c r="E2941" s="3" t="s">
        <v>398</v>
      </c>
      <c r="F2941" s="16" t="n">
        <v>1</v>
      </c>
      <c r="G2941" s="15" t="n">
        <v>0</v>
      </c>
      <c r="H2941" s="16" t="n">
        <v>1</v>
      </c>
      <c r="I2941" s="33" t="n">
        <v>6637.2</v>
      </c>
      <c r="J2941" s="33" t="n">
        <v>6637.2</v>
      </c>
    </row>
    <row r="2942" customFormat="false" ht="15" hidden="false" customHeight="false" outlineLevel="0" collapsed="false">
      <c r="A2942" s="3" t="s">
        <v>3332</v>
      </c>
      <c r="B2942" s="3" t="s">
        <v>283</v>
      </c>
      <c r="C2942" s="3" t="s">
        <v>396</v>
      </c>
      <c r="D2942" s="3" t="s">
        <v>381</v>
      </c>
      <c r="E2942" s="3" t="s">
        <v>398</v>
      </c>
      <c r="F2942" s="16" t="n">
        <v>1</v>
      </c>
      <c r="G2942" s="15" t="n">
        <v>0.2</v>
      </c>
      <c r="H2942" s="16" t="n">
        <v>1</v>
      </c>
      <c r="I2942" s="33" t="n">
        <v>6635.52</v>
      </c>
      <c r="J2942" s="33" t="n">
        <v>8294.4</v>
      </c>
    </row>
    <row r="2943" customFormat="false" ht="15" hidden="false" customHeight="false" outlineLevel="0" collapsed="false">
      <c r="A2943" s="3" t="s">
        <v>3333</v>
      </c>
      <c r="B2943" s="3" t="s">
        <v>283</v>
      </c>
      <c r="C2943" s="3" t="s">
        <v>384</v>
      </c>
      <c r="D2943" s="3" t="s">
        <v>388</v>
      </c>
      <c r="E2943" s="3" t="s">
        <v>398</v>
      </c>
      <c r="F2943" s="16" t="n">
        <v>1</v>
      </c>
      <c r="G2943" s="15" t="n">
        <v>0.1</v>
      </c>
      <c r="H2943" s="16" t="n">
        <v>1</v>
      </c>
      <c r="I2943" s="33" t="n">
        <v>6631.08</v>
      </c>
      <c r="J2943" s="33" t="n">
        <v>7367.76</v>
      </c>
    </row>
    <row r="2944" customFormat="false" ht="15" hidden="false" customHeight="false" outlineLevel="0" collapsed="false">
      <c r="A2944" s="3" t="s">
        <v>3334</v>
      </c>
      <c r="B2944" s="3" t="s">
        <v>283</v>
      </c>
      <c r="C2944" s="3" t="s">
        <v>380</v>
      </c>
      <c r="D2944" s="3" t="s">
        <v>692</v>
      </c>
      <c r="E2944" s="3" t="s">
        <v>398</v>
      </c>
      <c r="F2944" s="16" t="n">
        <v>12</v>
      </c>
      <c r="G2944" s="15" t="n">
        <v>0.25</v>
      </c>
      <c r="H2944" s="16" t="n">
        <v>11</v>
      </c>
      <c r="I2944" s="33" t="n">
        <v>6622.8</v>
      </c>
      <c r="J2944" s="33" t="n">
        <v>8830.44</v>
      </c>
    </row>
    <row r="2945" customFormat="false" ht="15" hidden="false" customHeight="false" outlineLevel="0" collapsed="false">
      <c r="A2945" s="3" t="s">
        <v>3335</v>
      </c>
      <c r="B2945" s="3" t="s">
        <v>283</v>
      </c>
      <c r="C2945" s="3" t="s">
        <v>387</v>
      </c>
      <c r="D2945" s="3" t="s">
        <v>381</v>
      </c>
      <c r="E2945" s="3" t="s">
        <v>382</v>
      </c>
      <c r="F2945" s="16" t="n">
        <v>1</v>
      </c>
      <c r="G2945" s="15" t="n">
        <v>0</v>
      </c>
      <c r="H2945" s="16" t="n">
        <v>1</v>
      </c>
      <c r="I2945" s="33" t="n">
        <v>6622.08</v>
      </c>
      <c r="J2945" s="33" t="n">
        <v>6622.08</v>
      </c>
    </row>
    <row r="2946" customFormat="false" ht="15" hidden="false" customHeight="false" outlineLevel="0" collapsed="false">
      <c r="A2946" s="3" t="s">
        <v>3336</v>
      </c>
      <c r="B2946" s="3" t="s">
        <v>283</v>
      </c>
      <c r="C2946" s="3" t="s">
        <v>384</v>
      </c>
      <c r="D2946" s="3" t="s">
        <v>392</v>
      </c>
      <c r="E2946" s="3" t="s">
        <v>398</v>
      </c>
      <c r="F2946" s="16" t="n">
        <v>1</v>
      </c>
      <c r="G2946" s="15" t="n">
        <v>0.1</v>
      </c>
      <c r="H2946" s="16" t="n">
        <v>1</v>
      </c>
      <c r="I2946" s="33" t="n">
        <v>6617.16</v>
      </c>
      <c r="J2946" s="33" t="n">
        <v>7352.4</v>
      </c>
    </row>
    <row r="2947" customFormat="false" ht="15" hidden="false" customHeight="false" outlineLevel="0" collapsed="false">
      <c r="A2947" s="3" t="s">
        <v>3337</v>
      </c>
      <c r="B2947" s="3" t="s">
        <v>283</v>
      </c>
      <c r="C2947" s="3" t="s">
        <v>384</v>
      </c>
      <c r="D2947" s="3" t="s">
        <v>692</v>
      </c>
      <c r="E2947" s="3" t="s">
        <v>398</v>
      </c>
      <c r="F2947" s="16" t="n">
        <v>1</v>
      </c>
      <c r="G2947" s="15" t="n">
        <v>0</v>
      </c>
      <c r="H2947" s="16" t="n">
        <v>1</v>
      </c>
      <c r="I2947" s="33" t="n">
        <v>6610.44</v>
      </c>
      <c r="J2947" s="33" t="n">
        <v>6610.44</v>
      </c>
    </row>
    <row r="2948" customFormat="false" ht="15" hidden="false" customHeight="false" outlineLevel="0" collapsed="false">
      <c r="A2948" s="3" t="s">
        <v>3338</v>
      </c>
      <c r="B2948" s="3" t="s">
        <v>283</v>
      </c>
      <c r="C2948" s="3" t="s">
        <v>396</v>
      </c>
      <c r="D2948" s="3" t="s">
        <v>692</v>
      </c>
      <c r="E2948" s="3" t="s">
        <v>398</v>
      </c>
      <c r="F2948" s="16" t="n">
        <v>1</v>
      </c>
      <c r="G2948" s="15" t="n">
        <v>0.1</v>
      </c>
      <c r="H2948" s="16" t="n">
        <v>1</v>
      </c>
      <c r="I2948" s="33" t="n">
        <v>6609.36</v>
      </c>
      <c r="J2948" s="33" t="n">
        <v>7343.76</v>
      </c>
    </row>
    <row r="2949" customFormat="false" ht="15" hidden="false" customHeight="false" outlineLevel="0" collapsed="false">
      <c r="A2949" s="3" t="s">
        <v>3339</v>
      </c>
      <c r="B2949" s="3" t="s">
        <v>283</v>
      </c>
      <c r="C2949" s="3" t="s">
        <v>387</v>
      </c>
      <c r="D2949" s="3" t="s">
        <v>692</v>
      </c>
      <c r="E2949" s="3" t="s">
        <v>398</v>
      </c>
      <c r="F2949" s="16" t="n">
        <v>1</v>
      </c>
      <c r="G2949" s="15" t="n">
        <v>0</v>
      </c>
      <c r="H2949" s="16" t="n">
        <v>1</v>
      </c>
      <c r="I2949" s="33" t="n">
        <v>6605.16</v>
      </c>
      <c r="J2949" s="33" t="n">
        <v>6605.16</v>
      </c>
    </row>
    <row r="2950" customFormat="false" ht="15" hidden="false" customHeight="false" outlineLevel="0" collapsed="false">
      <c r="A2950" s="3" t="s">
        <v>3340</v>
      </c>
      <c r="B2950" s="3" t="s">
        <v>283</v>
      </c>
      <c r="C2950" s="3" t="s">
        <v>387</v>
      </c>
      <c r="D2950" s="3" t="s">
        <v>392</v>
      </c>
      <c r="E2950" s="3" t="s">
        <v>385</v>
      </c>
      <c r="F2950" s="16" t="n">
        <v>1</v>
      </c>
      <c r="G2950" s="15" t="n">
        <v>0</v>
      </c>
      <c r="H2950" s="16" t="n">
        <v>1</v>
      </c>
      <c r="I2950" s="33" t="n">
        <v>6595.92</v>
      </c>
      <c r="J2950" s="33" t="n">
        <v>6595.92</v>
      </c>
    </row>
    <row r="2951" customFormat="false" ht="15" hidden="false" customHeight="false" outlineLevel="0" collapsed="false">
      <c r="A2951" s="3" t="s">
        <v>3341</v>
      </c>
      <c r="B2951" s="3" t="s">
        <v>283</v>
      </c>
      <c r="C2951" s="3" t="s">
        <v>401</v>
      </c>
      <c r="D2951" s="3" t="s">
        <v>692</v>
      </c>
      <c r="E2951" s="3" t="s">
        <v>398</v>
      </c>
      <c r="F2951" s="16" t="n">
        <v>1</v>
      </c>
      <c r="G2951" s="15" t="n">
        <v>0</v>
      </c>
      <c r="H2951" s="16" t="n">
        <v>1</v>
      </c>
      <c r="I2951" s="33" t="n">
        <v>6589.44</v>
      </c>
      <c r="J2951" s="33" t="n">
        <v>6589.44</v>
      </c>
    </row>
    <row r="2952" customFormat="false" ht="15" hidden="false" customHeight="false" outlineLevel="0" collapsed="false">
      <c r="A2952" s="3" t="s">
        <v>3342</v>
      </c>
      <c r="B2952" s="3" t="s">
        <v>283</v>
      </c>
      <c r="C2952" s="3" t="s">
        <v>401</v>
      </c>
      <c r="D2952" s="3" t="s">
        <v>392</v>
      </c>
      <c r="E2952" s="3" t="s">
        <v>398</v>
      </c>
      <c r="F2952" s="16" t="n">
        <v>12</v>
      </c>
      <c r="G2952" s="15" t="n">
        <v>0.1</v>
      </c>
      <c r="H2952" s="16" t="n">
        <v>3</v>
      </c>
      <c r="I2952" s="33" t="n">
        <v>6587.52</v>
      </c>
      <c r="J2952" s="33" t="n">
        <v>7319.4</v>
      </c>
    </row>
    <row r="2953" customFormat="false" ht="15" hidden="false" customHeight="false" outlineLevel="0" collapsed="false">
      <c r="A2953" s="3" t="s">
        <v>3343</v>
      </c>
      <c r="B2953" s="3" t="s">
        <v>283</v>
      </c>
      <c r="C2953" s="3" t="s">
        <v>405</v>
      </c>
      <c r="D2953" s="3" t="s">
        <v>692</v>
      </c>
      <c r="E2953" s="3" t="s">
        <v>398</v>
      </c>
      <c r="F2953" s="16" t="n">
        <v>1</v>
      </c>
      <c r="G2953" s="15" t="n">
        <v>0</v>
      </c>
      <c r="H2953" s="16" t="n">
        <v>1</v>
      </c>
      <c r="I2953" s="33" t="n">
        <v>6586.56</v>
      </c>
      <c r="J2953" s="33" t="n">
        <v>6586.56</v>
      </c>
    </row>
    <row r="2954" customFormat="false" ht="15" hidden="false" customHeight="false" outlineLevel="0" collapsed="false">
      <c r="A2954" s="3" t="s">
        <v>3344</v>
      </c>
      <c r="B2954" s="3" t="s">
        <v>283</v>
      </c>
      <c r="C2954" s="3" t="s">
        <v>405</v>
      </c>
      <c r="D2954" s="3" t="s">
        <v>418</v>
      </c>
      <c r="E2954" s="3" t="s">
        <v>398</v>
      </c>
      <c r="F2954" s="16" t="n">
        <v>12</v>
      </c>
      <c r="G2954" s="15" t="n">
        <v>0.35</v>
      </c>
      <c r="H2954" s="16" t="n">
        <v>7</v>
      </c>
      <c r="I2954" s="33" t="n">
        <v>6578.4</v>
      </c>
      <c r="J2954" s="33" t="n">
        <v>10120.68</v>
      </c>
    </row>
    <row r="2955" customFormat="false" ht="15" hidden="false" customHeight="false" outlineLevel="0" collapsed="false">
      <c r="A2955" s="3" t="s">
        <v>3345</v>
      </c>
      <c r="B2955" s="3" t="s">
        <v>283</v>
      </c>
      <c r="C2955" s="3" t="s">
        <v>387</v>
      </c>
      <c r="D2955" s="3" t="s">
        <v>692</v>
      </c>
      <c r="E2955" s="3" t="s">
        <v>398</v>
      </c>
      <c r="F2955" s="16" t="n">
        <v>1</v>
      </c>
      <c r="G2955" s="15" t="n">
        <v>0</v>
      </c>
      <c r="H2955" s="16" t="n">
        <v>1</v>
      </c>
      <c r="I2955" s="33" t="n">
        <v>6554.28</v>
      </c>
      <c r="J2955" s="33" t="n">
        <v>6554.28</v>
      </c>
    </row>
    <row r="2956" customFormat="false" ht="15" hidden="false" customHeight="false" outlineLevel="0" collapsed="false">
      <c r="A2956" s="3" t="s">
        <v>3346</v>
      </c>
      <c r="B2956" s="3" t="s">
        <v>283</v>
      </c>
      <c r="C2956" s="3" t="s">
        <v>380</v>
      </c>
      <c r="D2956" s="3" t="s">
        <v>692</v>
      </c>
      <c r="E2956" s="3" t="s">
        <v>398</v>
      </c>
      <c r="F2956" s="16" t="n">
        <v>1</v>
      </c>
      <c r="G2956" s="15" t="n">
        <v>0</v>
      </c>
      <c r="H2956" s="16" t="n">
        <v>1</v>
      </c>
      <c r="I2956" s="33" t="n">
        <v>6551.88</v>
      </c>
      <c r="J2956" s="33" t="n">
        <v>6551.88</v>
      </c>
    </row>
    <row r="2957" customFormat="false" ht="15" hidden="false" customHeight="false" outlineLevel="0" collapsed="false">
      <c r="A2957" s="3" t="s">
        <v>3347</v>
      </c>
      <c r="B2957" s="3" t="s">
        <v>283</v>
      </c>
      <c r="C2957" s="3" t="s">
        <v>403</v>
      </c>
      <c r="D2957" s="3" t="s">
        <v>692</v>
      </c>
      <c r="E2957" s="3" t="s">
        <v>398</v>
      </c>
      <c r="F2957" s="16" t="n">
        <v>1</v>
      </c>
      <c r="G2957" s="15" t="n">
        <v>0</v>
      </c>
      <c r="H2957" s="16" t="n">
        <v>1</v>
      </c>
      <c r="I2957" s="33" t="n">
        <v>6551.4</v>
      </c>
      <c r="J2957" s="33" t="n">
        <v>6551.4</v>
      </c>
    </row>
    <row r="2958" customFormat="false" ht="15" hidden="false" customHeight="false" outlineLevel="0" collapsed="false">
      <c r="A2958" s="3" t="s">
        <v>3348</v>
      </c>
      <c r="B2958" s="3" t="s">
        <v>283</v>
      </c>
      <c r="C2958" s="3" t="s">
        <v>405</v>
      </c>
      <c r="D2958" s="3" t="s">
        <v>692</v>
      </c>
      <c r="E2958" s="3" t="s">
        <v>398</v>
      </c>
      <c r="F2958" s="16" t="n">
        <v>1</v>
      </c>
      <c r="G2958" s="15" t="n">
        <v>0</v>
      </c>
      <c r="H2958" s="16" t="n">
        <v>1</v>
      </c>
      <c r="I2958" s="33" t="n">
        <v>6544.08</v>
      </c>
      <c r="J2958" s="33" t="n">
        <v>6544.08</v>
      </c>
    </row>
    <row r="2959" customFormat="false" ht="15" hidden="false" customHeight="false" outlineLevel="0" collapsed="false">
      <c r="A2959" s="3" t="s">
        <v>3349</v>
      </c>
      <c r="B2959" s="3" t="s">
        <v>283</v>
      </c>
      <c r="C2959" s="3" t="s">
        <v>405</v>
      </c>
      <c r="D2959" s="3" t="s">
        <v>392</v>
      </c>
      <c r="E2959" s="3" t="s">
        <v>398</v>
      </c>
      <c r="F2959" s="16" t="n">
        <v>1</v>
      </c>
      <c r="G2959" s="15" t="n">
        <v>0.1</v>
      </c>
      <c r="H2959" s="16" t="n">
        <v>1</v>
      </c>
      <c r="I2959" s="33" t="n">
        <v>6543.72</v>
      </c>
      <c r="J2959" s="33" t="n">
        <v>7270.8</v>
      </c>
    </row>
    <row r="2960" customFormat="false" ht="15" hidden="false" customHeight="false" outlineLevel="0" collapsed="false">
      <c r="A2960" s="3" t="s">
        <v>3350</v>
      </c>
      <c r="B2960" s="3" t="s">
        <v>283</v>
      </c>
      <c r="C2960" s="3" t="s">
        <v>405</v>
      </c>
      <c r="D2960" s="3" t="s">
        <v>418</v>
      </c>
      <c r="E2960" s="3" t="s">
        <v>385</v>
      </c>
      <c r="F2960" s="16" t="n">
        <v>12</v>
      </c>
      <c r="G2960" s="15" t="n">
        <v>0.3</v>
      </c>
      <c r="H2960" s="16" t="n">
        <v>8</v>
      </c>
      <c r="I2960" s="33" t="n">
        <v>6539.52</v>
      </c>
      <c r="J2960" s="33" t="n">
        <v>9342.12</v>
      </c>
    </row>
    <row r="2961" customFormat="false" ht="15" hidden="false" customHeight="false" outlineLevel="0" collapsed="false">
      <c r="A2961" s="3" t="s">
        <v>3351</v>
      </c>
      <c r="B2961" s="3" t="s">
        <v>283</v>
      </c>
      <c r="C2961" s="3" t="s">
        <v>387</v>
      </c>
      <c r="D2961" s="3" t="s">
        <v>692</v>
      </c>
      <c r="E2961" s="3" t="s">
        <v>382</v>
      </c>
      <c r="F2961" s="16" t="n">
        <v>1</v>
      </c>
      <c r="G2961" s="15" t="n">
        <v>0</v>
      </c>
      <c r="H2961" s="16" t="n">
        <v>1</v>
      </c>
      <c r="I2961" s="33" t="n">
        <v>6530.64</v>
      </c>
      <c r="J2961" s="33" t="n">
        <v>6530.64</v>
      </c>
    </row>
    <row r="2962" customFormat="false" ht="15" hidden="false" customHeight="false" outlineLevel="0" collapsed="false">
      <c r="A2962" s="3" t="s">
        <v>3352</v>
      </c>
      <c r="B2962" s="3" t="s">
        <v>283</v>
      </c>
      <c r="C2962" s="3" t="s">
        <v>401</v>
      </c>
      <c r="D2962" s="3" t="s">
        <v>418</v>
      </c>
      <c r="E2962" s="3" t="s">
        <v>398</v>
      </c>
      <c r="F2962" s="16" t="n">
        <v>12</v>
      </c>
      <c r="G2962" s="15" t="n">
        <v>0</v>
      </c>
      <c r="H2962" s="16" t="n">
        <v>6</v>
      </c>
      <c r="I2962" s="33" t="n">
        <v>6516.84</v>
      </c>
      <c r="J2962" s="33" t="n">
        <v>6516.84</v>
      </c>
    </row>
    <row r="2963" customFormat="false" ht="15" hidden="false" customHeight="false" outlineLevel="0" collapsed="false">
      <c r="A2963" s="3" t="s">
        <v>3353</v>
      </c>
      <c r="B2963" s="3" t="s">
        <v>283</v>
      </c>
      <c r="C2963" s="3" t="s">
        <v>396</v>
      </c>
      <c r="D2963" s="3" t="s">
        <v>692</v>
      </c>
      <c r="E2963" s="3" t="s">
        <v>398</v>
      </c>
      <c r="F2963" s="16" t="n">
        <v>1</v>
      </c>
      <c r="G2963" s="15" t="n">
        <v>0</v>
      </c>
      <c r="H2963" s="16" t="n">
        <v>1</v>
      </c>
      <c r="I2963" s="33" t="n">
        <v>6509.52</v>
      </c>
      <c r="J2963" s="33" t="n">
        <v>6509.52</v>
      </c>
    </row>
    <row r="2964" customFormat="false" ht="15" hidden="false" customHeight="false" outlineLevel="0" collapsed="false">
      <c r="A2964" s="3" t="s">
        <v>3354</v>
      </c>
      <c r="B2964" s="3" t="s">
        <v>283</v>
      </c>
      <c r="C2964" s="3" t="s">
        <v>403</v>
      </c>
      <c r="D2964" s="3" t="s">
        <v>418</v>
      </c>
      <c r="E2964" s="3" t="s">
        <v>398</v>
      </c>
      <c r="F2964" s="16" t="n">
        <v>1</v>
      </c>
      <c r="G2964" s="15" t="n">
        <v>0.15</v>
      </c>
      <c r="H2964" s="16" t="n">
        <v>1</v>
      </c>
      <c r="I2964" s="33" t="n">
        <v>6507.72</v>
      </c>
      <c r="J2964" s="33" t="n">
        <v>7656.12</v>
      </c>
    </row>
    <row r="2965" customFormat="false" ht="15" hidden="false" customHeight="false" outlineLevel="0" collapsed="false">
      <c r="A2965" s="3" t="s">
        <v>3355</v>
      </c>
      <c r="B2965" s="3" t="s">
        <v>283</v>
      </c>
      <c r="C2965" s="3" t="s">
        <v>384</v>
      </c>
      <c r="D2965" s="3" t="s">
        <v>692</v>
      </c>
      <c r="E2965" s="3" t="s">
        <v>398</v>
      </c>
      <c r="F2965" s="16" t="n">
        <v>12</v>
      </c>
      <c r="G2965" s="15" t="n">
        <v>0</v>
      </c>
      <c r="H2965" s="16" t="n">
        <v>12</v>
      </c>
      <c r="I2965" s="33" t="n">
        <v>6495.96</v>
      </c>
      <c r="J2965" s="33" t="n">
        <v>6495.96</v>
      </c>
    </row>
    <row r="2966" customFormat="false" ht="15" hidden="false" customHeight="false" outlineLevel="0" collapsed="false">
      <c r="A2966" s="3" t="s">
        <v>3356</v>
      </c>
      <c r="B2966" s="3" t="s">
        <v>283</v>
      </c>
      <c r="C2966" s="3" t="s">
        <v>403</v>
      </c>
      <c r="D2966" s="3" t="s">
        <v>392</v>
      </c>
      <c r="E2966" s="3" t="s">
        <v>398</v>
      </c>
      <c r="F2966" s="16" t="n">
        <v>1</v>
      </c>
      <c r="G2966" s="15" t="n">
        <v>0</v>
      </c>
      <c r="H2966" s="16" t="n">
        <v>1</v>
      </c>
      <c r="I2966" s="33" t="n">
        <v>6492.12</v>
      </c>
      <c r="J2966" s="33" t="n">
        <v>6492.12</v>
      </c>
    </row>
    <row r="2967" customFormat="false" ht="15" hidden="false" customHeight="false" outlineLevel="0" collapsed="false">
      <c r="A2967" s="3" t="s">
        <v>3357</v>
      </c>
      <c r="B2967" s="3" t="s">
        <v>283</v>
      </c>
      <c r="C2967" s="3" t="s">
        <v>396</v>
      </c>
      <c r="D2967" s="3" t="s">
        <v>418</v>
      </c>
      <c r="E2967" s="3" t="s">
        <v>385</v>
      </c>
      <c r="F2967" s="16" t="n">
        <v>1</v>
      </c>
      <c r="G2967" s="15" t="n">
        <v>0</v>
      </c>
      <c r="H2967" s="16" t="n">
        <v>1</v>
      </c>
      <c r="I2967" s="33" t="n">
        <v>6481.8</v>
      </c>
      <c r="J2967" s="33" t="n">
        <v>6481.8</v>
      </c>
    </row>
    <row r="2968" customFormat="false" ht="15" hidden="false" customHeight="false" outlineLevel="0" collapsed="false">
      <c r="A2968" s="3" t="s">
        <v>3358</v>
      </c>
      <c r="B2968" s="3" t="s">
        <v>283</v>
      </c>
      <c r="C2968" s="3" t="s">
        <v>384</v>
      </c>
      <c r="D2968" s="3" t="s">
        <v>418</v>
      </c>
      <c r="E2968" s="3" t="s">
        <v>398</v>
      </c>
      <c r="F2968" s="16" t="n">
        <v>1</v>
      </c>
      <c r="G2968" s="15" t="n">
        <v>0</v>
      </c>
      <c r="H2968" s="16" t="n">
        <v>1</v>
      </c>
      <c r="I2968" s="33" t="n">
        <v>6480</v>
      </c>
      <c r="J2968" s="33" t="n">
        <v>6480</v>
      </c>
    </row>
    <row r="2969" customFormat="false" ht="15" hidden="false" customHeight="false" outlineLevel="0" collapsed="false">
      <c r="A2969" s="3" t="s">
        <v>3359</v>
      </c>
      <c r="B2969" s="3" t="s">
        <v>283</v>
      </c>
      <c r="C2969" s="3" t="s">
        <v>396</v>
      </c>
      <c r="D2969" s="3" t="s">
        <v>692</v>
      </c>
      <c r="E2969" s="3" t="s">
        <v>385</v>
      </c>
      <c r="F2969" s="16" t="n">
        <v>12</v>
      </c>
      <c r="G2969" s="15" t="n">
        <v>0</v>
      </c>
      <c r="H2969" s="16" t="n">
        <v>12</v>
      </c>
      <c r="I2969" s="33" t="n">
        <v>6479.76</v>
      </c>
      <c r="J2969" s="33" t="n">
        <v>6479.76</v>
      </c>
    </row>
    <row r="2970" customFormat="false" ht="15" hidden="false" customHeight="false" outlineLevel="0" collapsed="false">
      <c r="A2970" s="3" t="s">
        <v>3360</v>
      </c>
      <c r="B2970" s="3" t="s">
        <v>283</v>
      </c>
      <c r="C2970" s="3" t="s">
        <v>403</v>
      </c>
      <c r="D2970" s="3" t="s">
        <v>418</v>
      </c>
      <c r="E2970" s="3" t="s">
        <v>398</v>
      </c>
      <c r="F2970" s="16" t="n">
        <v>1</v>
      </c>
      <c r="G2970" s="15" t="n">
        <v>0.05</v>
      </c>
      <c r="H2970" s="16" t="n">
        <v>1</v>
      </c>
      <c r="I2970" s="33" t="n">
        <v>6468.12</v>
      </c>
      <c r="J2970" s="33" t="n">
        <v>6808.56</v>
      </c>
    </row>
    <row r="2971" customFormat="false" ht="15" hidden="false" customHeight="false" outlineLevel="0" collapsed="false">
      <c r="A2971" s="3" t="s">
        <v>3361</v>
      </c>
      <c r="B2971" s="3" t="s">
        <v>283</v>
      </c>
      <c r="C2971" s="3" t="s">
        <v>384</v>
      </c>
      <c r="D2971" s="3" t="s">
        <v>392</v>
      </c>
      <c r="E2971" s="3" t="s">
        <v>398</v>
      </c>
      <c r="F2971" s="16" t="n">
        <v>12</v>
      </c>
      <c r="G2971" s="15" t="n">
        <v>0</v>
      </c>
      <c r="H2971" s="16" t="n">
        <v>12</v>
      </c>
      <c r="I2971" s="33" t="n">
        <v>6466.92</v>
      </c>
      <c r="J2971" s="33" t="n">
        <v>6466.92</v>
      </c>
    </row>
    <row r="2972" customFormat="false" ht="15" hidden="false" customHeight="false" outlineLevel="0" collapsed="false">
      <c r="A2972" s="3" t="s">
        <v>3362</v>
      </c>
      <c r="B2972" s="3" t="s">
        <v>283</v>
      </c>
      <c r="C2972" s="3" t="s">
        <v>405</v>
      </c>
      <c r="D2972" s="3" t="s">
        <v>418</v>
      </c>
      <c r="E2972" s="3" t="s">
        <v>398</v>
      </c>
      <c r="F2972" s="16" t="n">
        <v>1</v>
      </c>
      <c r="G2972" s="15" t="n">
        <v>0</v>
      </c>
      <c r="H2972" s="16" t="n">
        <v>1</v>
      </c>
      <c r="I2972" s="33" t="n">
        <v>6459</v>
      </c>
      <c r="J2972" s="33" t="n">
        <v>6459</v>
      </c>
    </row>
    <row r="2973" customFormat="false" ht="15" hidden="false" customHeight="false" outlineLevel="0" collapsed="false">
      <c r="A2973" s="3" t="s">
        <v>3363</v>
      </c>
      <c r="B2973" s="3" t="s">
        <v>283</v>
      </c>
      <c r="C2973" s="3" t="s">
        <v>401</v>
      </c>
      <c r="D2973" s="3" t="s">
        <v>692</v>
      </c>
      <c r="E2973" s="3" t="s">
        <v>398</v>
      </c>
      <c r="F2973" s="16" t="n">
        <v>12</v>
      </c>
      <c r="G2973" s="15" t="n">
        <v>0</v>
      </c>
      <c r="H2973" s="16" t="n">
        <v>8</v>
      </c>
      <c r="I2973" s="33" t="n">
        <v>6454.68</v>
      </c>
      <c r="J2973" s="33" t="n">
        <v>6454.68</v>
      </c>
    </row>
    <row r="2974" customFormat="false" ht="15" hidden="false" customHeight="false" outlineLevel="0" collapsed="false">
      <c r="A2974" s="3" t="s">
        <v>3364</v>
      </c>
      <c r="B2974" s="3" t="s">
        <v>283</v>
      </c>
      <c r="C2974" s="3" t="s">
        <v>384</v>
      </c>
      <c r="D2974" s="3" t="s">
        <v>381</v>
      </c>
      <c r="E2974" s="3" t="s">
        <v>382</v>
      </c>
      <c r="F2974" s="16" t="n">
        <v>12</v>
      </c>
      <c r="G2974" s="15" t="n">
        <v>0.1</v>
      </c>
      <c r="H2974" s="16" t="n">
        <v>10</v>
      </c>
      <c r="I2974" s="33" t="n">
        <v>6446.04</v>
      </c>
      <c r="J2974" s="33" t="n">
        <v>7162.2</v>
      </c>
    </row>
    <row r="2975" customFormat="false" ht="15" hidden="false" customHeight="false" outlineLevel="0" collapsed="false">
      <c r="A2975" s="3" t="s">
        <v>3365</v>
      </c>
      <c r="B2975" s="3" t="s">
        <v>283</v>
      </c>
      <c r="C2975" s="3" t="s">
        <v>403</v>
      </c>
      <c r="D2975" s="3" t="s">
        <v>418</v>
      </c>
      <c r="E2975" s="3" t="s">
        <v>382</v>
      </c>
      <c r="F2975" s="16" t="n">
        <v>12</v>
      </c>
      <c r="G2975" s="15" t="n">
        <v>0</v>
      </c>
      <c r="H2975" s="16" t="n">
        <v>4</v>
      </c>
      <c r="I2975" s="33" t="n">
        <v>6432.84</v>
      </c>
      <c r="J2975" s="33" t="n">
        <v>6432.84</v>
      </c>
    </row>
    <row r="2976" customFormat="false" ht="15" hidden="false" customHeight="false" outlineLevel="0" collapsed="false">
      <c r="A2976" s="3" t="s">
        <v>3366</v>
      </c>
      <c r="B2976" s="3" t="s">
        <v>283</v>
      </c>
      <c r="C2976" s="3" t="s">
        <v>380</v>
      </c>
      <c r="D2976" s="3" t="s">
        <v>392</v>
      </c>
      <c r="E2976" s="3" t="s">
        <v>382</v>
      </c>
      <c r="F2976" s="16" t="n">
        <v>12</v>
      </c>
      <c r="G2976" s="15" t="n">
        <v>0</v>
      </c>
      <c r="H2976" s="16" t="n">
        <v>11</v>
      </c>
      <c r="I2976" s="33" t="n">
        <v>6427.44</v>
      </c>
      <c r="J2976" s="33" t="n">
        <v>6427.44</v>
      </c>
    </row>
    <row r="2977" customFormat="false" ht="15" hidden="false" customHeight="false" outlineLevel="0" collapsed="false">
      <c r="A2977" s="3" t="s">
        <v>3367</v>
      </c>
      <c r="B2977" s="3" t="s">
        <v>283</v>
      </c>
      <c r="C2977" s="3" t="s">
        <v>396</v>
      </c>
      <c r="D2977" s="3" t="s">
        <v>692</v>
      </c>
      <c r="E2977" s="3" t="s">
        <v>398</v>
      </c>
      <c r="F2977" s="16" t="n">
        <v>1</v>
      </c>
      <c r="G2977" s="15" t="n">
        <v>0.3</v>
      </c>
      <c r="H2977" s="16" t="n">
        <v>1</v>
      </c>
      <c r="I2977" s="33" t="n">
        <v>6423.24</v>
      </c>
      <c r="J2977" s="33" t="n">
        <v>9176.04</v>
      </c>
    </row>
    <row r="2978" customFormat="false" ht="15" hidden="false" customHeight="false" outlineLevel="0" collapsed="false">
      <c r="A2978" s="3" t="s">
        <v>3368</v>
      </c>
      <c r="B2978" s="3" t="s">
        <v>283</v>
      </c>
      <c r="C2978" s="3" t="s">
        <v>380</v>
      </c>
      <c r="D2978" s="3" t="s">
        <v>418</v>
      </c>
      <c r="E2978" s="3" t="s">
        <v>385</v>
      </c>
      <c r="F2978" s="16" t="n">
        <v>12</v>
      </c>
      <c r="G2978" s="15" t="n">
        <v>0</v>
      </c>
      <c r="H2978" s="16" t="n">
        <v>9</v>
      </c>
      <c r="I2978" s="33" t="n">
        <v>6417.24</v>
      </c>
      <c r="J2978" s="33" t="n">
        <v>6417.24</v>
      </c>
    </row>
    <row r="2979" customFormat="false" ht="15" hidden="false" customHeight="false" outlineLevel="0" collapsed="false">
      <c r="A2979" s="3" t="s">
        <v>3369</v>
      </c>
      <c r="B2979" s="3" t="s">
        <v>283</v>
      </c>
      <c r="C2979" s="3" t="s">
        <v>405</v>
      </c>
      <c r="D2979" s="3" t="s">
        <v>392</v>
      </c>
      <c r="E2979" s="3" t="s">
        <v>398</v>
      </c>
      <c r="F2979" s="16" t="n">
        <v>12</v>
      </c>
      <c r="G2979" s="15" t="n">
        <v>0</v>
      </c>
      <c r="H2979" s="16" t="n">
        <v>11</v>
      </c>
      <c r="I2979" s="33" t="n">
        <v>6415.32</v>
      </c>
      <c r="J2979" s="33" t="n">
        <v>6415.32</v>
      </c>
    </row>
    <row r="2980" customFormat="false" ht="15" hidden="false" customHeight="false" outlineLevel="0" collapsed="false">
      <c r="A2980" s="3" t="s">
        <v>3370</v>
      </c>
      <c r="B2980" s="3" t="s">
        <v>283</v>
      </c>
      <c r="C2980" s="3" t="s">
        <v>405</v>
      </c>
      <c r="D2980" s="3" t="s">
        <v>692</v>
      </c>
      <c r="E2980" s="3" t="s">
        <v>398</v>
      </c>
      <c r="F2980" s="16" t="n">
        <v>1</v>
      </c>
      <c r="G2980" s="15" t="n">
        <v>0</v>
      </c>
      <c r="H2980" s="16" t="n">
        <v>1</v>
      </c>
      <c r="I2980" s="33" t="n">
        <v>6408.12</v>
      </c>
      <c r="J2980" s="33" t="n">
        <v>6408.12</v>
      </c>
    </row>
    <row r="2981" customFormat="false" ht="15" hidden="false" customHeight="false" outlineLevel="0" collapsed="false">
      <c r="A2981" s="3" t="s">
        <v>3371</v>
      </c>
      <c r="B2981" s="3" t="s">
        <v>283</v>
      </c>
      <c r="C2981" s="3" t="s">
        <v>380</v>
      </c>
      <c r="D2981" s="3" t="s">
        <v>392</v>
      </c>
      <c r="E2981" s="3" t="s">
        <v>398</v>
      </c>
      <c r="F2981" s="16" t="n">
        <v>1</v>
      </c>
      <c r="G2981" s="15" t="n">
        <v>0</v>
      </c>
      <c r="H2981" s="16" t="n">
        <v>1</v>
      </c>
      <c r="I2981" s="33" t="n">
        <v>6402.84</v>
      </c>
      <c r="J2981" s="33" t="n">
        <v>6402.84</v>
      </c>
    </row>
    <row r="2982" customFormat="false" ht="15" hidden="false" customHeight="false" outlineLevel="0" collapsed="false">
      <c r="A2982" s="3" t="s">
        <v>3372</v>
      </c>
      <c r="B2982" s="3" t="s">
        <v>283</v>
      </c>
      <c r="C2982" s="3" t="s">
        <v>384</v>
      </c>
      <c r="D2982" s="3" t="s">
        <v>418</v>
      </c>
      <c r="E2982" s="3" t="s">
        <v>382</v>
      </c>
      <c r="F2982" s="16" t="n">
        <v>1</v>
      </c>
      <c r="G2982" s="15" t="n">
        <v>0</v>
      </c>
      <c r="H2982" s="16" t="n">
        <v>1</v>
      </c>
      <c r="I2982" s="33" t="n">
        <v>6400.56</v>
      </c>
      <c r="J2982" s="33" t="n">
        <v>6400.56</v>
      </c>
    </row>
    <row r="2983" customFormat="false" ht="15" hidden="false" customHeight="false" outlineLevel="0" collapsed="false">
      <c r="A2983" s="3" t="s">
        <v>3373</v>
      </c>
      <c r="B2983" s="3" t="s">
        <v>283</v>
      </c>
      <c r="C2983" s="3" t="s">
        <v>387</v>
      </c>
      <c r="D2983" s="3" t="s">
        <v>692</v>
      </c>
      <c r="E2983" s="3" t="s">
        <v>398</v>
      </c>
      <c r="F2983" s="16" t="n">
        <v>12</v>
      </c>
      <c r="G2983" s="15" t="n">
        <v>0.2</v>
      </c>
      <c r="H2983" s="16" t="n">
        <v>12</v>
      </c>
      <c r="I2983" s="33" t="n">
        <v>6378.84</v>
      </c>
      <c r="J2983" s="33" t="n">
        <v>7973.52</v>
      </c>
    </row>
    <row r="2984" customFormat="false" ht="15" hidden="false" customHeight="false" outlineLevel="0" collapsed="false">
      <c r="A2984" s="3" t="s">
        <v>3374</v>
      </c>
      <c r="B2984" s="3" t="s">
        <v>283</v>
      </c>
      <c r="C2984" s="3" t="s">
        <v>403</v>
      </c>
      <c r="D2984" s="3" t="s">
        <v>418</v>
      </c>
      <c r="E2984" s="3" t="s">
        <v>398</v>
      </c>
      <c r="F2984" s="16" t="n">
        <v>1</v>
      </c>
      <c r="G2984" s="15" t="n">
        <v>0.1</v>
      </c>
      <c r="H2984" s="16" t="n">
        <v>1</v>
      </c>
      <c r="I2984" s="33" t="n">
        <v>6373.44</v>
      </c>
      <c r="J2984" s="33" t="n">
        <v>7081.56</v>
      </c>
    </row>
    <row r="2985" customFormat="false" ht="15" hidden="false" customHeight="false" outlineLevel="0" collapsed="false">
      <c r="A2985" s="3" t="s">
        <v>3375</v>
      </c>
      <c r="B2985" s="3" t="s">
        <v>283</v>
      </c>
      <c r="C2985" s="3" t="s">
        <v>384</v>
      </c>
      <c r="D2985" s="3" t="s">
        <v>392</v>
      </c>
      <c r="E2985" s="3" t="s">
        <v>398</v>
      </c>
      <c r="F2985" s="16" t="n">
        <v>1</v>
      </c>
      <c r="G2985" s="15" t="n">
        <v>0</v>
      </c>
      <c r="H2985" s="16" t="n">
        <v>1</v>
      </c>
      <c r="I2985" s="33" t="n">
        <v>6373.08</v>
      </c>
      <c r="J2985" s="33" t="n">
        <v>6373.08</v>
      </c>
    </row>
    <row r="2986" customFormat="false" ht="15" hidden="false" customHeight="false" outlineLevel="0" collapsed="false">
      <c r="A2986" s="3" t="s">
        <v>3376</v>
      </c>
      <c r="B2986" s="3" t="s">
        <v>283</v>
      </c>
      <c r="C2986" s="3" t="s">
        <v>396</v>
      </c>
      <c r="D2986" s="3" t="s">
        <v>692</v>
      </c>
      <c r="E2986" s="3" t="s">
        <v>398</v>
      </c>
      <c r="F2986" s="16" t="n">
        <v>1</v>
      </c>
      <c r="G2986" s="15" t="n">
        <v>0</v>
      </c>
      <c r="H2986" s="16" t="n">
        <v>1</v>
      </c>
      <c r="I2986" s="33" t="n">
        <v>6363.84</v>
      </c>
      <c r="J2986" s="33" t="n">
        <v>6363.84</v>
      </c>
    </row>
    <row r="2987" customFormat="false" ht="15" hidden="false" customHeight="false" outlineLevel="0" collapsed="false">
      <c r="A2987" s="3" t="s">
        <v>3377</v>
      </c>
      <c r="B2987" s="3" t="s">
        <v>283</v>
      </c>
      <c r="C2987" s="3" t="s">
        <v>405</v>
      </c>
      <c r="D2987" s="3" t="s">
        <v>692</v>
      </c>
      <c r="E2987" s="3" t="s">
        <v>398</v>
      </c>
      <c r="F2987" s="16" t="n">
        <v>12</v>
      </c>
      <c r="G2987" s="15" t="n">
        <v>0</v>
      </c>
      <c r="H2987" s="16" t="n">
        <v>12</v>
      </c>
      <c r="I2987" s="33" t="n">
        <v>6361.32</v>
      </c>
      <c r="J2987" s="33" t="n">
        <v>6361.32</v>
      </c>
    </row>
    <row r="2988" customFormat="false" ht="15" hidden="false" customHeight="false" outlineLevel="0" collapsed="false">
      <c r="A2988" s="3" t="s">
        <v>3378</v>
      </c>
      <c r="B2988" s="3" t="s">
        <v>283</v>
      </c>
      <c r="C2988" s="3" t="s">
        <v>387</v>
      </c>
      <c r="D2988" s="3" t="s">
        <v>388</v>
      </c>
      <c r="E2988" s="3" t="s">
        <v>385</v>
      </c>
      <c r="F2988" s="16" t="n">
        <v>12</v>
      </c>
      <c r="G2988" s="15" t="n">
        <v>0</v>
      </c>
      <c r="H2988" s="16" t="n">
        <v>10</v>
      </c>
      <c r="I2988" s="33" t="n">
        <v>6352.32</v>
      </c>
      <c r="J2988" s="33" t="n">
        <v>6352.32</v>
      </c>
    </row>
    <row r="2989" customFormat="false" ht="15" hidden="false" customHeight="false" outlineLevel="0" collapsed="false">
      <c r="A2989" s="3" t="s">
        <v>3379</v>
      </c>
      <c r="B2989" s="3" t="s">
        <v>283</v>
      </c>
      <c r="C2989" s="3" t="s">
        <v>401</v>
      </c>
      <c r="D2989" s="3" t="s">
        <v>692</v>
      </c>
      <c r="E2989" s="3" t="s">
        <v>382</v>
      </c>
      <c r="F2989" s="16" t="n">
        <v>1</v>
      </c>
      <c r="G2989" s="15" t="n">
        <v>0</v>
      </c>
      <c r="H2989" s="16" t="n">
        <v>1</v>
      </c>
      <c r="I2989" s="33" t="n">
        <v>6341.28</v>
      </c>
      <c r="J2989" s="33" t="n">
        <v>6341.28</v>
      </c>
    </row>
    <row r="2990" customFormat="false" ht="15" hidden="false" customHeight="false" outlineLevel="0" collapsed="false">
      <c r="A2990" s="3" t="s">
        <v>3380</v>
      </c>
      <c r="B2990" s="3" t="s">
        <v>283</v>
      </c>
      <c r="C2990" s="3" t="s">
        <v>403</v>
      </c>
      <c r="D2990" s="3" t="s">
        <v>692</v>
      </c>
      <c r="E2990" s="3" t="s">
        <v>398</v>
      </c>
      <c r="F2990" s="16" t="n">
        <v>12</v>
      </c>
      <c r="G2990" s="15" t="n">
        <v>0</v>
      </c>
      <c r="H2990" s="16" t="n">
        <v>2</v>
      </c>
      <c r="I2990" s="33" t="n">
        <v>6338.04</v>
      </c>
      <c r="J2990" s="33" t="n">
        <v>6338.04</v>
      </c>
    </row>
    <row r="2991" customFormat="false" ht="15" hidden="false" customHeight="false" outlineLevel="0" collapsed="false">
      <c r="A2991" s="3" t="s">
        <v>3381</v>
      </c>
      <c r="B2991" s="3" t="s">
        <v>283</v>
      </c>
      <c r="C2991" s="3" t="s">
        <v>401</v>
      </c>
      <c r="D2991" s="3" t="s">
        <v>388</v>
      </c>
      <c r="E2991" s="3" t="s">
        <v>382</v>
      </c>
      <c r="F2991" s="16" t="n">
        <v>1</v>
      </c>
      <c r="G2991" s="15" t="n">
        <v>0</v>
      </c>
      <c r="H2991" s="16" t="n">
        <v>1</v>
      </c>
      <c r="I2991" s="33" t="n">
        <v>6331.44</v>
      </c>
      <c r="J2991" s="33" t="n">
        <v>6331.44</v>
      </c>
    </row>
    <row r="2992" customFormat="false" ht="15" hidden="false" customHeight="false" outlineLevel="0" collapsed="false">
      <c r="A2992" s="3" t="s">
        <v>3382</v>
      </c>
      <c r="B2992" s="3" t="s">
        <v>283</v>
      </c>
      <c r="C2992" s="3" t="s">
        <v>384</v>
      </c>
      <c r="D2992" s="3" t="s">
        <v>692</v>
      </c>
      <c r="E2992" s="3" t="s">
        <v>385</v>
      </c>
      <c r="F2992" s="16" t="n">
        <v>12</v>
      </c>
      <c r="G2992" s="15" t="n">
        <v>0.1</v>
      </c>
      <c r="H2992" s="16" t="n">
        <v>10</v>
      </c>
      <c r="I2992" s="33" t="n">
        <v>6323.64</v>
      </c>
      <c r="J2992" s="33" t="n">
        <v>7026.24</v>
      </c>
    </row>
    <row r="2993" customFormat="false" ht="15" hidden="false" customHeight="false" outlineLevel="0" collapsed="false">
      <c r="A2993" s="3" t="s">
        <v>3383</v>
      </c>
      <c r="B2993" s="3" t="s">
        <v>283</v>
      </c>
      <c r="C2993" s="3" t="s">
        <v>384</v>
      </c>
      <c r="D2993" s="3" t="s">
        <v>692</v>
      </c>
      <c r="E2993" s="3" t="s">
        <v>385</v>
      </c>
      <c r="F2993" s="16" t="n">
        <v>12</v>
      </c>
      <c r="G2993" s="15" t="n">
        <v>0</v>
      </c>
      <c r="H2993" s="16" t="n">
        <v>3</v>
      </c>
      <c r="I2993" s="33" t="n">
        <v>6315.48</v>
      </c>
      <c r="J2993" s="33" t="n">
        <v>6315.48</v>
      </c>
    </row>
    <row r="2994" customFormat="false" ht="15" hidden="false" customHeight="false" outlineLevel="0" collapsed="false">
      <c r="A2994" s="3" t="s">
        <v>3384</v>
      </c>
      <c r="B2994" s="3" t="s">
        <v>283</v>
      </c>
      <c r="C2994" s="3" t="s">
        <v>401</v>
      </c>
      <c r="D2994" s="3" t="s">
        <v>381</v>
      </c>
      <c r="E2994" s="3" t="s">
        <v>398</v>
      </c>
      <c r="F2994" s="16" t="n">
        <v>12</v>
      </c>
      <c r="G2994" s="15" t="n">
        <v>0.3</v>
      </c>
      <c r="H2994" s="16" t="n">
        <v>8</v>
      </c>
      <c r="I2994" s="33" t="n">
        <v>6299.88</v>
      </c>
      <c r="J2994" s="33" t="n">
        <v>8999.76</v>
      </c>
    </row>
    <row r="2995" customFormat="false" ht="15" hidden="false" customHeight="false" outlineLevel="0" collapsed="false">
      <c r="A2995" s="3" t="s">
        <v>3385</v>
      </c>
      <c r="B2995" s="3" t="s">
        <v>283</v>
      </c>
      <c r="C2995" s="3" t="s">
        <v>396</v>
      </c>
      <c r="D2995" s="3" t="s">
        <v>392</v>
      </c>
      <c r="E2995" s="3" t="s">
        <v>398</v>
      </c>
      <c r="F2995" s="16" t="n">
        <v>12</v>
      </c>
      <c r="G2995" s="15" t="n">
        <v>0</v>
      </c>
      <c r="H2995" s="16" t="n">
        <v>2</v>
      </c>
      <c r="I2995" s="33" t="n">
        <v>6298.08</v>
      </c>
      <c r="J2995" s="33" t="n">
        <v>6298.08</v>
      </c>
    </row>
    <row r="2996" customFormat="false" ht="15" hidden="false" customHeight="false" outlineLevel="0" collapsed="false">
      <c r="A2996" s="3" t="s">
        <v>3386</v>
      </c>
      <c r="B2996" s="3" t="s">
        <v>283</v>
      </c>
      <c r="C2996" s="3" t="s">
        <v>387</v>
      </c>
      <c r="D2996" s="3" t="s">
        <v>381</v>
      </c>
      <c r="E2996" s="3" t="s">
        <v>398</v>
      </c>
      <c r="F2996" s="16" t="n">
        <v>1</v>
      </c>
      <c r="G2996" s="15" t="n">
        <v>0</v>
      </c>
      <c r="H2996" s="16" t="n">
        <v>1</v>
      </c>
      <c r="I2996" s="33" t="n">
        <v>6294.48</v>
      </c>
      <c r="J2996" s="33" t="n">
        <v>6294.48</v>
      </c>
    </row>
    <row r="2997" customFormat="false" ht="15" hidden="false" customHeight="false" outlineLevel="0" collapsed="false">
      <c r="A2997" s="3" t="s">
        <v>3387</v>
      </c>
      <c r="B2997" s="3" t="s">
        <v>283</v>
      </c>
      <c r="C2997" s="3" t="s">
        <v>384</v>
      </c>
      <c r="D2997" s="3" t="s">
        <v>692</v>
      </c>
      <c r="E2997" s="3" t="s">
        <v>398</v>
      </c>
      <c r="F2997" s="16" t="n">
        <v>1</v>
      </c>
      <c r="G2997" s="15" t="n">
        <v>0</v>
      </c>
      <c r="H2997" s="16" t="n">
        <v>1</v>
      </c>
      <c r="I2997" s="33" t="n">
        <v>6291.84</v>
      </c>
      <c r="J2997" s="33" t="n">
        <v>6291.84</v>
      </c>
    </row>
    <row r="2998" customFormat="false" ht="15" hidden="false" customHeight="false" outlineLevel="0" collapsed="false">
      <c r="A2998" s="3" t="s">
        <v>3388</v>
      </c>
      <c r="B2998" s="3" t="s">
        <v>283</v>
      </c>
      <c r="C2998" s="3" t="s">
        <v>384</v>
      </c>
      <c r="D2998" s="3" t="s">
        <v>692</v>
      </c>
      <c r="E2998" s="3" t="s">
        <v>382</v>
      </c>
      <c r="F2998" s="16" t="n">
        <v>1</v>
      </c>
      <c r="G2998" s="15" t="n">
        <v>0</v>
      </c>
      <c r="H2998" s="16" t="n">
        <v>1</v>
      </c>
      <c r="I2998" s="33" t="n">
        <v>6289.08</v>
      </c>
      <c r="J2998" s="33" t="n">
        <v>6289.08</v>
      </c>
    </row>
    <row r="2999" customFormat="false" ht="15" hidden="false" customHeight="false" outlineLevel="0" collapsed="false">
      <c r="A2999" s="3" t="s">
        <v>3389</v>
      </c>
      <c r="B2999" s="3" t="s">
        <v>283</v>
      </c>
      <c r="C2999" s="3" t="s">
        <v>387</v>
      </c>
      <c r="D2999" s="3" t="s">
        <v>692</v>
      </c>
      <c r="E2999" s="3" t="s">
        <v>398</v>
      </c>
      <c r="F2999" s="16" t="n">
        <v>1</v>
      </c>
      <c r="G2999" s="15" t="n">
        <v>0</v>
      </c>
      <c r="H2999" s="16" t="n">
        <v>1</v>
      </c>
      <c r="I2999" s="33" t="n">
        <v>6287.76</v>
      </c>
      <c r="J2999" s="33" t="n">
        <v>6287.76</v>
      </c>
    </row>
    <row r="3000" customFormat="false" ht="15" hidden="false" customHeight="false" outlineLevel="0" collapsed="false">
      <c r="A3000" s="3" t="s">
        <v>3390</v>
      </c>
      <c r="B3000" s="3" t="s">
        <v>283</v>
      </c>
      <c r="C3000" s="3" t="s">
        <v>387</v>
      </c>
      <c r="D3000" s="3" t="s">
        <v>418</v>
      </c>
      <c r="E3000" s="3" t="s">
        <v>398</v>
      </c>
      <c r="F3000" s="16" t="n">
        <v>12</v>
      </c>
      <c r="G3000" s="15" t="n">
        <v>0</v>
      </c>
      <c r="H3000" s="16" t="n">
        <v>8</v>
      </c>
      <c r="I3000" s="33" t="n">
        <v>6287.64</v>
      </c>
      <c r="J3000" s="33" t="n">
        <v>6287.64</v>
      </c>
    </row>
    <row r="3001" customFormat="false" ht="15" hidden="false" customHeight="false" outlineLevel="0" collapsed="false">
      <c r="A3001" s="3" t="s">
        <v>3391</v>
      </c>
      <c r="B3001" s="3" t="s">
        <v>283</v>
      </c>
      <c r="C3001" s="3" t="s">
        <v>380</v>
      </c>
      <c r="D3001" s="3" t="s">
        <v>692</v>
      </c>
      <c r="E3001" s="3" t="s">
        <v>385</v>
      </c>
      <c r="F3001" s="16" t="n">
        <v>1</v>
      </c>
      <c r="G3001" s="15" t="n">
        <v>0</v>
      </c>
      <c r="H3001" s="16" t="n">
        <v>1</v>
      </c>
      <c r="I3001" s="33" t="n">
        <v>6284.16</v>
      </c>
      <c r="J3001" s="33" t="n">
        <v>6284.16</v>
      </c>
    </row>
    <row r="3002" customFormat="false" ht="15" hidden="false" customHeight="false" outlineLevel="0" collapsed="false">
      <c r="A3002" s="3" t="s">
        <v>3392</v>
      </c>
      <c r="B3002" s="3" t="s">
        <v>283</v>
      </c>
      <c r="C3002" s="3" t="s">
        <v>405</v>
      </c>
      <c r="D3002" s="3" t="s">
        <v>418</v>
      </c>
      <c r="E3002" s="3" t="s">
        <v>398</v>
      </c>
      <c r="F3002" s="16" t="n">
        <v>12</v>
      </c>
      <c r="G3002" s="15" t="n">
        <v>0</v>
      </c>
      <c r="H3002" s="16" t="n">
        <v>4</v>
      </c>
      <c r="I3002" s="33" t="n">
        <v>6283.92</v>
      </c>
      <c r="J3002" s="33" t="n">
        <v>6283.92</v>
      </c>
    </row>
    <row r="3003" customFormat="false" ht="15" hidden="false" customHeight="false" outlineLevel="0" collapsed="false">
      <c r="A3003" s="3" t="s">
        <v>3393</v>
      </c>
      <c r="B3003" s="3" t="s">
        <v>283</v>
      </c>
      <c r="C3003" s="3" t="s">
        <v>384</v>
      </c>
      <c r="D3003" s="3" t="s">
        <v>381</v>
      </c>
      <c r="E3003" s="3" t="s">
        <v>398</v>
      </c>
      <c r="F3003" s="16" t="n">
        <v>12</v>
      </c>
      <c r="G3003" s="15" t="n">
        <v>0.4</v>
      </c>
      <c r="H3003" s="16" t="n">
        <v>1</v>
      </c>
      <c r="I3003" s="33" t="n">
        <v>6271.2</v>
      </c>
      <c r="J3003" s="33" t="n">
        <v>10452</v>
      </c>
    </row>
    <row r="3004" customFormat="false" ht="15" hidden="false" customHeight="false" outlineLevel="0" collapsed="false">
      <c r="A3004" s="3" t="s">
        <v>3394</v>
      </c>
      <c r="B3004" s="3" t="s">
        <v>283</v>
      </c>
      <c r="C3004" s="3" t="s">
        <v>403</v>
      </c>
      <c r="D3004" s="3" t="s">
        <v>392</v>
      </c>
      <c r="E3004" s="3" t="s">
        <v>398</v>
      </c>
      <c r="F3004" s="16" t="n">
        <v>12</v>
      </c>
      <c r="G3004" s="15" t="n">
        <v>0</v>
      </c>
      <c r="H3004" s="16" t="n">
        <v>11</v>
      </c>
      <c r="I3004" s="33" t="n">
        <v>6265.68</v>
      </c>
      <c r="J3004" s="33" t="n">
        <v>6265.68</v>
      </c>
    </row>
    <row r="3005" customFormat="false" ht="15" hidden="false" customHeight="false" outlineLevel="0" collapsed="false">
      <c r="A3005" s="3" t="s">
        <v>3395</v>
      </c>
      <c r="B3005" s="3" t="s">
        <v>283</v>
      </c>
      <c r="C3005" s="3" t="s">
        <v>384</v>
      </c>
      <c r="D3005" s="3" t="s">
        <v>692</v>
      </c>
      <c r="E3005" s="3" t="s">
        <v>398</v>
      </c>
      <c r="F3005" s="16" t="n">
        <v>1</v>
      </c>
      <c r="G3005" s="15" t="n">
        <v>0</v>
      </c>
      <c r="H3005" s="16" t="n">
        <v>1</v>
      </c>
      <c r="I3005" s="33" t="n">
        <v>6255</v>
      </c>
      <c r="J3005" s="33" t="n">
        <v>6255</v>
      </c>
    </row>
    <row r="3006" customFormat="false" ht="15" hidden="false" customHeight="false" outlineLevel="0" collapsed="false">
      <c r="A3006" s="3" t="s">
        <v>3396</v>
      </c>
      <c r="B3006" s="3" t="s">
        <v>283</v>
      </c>
      <c r="C3006" s="3" t="s">
        <v>387</v>
      </c>
      <c r="D3006" s="3" t="s">
        <v>388</v>
      </c>
      <c r="E3006" s="3" t="s">
        <v>398</v>
      </c>
      <c r="F3006" s="16" t="n">
        <v>1</v>
      </c>
      <c r="G3006" s="15" t="n">
        <v>0.1</v>
      </c>
      <c r="H3006" s="16" t="n">
        <v>1</v>
      </c>
      <c r="I3006" s="33" t="n">
        <v>6254.04</v>
      </c>
      <c r="J3006" s="33" t="n">
        <v>6948.96</v>
      </c>
    </row>
    <row r="3007" customFormat="false" ht="15" hidden="false" customHeight="false" outlineLevel="0" collapsed="false">
      <c r="A3007" s="3" t="s">
        <v>3397</v>
      </c>
      <c r="B3007" s="3" t="s">
        <v>283</v>
      </c>
      <c r="C3007" s="3" t="s">
        <v>403</v>
      </c>
      <c r="D3007" s="3" t="s">
        <v>692</v>
      </c>
      <c r="E3007" s="3" t="s">
        <v>398</v>
      </c>
      <c r="F3007" s="16" t="n">
        <v>1</v>
      </c>
      <c r="G3007" s="15" t="n">
        <v>0.4</v>
      </c>
      <c r="H3007" s="16" t="n">
        <v>1</v>
      </c>
      <c r="I3007" s="33" t="n">
        <v>6252.48</v>
      </c>
      <c r="J3007" s="33" t="n">
        <v>10420.68</v>
      </c>
    </row>
    <row r="3008" customFormat="false" ht="15" hidden="false" customHeight="false" outlineLevel="0" collapsed="false">
      <c r="A3008" s="3" t="s">
        <v>3398</v>
      </c>
      <c r="B3008" s="3" t="s">
        <v>283</v>
      </c>
      <c r="C3008" s="3" t="s">
        <v>384</v>
      </c>
      <c r="D3008" s="3" t="s">
        <v>692</v>
      </c>
      <c r="E3008" s="3" t="s">
        <v>398</v>
      </c>
      <c r="F3008" s="16" t="n">
        <v>12</v>
      </c>
      <c r="G3008" s="15" t="n">
        <v>0.1</v>
      </c>
      <c r="H3008" s="16" t="n">
        <v>2</v>
      </c>
      <c r="I3008" s="33" t="n">
        <v>6250.2</v>
      </c>
      <c r="J3008" s="33" t="n">
        <v>6944.64</v>
      </c>
    </row>
    <row r="3009" customFormat="false" ht="15" hidden="false" customHeight="false" outlineLevel="0" collapsed="false">
      <c r="A3009" s="3" t="s">
        <v>3399</v>
      </c>
      <c r="B3009" s="3" t="s">
        <v>283</v>
      </c>
      <c r="C3009" s="3" t="s">
        <v>380</v>
      </c>
      <c r="D3009" s="3" t="s">
        <v>418</v>
      </c>
      <c r="E3009" s="3" t="s">
        <v>398</v>
      </c>
      <c r="F3009" s="16" t="n">
        <v>1</v>
      </c>
      <c r="G3009" s="15" t="n">
        <v>0</v>
      </c>
      <c r="H3009" s="16" t="n">
        <v>1</v>
      </c>
      <c r="I3009" s="33" t="n">
        <v>6249.96</v>
      </c>
      <c r="J3009" s="33" t="n">
        <v>6249.96</v>
      </c>
    </row>
    <row r="3010" customFormat="false" ht="15" hidden="false" customHeight="false" outlineLevel="0" collapsed="false">
      <c r="A3010" s="3" t="s">
        <v>3400</v>
      </c>
      <c r="B3010" s="3" t="s">
        <v>283</v>
      </c>
      <c r="C3010" s="3" t="s">
        <v>396</v>
      </c>
      <c r="D3010" s="3" t="s">
        <v>381</v>
      </c>
      <c r="E3010" s="3" t="s">
        <v>398</v>
      </c>
      <c r="F3010" s="16" t="n">
        <v>12</v>
      </c>
      <c r="G3010" s="15" t="n">
        <v>0</v>
      </c>
      <c r="H3010" s="16" t="n">
        <v>6</v>
      </c>
      <c r="I3010" s="33" t="n">
        <v>6248.88</v>
      </c>
      <c r="J3010" s="33" t="n">
        <v>6248.88</v>
      </c>
    </row>
    <row r="3011" customFormat="false" ht="15" hidden="false" customHeight="false" outlineLevel="0" collapsed="false">
      <c r="A3011" s="3" t="s">
        <v>3401</v>
      </c>
      <c r="B3011" s="3" t="s">
        <v>283</v>
      </c>
      <c r="C3011" s="3" t="s">
        <v>403</v>
      </c>
      <c r="D3011" s="3" t="s">
        <v>381</v>
      </c>
      <c r="E3011" s="3" t="s">
        <v>398</v>
      </c>
      <c r="F3011" s="16" t="n">
        <v>1</v>
      </c>
      <c r="G3011" s="15" t="n">
        <v>0.1</v>
      </c>
      <c r="H3011" s="16" t="n">
        <v>1</v>
      </c>
      <c r="I3011" s="33" t="n">
        <v>6245.52</v>
      </c>
      <c r="J3011" s="33" t="n">
        <v>6939.48</v>
      </c>
    </row>
    <row r="3012" customFormat="false" ht="15" hidden="false" customHeight="false" outlineLevel="0" collapsed="false">
      <c r="A3012" s="3" t="s">
        <v>3402</v>
      </c>
      <c r="B3012" s="3" t="s">
        <v>283</v>
      </c>
      <c r="C3012" s="3" t="s">
        <v>387</v>
      </c>
      <c r="D3012" s="3" t="s">
        <v>381</v>
      </c>
      <c r="E3012" s="3" t="s">
        <v>398</v>
      </c>
      <c r="F3012" s="16" t="n">
        <v>1</v>
      </c>
      <c r="G3012" s="15" t="n">
        <v>0.25</v>
      </c>
      <c r="H3012" s="16" t="n">
        <v>1</v>
      </c>
      <c r="I3012" s="33" t="n">
        <v>6242.76</v>
      </c>
      <c r="J3012" s="33" t="n">
        <v>8323.68</v>
      </c>
    </row>
    <row r="3013" customFormat="false" ht="15" hidden="false" customHeight="false" outlineLevel="0" collapsed="false">
      <c r="A3013" s="3" t="s">
        <v>3403</v>
      </c>
      <c r="B3013" s="3" t="s">
        <v>283</v>
      </c>
      <c r="C3013" s="3" t="s">
        <v>401</v>
      </c>
      <c r="D3013" s="3" t="s">
        <v>388</v>
      </c>
      <c r="E3013" s="3" t="s">
        <v>398</v>
      </c>
      <c r="F3013" s="16" t="n">
        <v>12</v>
      </c>
      <c r="G3013" s="15" t="n">
        <v>0.2</v>
      </c>
      <c r="H3013" s="16" t="n">
        <v>3</v>
      </c>
      <c r="I3013" s="33" t="n">
        <v>6240.12</v>
      </c>
      <c r="J3013" s="33" t="n">
        <v>7800.12</v>
      </c>
    </row>
    <row r="3014" customFormat="false" ht="15" hidden="false" customHeight="false" outlineLevel="0" collapsed="false">
      <c r="A3014" s="3" t="s">
        <v>3404</v>
      </c>
      <c r="B3014" s="3" t="s">
        <v>283</v>
      </c>
      <c r="C3014" s="3" t="s">
        <v>380</v>
      </c>
      <c r="D3014" s="3" t="s">
        <v>692</v>
      </c>
      <c r="E3014" s="3" t="s">
        <v>398</v>
      </c>
      <c r="F3014" s="16" t="n">
        <v>12</v>
      </c>
      <c r="G3014" s="15" t="n">
        <v>0</v>
      </c>
      <c r="H3014" s="16" t="n">
        <v>9</v>
      </c>
      <c r="I3014" s="33" t="n">
        <v>6236.04</v>
      </c>
      <c r="J3014" s="33" t="n">
        <v>6236.04</v>
      </c>
    </row>
    <row r="3015" customFormat="false" ht="15" hidden="false" customHeight="false" outlineLevel="0" collapsed="false">
      <c r="A3015" s="3" t="s">
        <v>3405</v>
      </c>
      <c r="B3015" s="3" t="s">
        <v>283</v>
      </c>
      <c r="C3015" s="3" t="s">
        <v>401</v>
      </c>
      <c r="D3015" s="3" t="s">
        <v>392</v>
      </c>
      <c r="E3015" s="3" t="s">
        <v>385</v>
      </c>
      <c r="F3015" s="16" t="n">
        <v>1</v>
      </c>
      <c r="G3015" s="15" t="n">
        <v>0.1</v>
      </c>
      <c r="H3015" s="16" t="n">
        <v>1</v>
      </c>
      <c r="I3015" s="33" t="n">
        <v>6234.24</v>
      </c>
      <c r="J3015" s="33" t="n">
        <v>6927</v>
      </c>
    </row>
    <row r="3016" customFormat="false" ht="15" hidden="false" customHeight="false" outlineLevel="0" collapsed="false">
      <c r="A3016" s="3" t="s">
        <v>3406</v>
      </c>
      <c r="B3016" s="3" t="s">
        <v>283</v>
      </c>
      <c r="C3016" s="3" t="s">
        <v>396</v>
      </c>
      <c r="D3016" s="3" t="s">
        <v>392</v>
      </c>
      <c r="E3016" s="3" t="s">
        <v>385</v>
      </c>
      <c r="F3016" s="16" t="n">
        <v>12</v>
      </c>
      <c r="G3016" s="15" t="n">
        <v>0</v>
      </c>
      <c r="H3016" s="16" t="n">
        <v>1</v>
      </c>
      <c r="I3016" s="33" t="n">
        <v>6213.72</v>
      </c>
      <c r="J3016" s="33" t="n">
        <v>6213.72</v>
      </c>
    </row>
    <row r="3017" customFormat="false" ht="15" hidden="false" customHeight="false" outlineLevel="0" collapsed="false">
      <c r="A3017" s="3" t="s">
        <v>3407</v>
      </c>
      <c r="B3017" s="3" t="s">
        <v>283</v>
      </c>
      <c r="C3017" s="3" t="s">
        <v>401</v>
      </c>
      <c r="D3017" s="3" t="s">
        <v>381</v>
      </c>
      <c r="E3017" s="3" t="s">
        <v>398</v>
      </c>
      <c r="F3017" s="16" t="n">
        <v>1</v>
      </c>
      <c r="G3017" s="15" t="n">
        <v>0</v>
      </c>
      <c r="H3017" s="16" t="n">
        <v>1</v>
      </c>
      <c r="I3017" s="33" t="n">
        <v>6197.52</v>
      </c>
      <c r="J3017" s="33" t="n">
        <v>6197.52</v>
      </c>
    </row>
    <row r="3018" customFormat="false" ht="15" hidden="false" customHeight="false" outlineLevel="0" collapsed="false">
      <c r="A3018" s="3" t="s">
        <v>3408</v>
      </c>
      <c r="B3018" s="3" t="s">
        <v>283</v>
      </c>
      <c r="C3018" s="3" t="s">
        <v>403</v>
      </c>
      <c r="D3018" s="3" t="s">
        <v>392</v>
      </c>
      <c r="E3018" s="3" t="s">
        <v>398</v>
      </c>
      <c r="F3018" s="16" t="n">
        <v>12</v>
      </c>
      <c r="G3018" s="15" t="n">
        <v>0</v>
      </c>
      <c r="H3018" s="16" t="n">
        <v>4</v>
      </c>
      <c r="I3018" s="33" t="n">
        <v>6197.4</v>
      </c>
      <c r="J3018" s="33" t="n">
        <v>6197.4</v>
      </c>
    </row>
    <row r="3019" customFormat="false" ht="15" hidden="false" customHeight="false" outlineLevel="0" collapsed="false">
      <c r="A3019" s="3" t="s">
        <v>3409</v>
      </c>
      <c r="B3019" s="3" t="s">
        <v>283</v>
      </c>
      <c r="C3019" s="3" t="s">
        <v>396</v>
      </c>
      <c r="D3019" s="3" t="s">
        <v>692</v>
      </c>
      <c r="E3019" s="3" t="s">
        <v>385</v>
      </c>
      <c r="F3019" s="16" t="n">
        <v>12</v>
      </c>
      <c r="G3019" s="15" t="n">
        <v>0</v>
      </c>
      <c r="H3019" s="16" t="n">
        <v>4</v>
      </c>
      <c r="I3019" s="33" t="n">
        <v>6190.56</v>
      </c>
      <c r="J3019" s="33" t="n">
        <v>6190.56</v>
      </c>
    </row>
    <row r="3020" customFormat="false" ht="15" hidden="false" customHeight="false" outlineLevel="0" collapsed="false">
      <c r="A3020" s="3" t="s">
        <v>3410</v>
      </c>
      <c r="B3020" s="3" t="s">
        <v>283</v>
      </c>
      <c r="C3020" s="3" t="s">
        <v>396</v>
      </c>
      <c r="D3020" s="3" t="s">
        <v>692</v>
      </c>
      <c r="E3020" s="3" t="s">
        <v>398</v>
      </c>
      <c r="F3020" s="16" t="n">
        <v>12</v>
      </c>
      <c r="G3020" s="15" t="n">
        <v>0</v>
      </c>
      <c r="H3020" s="16" t="n">
        <v>6</v>
      </c>
      <c r="I3020" s="33" t="n">
        <v>6184.68</v>
      </c>
      <c r="J3020" s="33" t="n">
        <v>6184.68</v>
      </c>
    </row>
    <row r="3021" customFormat="false" ht="15" hidden="false" customHeight="false" outlineLevel="0" collapsed="false">
      <c r="A3021" s="3" t="s">
        <v>3411</v>
      </c>
      <c r="B3021" s="3" t="s">
        <v>283</v>
      </c>
      <c r="C3021" s="3" t="s">
        <v>384</v>
      </c>
      <c r="D3021" s="3" t="s">
        <v>392</v>
      </c>
      <c r="E3021" s="3" t="s">
        <v>382</v>
      </c>
      <c r="F3021" s="16" t="n">
        <v>12</v>
      </c>
      <c r="G3021" s="15" t="n">
        <v>0</v>
      </c>
      <c r="H3021" s="16" t="n">
        <v>3</v>
      </c>
      <c r="I3021" s="33" t="n">
        <v>6163.8</v>
      </c>
      <c r="J3021" s="33" t="n">
        <v>6163.8</v>
      </c>
    </row>
    <row r="3022" customFormat="false" ht="15" hidden="false" customHeight="false" outlineLevel="0" collapsed="false">
      <c r="A3022" s="3" t="s">
        <v>3412</v>
      </c>
      <c r="B3022" s="3" t="s">
        <v>283</v>
      </c>
      <c r="C3022" s="3" t="s">
        <v>403</v>
      </c>
      <c r="D3022" s="3" t="s">
        <v>692</v>
      </c>
      <c r="E3022" s="3" t="s">
        <v>382</v>
      </c>
      <c r="F3022" s="16" t="n">
        <v>12</v>
      </c>
      <c r="G3022" s="15" t="n">
        <v>0</v>
      </c>
      <c r="H3022" s="16" t="n">
        <v>1</v>
      </c>
      <c r="I3022" s="33" t="n">
        <v>6160.56</v>
      </c>
      <c r="J3022" s="33" t="n">
        <v>6160.56</v>
      </c>
    </row>
    <row r="3023" customFormat="false" ht="15" hidden="false" customHeight="false" outlineLevel="0" collapsed="false">
      <c r="A3023" s="3" t="s">
        <v>3413</v>
      </c>
      <c r="B3023" s="3" t="s">
        <v>283</v>
      </c>
      <c r="C3023" s="3" t="s">
        <v>391</v>
      </c>
      <c r="D3023" s="3" t="s">
        <v>418</v>
      </c>
      <c r="E3023" s="3" t="s">
        <v>398</v>
      </c>
      <c r="F3023" s="16" t="n">
        <v>12</v>
      </c>
      <c r="G3023" s="15" t="n">
        <v>0</v>
      </c>
      <c r="H3023" s="16" t="n">
        <v>8</v>
      </c>
      <c r="I3023" s="33" t="n">
        <v>6160.32</v>
      </c>
      <c r="J3023" s="33" t="n">
        <v>6160.32</v>
      </c>
    </row>
    <row r="3024" customFormat="false" ht="15" hidden="false" customHeight="false" outlineLevel="0" collapsed="false">
      <c r="A3024" s="3" t="s">
        <v>3414</v>
      </c>
      <c r="B3024" s="3" t="s">
        <v>283</v>
      </c>
      <c r="C3024" s="3" t="s">
        <v>401</v>
      </c>
      <c r="D3024" s="3" t="s">
        <v>392</v>
      </c>
      <c r="E3024" s="3" t="s">
        <v>398</v>
      </c>
      <c r="F3024" s="16" t="n">
        <v>1</v>
      </c>
      <c r="G3024" s="15" t="n">
        <v>0</v>
      </c>
      <c r="H3024" s="16" t="n">
        <v>1</v>
      </c>
      <c r="I3024" s="33" t="n">
        <v>6159.12</v>
      </c>
      <c r="J3024" s="33" t="n">
        <v>6159.12</v>
      </c>
    </row>
    <row r="3025" customFormat="false" ht="15" hidden="false" customHeight="false" outlineLevel="0" collapsed="false">
      <c r="A3025" s="3" t="s">
        <v>3415</v>
      </c>
      <c r="B3025" s="3" t="s">
        <v>283</v>
      </c>
      <c r="C3025" s="3" t="s">
        <v>396</v>
      </c>
      <c r="D3025" s="3" t="s">
        <v>388</v>
      </c>
      <c r="E3025" s="3" t="s">
        <v>398</v>
      </c>
      <c r="F3025" s="16" t="n">
        <v>1</v>
      </c>
      <c r="G3025" s="15" t="n">
        <v>0.15</v>
      </c>
      <c r="H3025" s="16" t="n">
        <v>1</v>
      </c>
      <c r="I3025" s="33" t="n">
        <v>6156.72</v>
      </c>
      <c r="J3025" s="33" t="n">
        <v>7243.2</v>
      </c>
    </row>
    <row r="3026" customFormat="false" ht="15" hidden="false" customHeight="false" outlineLevel="0" collapsed="false">
      <c r="A3026" s="3" t="s">
        <v>3416</v>
      </c>
      <c r="B3026" s="3" t="s">
        <v>283</v>
      </c>
      <c r="C3026" s="3" t="s">
        <v>387</v>
      </c>
      <c r="D3026" s="3" t="s">
        <v>692</v>
      </c>
      <c r="E3026" s="3" t="s">
        <v>398</v>
      </c>
      <c r="F3026" s="16" t="n">
        <v>12</v>
      </c>
      <c r="G3026" s="15" t="n">
        <v>0</v>
      </c>
      <c r="H3026" s="16" t="n">
        <v>6</v>
      </c>
      <c r="I3026" s="33" t="n">
        <v>6156.6</v>
      </c>
      <c r="J3026" s="33" t="n">
        <v>6156.6</v>
      </c>
    </row>
    <row r="3027" customFormat="false" ht="15" hidden="false" customHeight="false" outlineLevel="0" collapsed="false">
      <c r="A3027" s="3" t="s">
        <v>3417</v>
      </c>
      <c r="B3027" s="3" t="s">
        <v>283</v>
      </c>
      <c r="C3027" s="3" t="s">
        <v>401</v>
      </c>
      <c r="D3027" s="3" t="s">
        <v>388</v>
      </c>
      <c r="E3027" s="3" t="s">
        <v>385</v>
      </c>
      <c r="F3027" s="16" t="n">
        <v>1</v>
      </c>
      <c r="G3027" s="15" t="n">
        <v>0</v>
      </c>
      <c r="H3027" s="16" t="n">
        <v>1</v>
      </c>
      <c r="I3027" s="33" t="n">
        <v>6147.84</v>
      </c>
      <c r="J3027" s="33" t="n">
        <v>6147.84</v>
      </c>
    </row>
    <row r="3028" customFormat="false" ht="15" hidden="false" customHeight="false" outlineLevel="0" collapsed="false">
      <c r="A3028" s="3" t="s">
        <v>3418</v>
      </c>
      <c r="B3028" s="3" t="s">
        <v>283</v>
      </c>
      <c r="C3028" s="3" t="s">
        <v>403</v>
      </c>
      <c r="D3028" s="3" t="s">
        <v>392</v>
      </c>
      <c r="E3028" s="3" t="s">
        <v>398</v>
      </c>
      <c r="F3028" s="16" t="n">
        <v>1</v>
      </c>
      <c r="G3028" s="15" t="n">
        <v>0</v>
      </c>
      <c r="H3028" s="16" t="n">
        <v>1</v>
      </c>
      <c r="I3028" s="33" t="n">
        <v>6146.16</v>
      </c>
      <c r="J3028" s="33" t="n">
        <v>6146.16</v>
      </c>
    </row>
    <row r="3029" customFormat="false" ht="15" hidden="false" customHeight="false" outlineLevel="0" collapsed="false">
      <c r="A3029" s="3" t="s">
        <v>3419</v>
      </c>
      <c r="B3029" s="3" t="s">
        <v>283</v>
      </c>
      <c r="C3029" s="3" t="s">
        <v>387</v>
      </c>
      <c r="D3029" s="3" t="s">
        <v>692</v>
      </c>
      <c r="E3029" s="3" t="s">
        <v>385</v>
      </c>
      <c r="F3029" s="16" t="n">
        <v>1</v>
      </c>
      <c r="G3029" s="15" t="n">
        <v>0</v>
      </c>
      <c r="H3029" s="16" t="n">
        <v>1</v>
      </c>
      <c r="I3029" s="33" t="n">
        <v>6134.88</v>
      </c>
      <c r="J3029" s="33" t="n">
        <v>6134.88</v>
      </c>
    </row>
    <row r="3030" customFormat="false" ht="15" hidden="false" customHeight="false" outlineLevel="0" collapsed="false">
      <c r="A3030" s="3" t="s">
        <v>3420</v>
      </c>
      <c r="B3030" s="3" t="s">
        <v>283</v>
      </c>
      <c r="C3030" s="3" t="s">
        <v>403</v>
      </c>
      <c r="D3030" s="3" t="s">
        <v>381</v>
      </c>
      <c r="E3030" s="3" t="s">
        <v>385</v>
      </c>
      <c r="F3030" s="16" t="n">
        <v>12</v>
      </c>
      <c r="G3030" s="15" t="n">
        <v>0.1</v>
      </c>
      <c r="H3030" s="16" t="n">
        <v>2</v>
      </c>
      <c r="I3030" s="33" t="n">
        <v>6126.12</v>
      </c>
      <c r="J3030" s="33" t="n">
        <v>6806.76</v>
      </c>
    </row>
    <row r="3031" customFormat="false" ht="15" hidden="false" customHeight="false" outlineLevel="0" collapsed="false">
      <c r="A3031" s="3" t="s">
        <v>3421</v>
      </c>
      <c r="B3031" s="3" t="s">
        <v>283</v>
      </c>
      <c r="C3031" s="3" t="s">
        <v>396</v>
      </c>
      <c r="D3031" s="3" t="s">
        <v>692</v>
      </c>
      <c r="E3031" s="3" t="s">
        <v>398</v>
      </c>
      <c r="F3031" s="16" t="n">
        <v>1</v>
      </c>
      <c r="G3031" s="15" t="n">
        <v>0</v>
      </c>
      <c r="H3031" s="16" t="n">
        <v>1</v>
      </c>
      <c r="I3031" s="33" t="n">
        <v>6120.36</v>
      </c>
      <c r="J3031" s="33" t="n">
        <v>6120.36</v>
      </c>
    </row>
    <row r="3032" customFormat="false" ht="15" hidden="false" customHeight="false" outlineLevel="0" collapsed="false">
      <c r="A3032" s="3" t="s">
        <v>3422</v>
      </c>
      <c r="B3032" s="3" t="s">
        <v>283</v>
      </c>
      <c r="C3032" s="3" t="s">
        <v>380</v>
      </c>
      <c r="D3032" s="3" t="s">
        <v>692</v>
      </c>
      <c r="E3032" s="3" t="s">
        <v>398</v>
      </c>
      <c r="F3032" s="16" t="n">
        <v>12</v>
      </c>
      <c r="G3032" s="15" t="n">
        <v>0</v>
      </c>
      <c r="H3032" s="16" t="n">
        <v>12</v>
      </c>
      <c r="I3032" s="33" t="n">
        <v>6117.6</v>
      </c>
      <c r="J3032" s="33" t="n">
        <v>6117.6</v>
      </c>
    </row>
    <row r="3033" customFormat="false" ht="15" hidden="false" customHeight="false" outlineLevel="0" collapsed="false">
      <c r="A3033" s="3" t="s">
        <v>3423</v>
      </c>
      <c r="B3033" s="3" t="s">
        <v>283</v>
      </c>
      <c r="C3033" s="3" t="s">
        <v>387</v>
      </c>
      <c r="D3033" s="3" t="s">
        <v>392</v>
      </c>
      <c r="E3033" s="3" t="s">
        <v>385</v>
      </c>
      <c r="F3033" s="16" t="n">
        <v>1</v>
      </c>
      <c r="G3033" s="15" t="n">
        <v>0</v>
      </c>
      <c r="H3033" s="16" t="n">
        <v>1</v>
      </c>
      <c r="I3033" s="33" t="n">
        <v>6116.28</v>
      </c>
      <c r="J3033" s="33" t="n">
        <v>6116.28</v>
      </c>
    </row>
    <row r="3034" customFormat="false" ht="15" hidden="false" customHeight="false" outlineLevel="0" collapsed="false">
      <c r="A3034" s="3" t="s">
        <v>3424</v>
      </c>
      <c r="B3034" s="3" t="s">
        <v>283</v>
      </c>
      <c r="C3034" s="3" t="s">
        <v>405</v>
      </c>
      <c r="D3034" s="3" t="s">
        <v>418</v>
      </c>
      <c r="E3034" s="3" t="s">
        <v>398</v>
      </c>
      <c r="F3034" s="16" t="n">
        <v>1</v>
      </c>
      <c r="G3034" s="15" t="n">
        <v>0.3</v>
      </c>
      <c r="H3034" s="16" t="n">
        <v>1</v>
      </c>
      <c r="I3034" s="33" t="n">
        <v>6109.56</v>
      </c>
      <c r="J3034" s="33" t="n">
        <v>8727.96</v>
      </c>
    </row>
    <row r="3035" customFormat="false" ht="15" hidden="false" customHeight="false" outlineLevel="0" collapsed="false">
      <c r="A3035" s="3" t="s">
        <v>3425</v>
      </c>
      <c r="B3035" s="3" t="s">
        <v>283</v>
      </c>
      <c r="C3035" s="3" t="s">
        <v>380</v>
      </c>
      <c r="D3035" s="3" t="s">
        <v>392</v>
      </c>
      <c r="E3035" s="3" t="s">
        <v>398</v>
      </c>
      <c r="F3035" s="16" t="n">
        <v>1</v>
      </c>
      <c r="G3035" s="15" t="n">
        <v>0</v>
      </c>
      <c r="H3035" s="16" t="n">
        <v>1</v>
      </c>
      <c r="I3035" s="33" t="n">
        <v>6108.24</v>
      </c>
      <c r="J3035" s="33" t="n">
        <v>6108.24</v>
      </c>
    </row>
    <row r="3036" customFormat="false" ht="15" hidden="false" customHeight="false" outlineLevel="0" collapsed="false">
      <c r="A3036" s="3" t="s">
        <v>3426</v>
      </c>
      <c r="B3036" s="3" t="s">
        <v>283</v>
      </c>
      <c r="C3036" s="3" t="s">
        <v>380</v>
      </c>
      <c r="D3036" s="3" t="s">
        <v>392</v>
      </c>
      <c r="E3036" s="3" t="s">
        <v>382</v>
      </c>
      <c r="F3036" s="16" t="n">
        <v>1</v>
      </c>
      <c r="G3036" s="15" t="n">
        <v>0</v>
      </c>
      <c r="H3036" s="16" t="n">
        <v>1</v>
      </c>
      <c r="I3036" s="33" t="n">
        <v>6104.16</v>
      </c>
      <c r="J3036" s="33" t="n">
        <v>6104.16</v>
      </c>
    </row>
    <row r="3037" customFormat="false" ht="15" hidden="false" customHeight="false" outlineLevel="0" collapsed="false">
      <c r="A3037" s="3" t="s">
        <v>3427</v>
      </c>
      <c r="B3037" s="3" t="s">
        <v>283</v>
      </c>
      <c r="C3037" s="3" t="s">
        <v>403</v>
      </c>
      <c r="D3037" s="3" t="s">
        <v>418</v>
      </c>
      <c r="E3037" s="3" t="s">
        <v>398</v>
      </c>
      <c r="F3037" s="16" t="n">
        <v>12</v>
      </c>
      <c r="G3037" s="15" t="n">
        <v>0</v>
      </c>
      <c r="H3037" s="16" t="n">
        <v>1</v>
      </c>
      <c r="I3037" s="33" t="n">
        <v>6100.08</v>
      </c>
      <c r="J3037" s="33" t="n">
        <v>6100.08</v>
      </c>
    </row>
    <row r="3038" customFormat="false" ht="15" hidden="false" customHeight="false" outlineLevel="0" collapsed="false">
      <c r="A3038" s="3" t="s">
        <v>3428</v>
      </c>
      <c r="B3038" s="3" t="s">
        <v>283</v>
      </c>
      <c r="C3038" s="3" t="s">
        <v>405</v>
      </c>
      <c r="D3038" s="3" t="s">
        <v>418</v>
      </c>
      <c r="E3038" s="3" t="s">
        <v>385</v>
      </c>
      <c r="F3038" s="16" t="n">
        <v>12</v>
      </c>
      <c r="G3038" s="15" t="n">
        <v>0</v>
      </c>
      <c r="H3038" s="16" t="n">
        <v>2</v>
      </c>
      <c r="I3038" s="33" t="n">
        <v>6081</v>
      </c>
      <c r="J3038" s="33" t="n">
        <v>6081</v>
      </c>
    </row>
    <row r="3039" customFormat="false" ht="15" hidden="false" customHeight="false" outlineLevel="0" collapsed="false">
      <c r="A3039" s="3" t="s">
        <v>3429</v>
      </c>
      <c r="B3039" s="3" t="s">
        <v>283</v>
      </c>
      <c r="C3039" s="3" t="s">
        <v>405</v>
      </c>
      <c r="D3039" s="3" t="s">
        <v>418</v>
      </c>
      <c r="E3039" s="3" t="s">
        <v>398</v>
      </c>
      <c r="F3039" s="16" t="n">
        <v>1</v>
      </c>
      <c r="G3039" s="15" t="n">
        <v>0.075</v>
      </c>
      <c r="H3039" s="16" t="n">
        <v>1</v>
      </c>
      <c r="I3039" s="33" t="n">
        <v>6080.88</v>
      </c>
      <c r="J3039" s="33" t="n">
        <v>6573.96</v>
      </c>
    </row>
    <row r="3040" customFormat="false" ht="15" hidden="false" customHeight="false" outlineLevel="0" collapsed="false">
      <c r="A3040" s="3" t="s">
        <v>3430</v>
      </c>
      <c r="B3040" s="3" t="s">
        <v>283</v>
      </c>
      <c r="C3040" s="3" t="s">
        <v>405</v>
      </c>
      <c r="D3040" s="3" t="s">
        <v>392</v>
      </c>
      <c r="E3040" s="3" t="s">
        <v>385</v>
      </c>
      <c r="F3040" s="16" t="n">
        <v>12</v>
      </c>
      <c r="G3040" s="15" t="n">
        <v>0</v>
      </c>
      <c r="H3040" s="16" t="n">
        <v>5</v>
      </c>
      <c r="I3040" s="33" t="n">
        <v>6080.64</v>
      </c>
      <c r="J3040" s="33" t="n">
        <v>6080.64</v>
      </c>
    </row>
    <row r="3041" customFormat="false" ht="15" hidden="false" customHeight="false" outlineLevel="0" collapsed="false">
      <c r="A3041" s="3" t="s">
        <v>3431</v>
      </c>
      <c r="B3041" s="3" t="s">
        <v>283</v>
      </c>
      <c r="C3041" s="3" t="s">
        <v>405</v>
      </c>
      <c r="D3041" s="3" t="s">
        <v>418</v>
      </c>
      <c r="E3041" s="3" t="s">
        <v>382</v>
      </c>
      <c r="F3041" s="16" t="n">
        <v>1</v>
      </c>
      <c r="G3041" s="15" t="n">
        <v>0</v>
      </c>
      <c r="H3041" s="16" t="n">
        <v>1</v>
      </c>
      <c r="I3041" s="33" t="n">
        <v>6071.28</v>
      </c>
      <c r="J3041" s="33" t="n">
        <v>6071.28</v>
      </c>
    </row>
    <row r="3042" customFormat="false" ht="15" hidden="false" customHeight="false" outlineLevel="0" collapsed="false">
      <c r="A3042" s="3" t="s">
        <v>3432</v>
      </c>
      <c r="B3042" s="3" t="s">
        <v>283</v>
      </c>
      <c r="C3042" s="3" t="s">
        <v>403</v>
      </c>
      <c r="D3042" s="3" t="s">
        <v>392</v>
      </c>
      <c r="E3042" s="3" t="s">
        <v>398</v>
      </c>
      <c r="F3042" s="16" t="n">
        <v>12</v>
      </c>
      <c r="G3042" s="15" t="n">
        <v>0.1</v>
      </c>
      <c r="H3042" s="16" t="n">
        <v>1</v>
      </c>
      <c r="I3042" s="33" t="n">
        <v>6070.8</v>
      </c>
      <c r="J3042" s="33" t="n">
        <v>6745.32</v>
      </c>
    </row>
    <row r="3043" customFormat="false" ht="15" hidden="false" customHeight="false" outlineLevel="0" collapsed="false">
      <c r="A3043" s="3" t="s">
        <v>3433</v>
      </c>
      <c r="B3043" s="3" t="s">
        <v>283</v>
      </c>
      <c r="C3043" s="3" t="s">
        <v>380</v>
      </c>
      <c r="D3043" s="3" t="s">
        <v>388</v>
      </c>
      <c r="E3043" s="3" t="s">
        <v>398</v>
      </c>
      <c r="F3043" s="16" t="n">
        <v>1</v>
      </c>
      <c r="G3043" s="15" t="n">
        <v>0</v>
      </c>
      <c r="H3043" s="16" t="n">
        <v>1</v>
      </c>
      <c r="I3043" s="33" t="n">
        <v>6064.92</v>
      </c>
      <c r="J3043" s="33" t="n">
        <v>6064.92</v>
      </c>
    </row>
    <row r="3044" customFormat="false" ht="15" hidden="false" customHeight="false" outlineLevel="0" collapsed="false">
      <c r="A3044" s="3" t="s">
        <v>3434</v>
      </c>
      <c r="B3044" s="3" t="s">
        <v>283</v>
      </c>
      <c r="C3044" s="3" t="s">
        <v>384</v>
      </c>
      <c r="D3044" s="3" t="s">
        <v>381</v>
      </c>
      <c r="E3044" s="3" t="s">
        <v>398</v>
      </c>
      <c r="F3044" s="16" t="n">
        <v>12</v>
      </c>
      <c r="G3044" s="15" t="n">
        <v>0.15</v>
      </c>
      <c r="H3044" s="16" t="n">
        <v>6</v>
      </c>
      <c r="I3044" s="33" t="n">
        <v>6053.64</v>
      </c>
      <c r="J3044" s="33" t="n">
        <v>7122</v>
      </c>
    </row>
    <row r="3045" customFormat="false" ht="15" hidden="false" customHeight="false" outlineLevel="0" collapsed="false">
      <c r="A3045" s="3" t="s">
        <v>3435</v>
      </c>
      <c r="B3045" s="3" t="s">
        <v>283</v>
      </c>
      <c r="C3045" s="3" t="s">
        <v>403</v>
      </c>
      <c r="D3045" s="3" t="s">
        <v>418</v>
      </c>
      <c r="E3045" s="3" t="s">
        <v>382</v>
      </c>
      <c r="F3045" s="16" t="n">
        <v>1</v>
      </c>
      <c r="G3045" s="15" t="n">
        <v>0</v>
      </c>
      <c r="H3045" s="16" t="n">
        <v>1</v>
      </c>
      <c r="I3045" s="33" t="n">
        <v>6043.8</v>
      </c>
      <c r="J3045" s="33" t="n">
        <v>6043.8</v>
      </c>
    </row>
    <row r="3046" customFormat="false" ht="15" hidden="false" customHeight="false" outlineLevel="0" collapsed="false">
      <c r="A3046" s="3" t="s">
        <v>3436</v>
      </c>
      <c r="B3046" s="3" t="s">
        <v>283</v>
      </c>
      <c r="C3046" s="3" t="s">
        <v>384</v>
      </c>
      <c r="D3046" s="3" t="s">
        <v>418</v>
      </c>
      <c r="E3046" s="3" t="s">
        <v>398</v>
      </c>
      <c r="F3046" s="16" t="n">
        <v>12</v>
      </c>
      <c r="G3046" s="15" t="n">
        <v>0.05</v>
      </c>
      <c r="H3046" s="16" t="n">
        <v>7</v>
      </c>
      <c r="I3046" s="33" t="n">
        <v>6032.4</v>
      </c>
      <c r="J3046" s="33" t="n">
        <v>6349.92</v>
      </c>
    </row>
    <row r="3047" customFormat="false" ht="15" hidden="false" customHeight="false" outlineLevel="0" collapsed="false">
      <c r="A3047" s="3" t="s">
        <v>3437</v>
      </c>
      <c r="B3047" s="3" t="s">
        <v>283</v>
      </c>
      <c r="C3047" s="3" t="s">
        <v>405</v>
      </c>
      <c r="D3047" s="3" t="s">
        <v>392</v>
      </c>
      <c r="E3047" s="3" t="s">
        <v>398</v>
      </c>
      <c r="F3047" s="16" t="n">
        <v>12</v>
      </c>
      <c r="G3047" s="15" t="n">
        <v>0</v>
      </c>
      <c r="H3047" s="16" t="n">
        <v>8</v>
      </c>
      <c r="I3047" s="33" t="n">
        <v>6030.6</v>
      </c>
      <c r="J3047" s="33" t="n">
        <v>6030.6</v>
      </c>
    </row>
    <row r="3048" customFormat="false" ht="15" hidden="false" customHeight="false" outlineLevel="0" collapsed="false">
      <c r="A3048" s="3" t="s">
        <v>3438</v>
      </c>
      <c r="B3048" s="3" t="s">
        <v>283</v>
      </c>
      <c r="C3048" s="3" t="s">
        <v>380</v>
      </c>
      <c r="D3048" s="3" t="s">
        <v>692</v>
      </c>
      <c r="E3048" s="3" t="s">
        <v>398</v>
      </c>
      <c r="F3048" s="16" t="n">
        <v>1</v>
      </c>
      <c r="G3048" s="15" t="n">
        <v>0.15</v>
      </c>
      <c r="H3048" s="16" t="n">
        <v>1</v>
      </c>
      <c r="I3048" s="33" t="n">
        <v>6028.92</v>
      </c>
      <c r="J3048" s="33" t="n">
        <v>7092.96</v>
      </c>
    </row>
    <row r="3049" customFormat="false" ht="15" hidden="false" customHeight="false" outlineLevel="0" collapsed="false">
      <c r="A3049" s="3" t="s">
        <v>3439</v>
      </c>
      <c r="B3049" s="3" t="s">
        <v>283</v>
      </c>
      <c r="C3049" s="3" t="s">
        <v>403</v>
      </c>
      <c r="D3049" s="3" t="s">
        <v>418</v>
      </c>
      <c r="E3049" s="3" t="s">
        <v>398</v>
      </c>
      <c r="F3049" s="16" t="n">
        <v>1</v>
      </c>
      <c r="G3049" s="15" t="n">
        <v>0</v>
      </c>
      <c r="H3049" s="16" t="n">
        <v>1</v>
      </c>
      <c r="I3049" s="33" t="n">
        <v>6026.4</v>
      </c>
      <c r="J3049" s="33" t="n">
        <v>6026.4</v>
      </c>
    </row>
    <row r="3050" customFormat="false" ht="15" hidden="false" customHeight="false" outlineLevel="0" collapsed="false">
      <c r="A3050" s="3" t="s">
        <v>3440</v>
      </c>
      <c r="B3050" s="3" t="s">
        <v>283</v>
      </c>
      <c r="C3050" s="3" t="s">
        <v>396</v>
      </c>
      <c r="D3050" s="3" t="s">
        <v>692</v>
      </c>
      <c r="E3050" s="3" t="s">
        <v>398</v>
      </c>
      <c r="F3050" s="16" t="n">
        <v>1</v>
      </c>
      <c r="G3050" s="15" t="n">
        <v>0</v>
      </c>
      <c r="H3050" s="16" t="n">
        <v>1</v>
      </c>
      <c r="I3050" s="33" t="n">
        <v>6022.32</v>
      </c>
      <c r="J3050" s="33" t="n">
        <v>6022.32</v>
      </c>
    </row>
    <row r="3051" customFormat="false" ht="15" hidden="false" customHeight="false" outlineLevel="0" collapsed="false">
      <c r="A3051" s="3" t="s">
        <v>3441</v>
      </c>
      <c r="B3051" s="3" t="s">
        <v>283</v>
      </c>
      <c r="C3051" s="3" t="s">
        <v>405</v>
      </c>
      <c r="D3051" s="3" t="s">
        <v>392</v>
      </c>
      <c r="E3051" s="3" t="s">
        <v>398</v>
      </c>
      <c r="F3051" s="16" t="n">
        <v>1</v>
      </c>
      <c r="G3051" s="15" t="n">
        <v>0.15</v>
      </c>
      <c r="H3051" s="16" t="n">
        <v>1</v>
      </c>
      <c r="I3051" s="33" t="n">
        <v>6017.88</v>
      </c>
      <c r="J3051" s="33" t="n">
        <v>7079.76</v>
      </c>
    </row>
    <row r="3052" customFormat="false" ht="15" hidden="false" customHeight="false" outlineLevel="0" collapsed="false">
      <c r="A3052" s="3" t="s">
        <v>3442</v>
      </c>
      <c r="B3052" s="3" t="s">
        <v>283</v>
      </c>
      <c r="C3052" s="3" t="s">
        <v>380</v>
      </c>
      <c r="D3052" s="3" t="s">
        <v>392</v>
      </c>
      <c r="E3052" s="3" t="s">
        <v>382</v>
      </c>
      <c r="F3052" s="16" t="n">
        <v>1</v>
      </c>
      <c r="G3052" s="15" t="n">
        <v>0</v>
      </c>
      <c r="H3052" s="16" t="n">
        <v>1</v>
      </c>
      <c r="I3052" s="33" t="n">
        <v>6015.72</v>
      </c>
      <c r="J3052" s="33" t="n">
        <v>6015.72</v>
      </c>
    </row>
    <row r="3053" customFormat="false" ht="15" hidden="false" customHeight="false" outlineLevel="0" collapsed="false">
      <c r="A3053" s="3" t="s">
        <v>3443</v>
      </c>
      <c r="B3053" s="3" t="s">
        <v>283</v>
      </c>
      <c r="C3053" s="3" t="s">
        <v>401</v>
      </c>
      <c r="D3053" s="3" t="s">
        <v>392</v>
      </c>
      <c r="E3053" s="3" t="s">
        <v>385</v>
      </c>
      <c r="F3053" s="16" t="n">
        <v>1</v>
      </c>
      <c r="G3053" s="15" t="n">
        <v>0</v>
      </c>
      <c r="H3053" s="16" t="n">
        <v>1</v>
      </c>
      <c r="I3053" s="33" t="n">
        <v>6010.68</v>
      </c>
      <c r="J3053" s="33" t="n">
        <v>6010.68</v>
      </c>
    </row>
    <row r="3054" customFormat="false" ht="15" hidden="false" customHeight="false" outlineLevel="0" collapsed="false">
      <c r="A3054" s="3" t="s">
        <v>3444</v>
      </c>
      <c r="B3054" s="3" t="s">
        <v>283</v>
      </c>
      <c r="C3054" s="3" t="s">
        <v>405</v>
      </c>
      <c r="D3054" s="3" t="s">
        <v>418</v>
      </c>
      <c r="E3054" s="3" t="s">
        <v>382</v>
      </c>
      <c r="F3054" s="16" t="n">
        <v>12</v>
      </c>
      <c r="G3054" s="15" t="n">
        <v>0</v>
      </c>
      <c r="H3054" s="16" t="n">
        <v>10</v>
      </c>
      <c r="I3054" s="33" t="n">
        <v>6007.32</v>
      </c>
      <c r="J3054" s="33" t="n">
        <v>6007.32</v>
      </c>
    </row>
    <row r="3055" customFormat="false" ht="15" hidden="false" customHeight="false" outlineLevel="0" collapsed="false">
      <c r="A3055" s="3" t="s">
        <v>3445</v>
      </c>
      <c r="B3055" s="3" t="s">
        <v>283</v>
      </c>
      <c r="C3055" s="3" t="s">
        <v>396</v>
      </c>
      <c r="D3055" s="3" t="s">
        <v>692</v>
      </c>
      <c r="E3055" s="3" t="s">
        <v>398</v>
      </c>
      <c r="F3055" s="16" t="n">
        <v>1</v>
      </c>
      <c r="G3055" s="15" t="n">
        <v>0.1</v>
      </c>
      <c r="H3055" s="16" t="n">
        <v>1</v>
      </c>
      <c r="I3055" s="33" t="n">
        <v>6005.04</v>
      </c>
      <c r="J3055" s="33" t="n">
        <v>6672.24</v>
      </c>
    </row>
    <row r="3056" customFormat="false" ht="15" hidden="false" customHeight="false" outlineLevel="0" collapsed="false">
      <c r="A3056" s="3" t="s">
        <v>3446</v>
      </c>
      <c r="B3056" s="3" t="s">
        <v>283</v>
      </c>
      <c r="C3056" s="3" t="s">
        <v>405</v>
      </c>
      <c r="D3056" s="3" t="s">
        <v>418</v>
      </c>
      <c r="E3056" s="3" t="s">
        <v>398</v>
      </c>
      <c r="F3056" s="16" t="n">
        <v>1</v>
      </c>
      <c r="G3056" s="15" t="n">
        <v>0</v>
      </c>
      <c r="H3056" s="16" t="n">
        <v>1</v>
      </c>
      <c r="I3056" s="33" t="n">
        <v>5996.04</v>
      </c>
      <c r="J3056" s="33" t="n">
        <v>5996.04</v>
      </c>
    </row>
    <row r="3057" customFormat="false" ht="15" hidden="false" customHeight="false" outlineLevel="0" collapsed="false">
      <c r="A3057" s="3" t="s">
        <v>3447</v>
      </c>
      <c r="B3057" s="3" t="s">
        <v>283</v>
      </c>
      <c r="C3057" s="3" t="s">
        <v>405</v>
      </c>
      <c r="D3057" s="3" t="s">
        <v>381</v>
      </c>
      <c r="E3057" s="3" t="s">
        <v>385</v>
      </c>
      <c r="F3057" s="16" t="n">
        <v>1</v>
      </c>
      <c r="G3057" s="15" t="n">
        <v>0</v>
      </c>
      <c r="H3057" s="16" t="n">
        <v>1</v>
      </c>
      <c r="I3057" s="33" t="n">
        <v>5995.32</v>
      </c>
      <c r="J3057" s="33" t="n">
        <v>5995.32</v>
      </c>
    </row>
    <row r="3058" customFormat="false" ht="15" hidden="false" customHeight="false" outlineLevel="0" collapsed="false">
      <c r="A3058" s="3" t="s">
        <v>3448</v>
      </c>
      <c r="B3058" s="3" t="s">
        <v>283</v>
      </c>
      <c r="C3058" s="3" t="s">
        <v>405</v>
      </c>
      <c r="D3058" s="3" t="s">
        <v>418</v>
      </c>
      <c r="E3058" s="3" t="s">
        <v>398</v>
      </c>
      <c r="F3058" s="16" t="n">
        <v>1</v>
      </c>
      <c r="G3058" s="15" t="n">
        <v>0.1</v>
      </c>
      <c r="H3058" s="16" t="n">
        <v>1</v>
      </c>
      <c r="I3058" s="33" t="n">
        <v>5990.88</v>
      </c>
      <c r="J3058" s="33" t="n">
        <v>6656.52</v>
      </c>
    </row>
    <row r="3059" customFormat="false" ht="15" hidden="false" customHeight="false" outlineLevel="0" collapsed="false">
      <c r="A3059" s="3" t="s">
        <v>3449</v>
      </c>
      <c r="B3059" s="3" t="s">
        <v>283</v>
      </c>
      <c r="C3059" s="3" t="s">
        <v>396</v>
      </c>
      <c r="D3059" s="3" t="s">
        <v>418</v>
      </c>
      <c r="E3059" s="3" t="s">
        <v>398</v>
      </c>
      <c r="F3059" s="16" t="n">
        <v>1</v>
      </c>
      <c r="G3059" s="15" t="n">
        <v>0</v>
      </c>
      <c r="H3059" s="16" t="n">
        <v>1</v>
      </c>
      <c r="I3059" s="33" t="n">
        <v>5987.28</v>
      </c>
      <c r="J3059" s="33" t="n">
        <v>5987.28</v>
      </c>
    </row>
    <row r="3060" customFormat="false" ht="15" hidden="false" customHeight="false" outlineLevel="0" collapsed="false">
      <c r="A3060" s="3" t="s">
        <v>3450</v>
      </c>
      <c r="B3060" s="3" t="s">
        <v>283</v>
      </c>
      <c r="C3060" s="3" t="s">
        <v>396</v>
      </c>
      <c r="D3060" s="3" t="s">
        <v>692</v>
      </c>
      <c r="E3060" s="3" t="s">
        <v>382</v>
      </c>
      <c r="F3060" s="16" t="n">
        <v>1</v>
      </c>
      <c r="G3060" s="15" t="n">
        <v>0.25</v>
      </c>
      <c r="H3060" s="16" t="n">
        <v>1</v>
      </c>
      <c r="I3060" s="33" t="n">
        <v>5985.6</v>
      </c>
      <c r="J3060" s="33" t="n">
        <v>7980.72</v>
      </c>
    </row>
    <row r="3061" customFormat="false" ht="15" hidden="false" customHeight="false" outlineLevel="0" collapsed="false">
      <c r="A3061" s="3" t="s">
        <v>3451</v>
      </c>
      <c r="B3061" s="3" t="s">
        <v>283</v>
      </c>
      <c r="C3061" s="3" t="s">
        <v>380</v>
      </c>
      <c r="D3061" s="3" t="s">
        <v>381</v>
      </c>
      <c r="E3061" s="3" t="s">
        <v>398</v>
      </c>
      <c r="F3061" s="16" t="n">
        <v>12</v>
      </c>
      <c r="G3061" s="15" t="n">
        <v>0.1</v>
      </c>
      <c r="H3061" s="16" t="n">
        <v>6</v>
      </c>
      <c r="I3061" s="33" t="n">
        <v>5985.12</v>
      </c>
      <c r="J3061" s="33" t="n">
        <v>6650.16</v>
      </c>
    </row>
    <row r="3062" customFormat="false" ht="15" hidden="false" customHeight="false" outlineLevel="0" collapsed="false">
      <c r="A3062" s="3" t="s">
        <v>3452</v>
      </c>
      <c r="B3062" s="3" t="s">
        <v>283</v>
      </c>
      <c r="C3062" s="3" t="s">
        <v>405</v>
      </c>
      <c r="D3062" s="3" t="s">
        <v>418</v>
      </c>
      <c r="E3062" s="3" t="s">
        <v>398</v>
      </c>
      <c r="F3062" s="16" t="n">
        <v>12</v>
      </c>
      <c r="G3062" s="15" t="n">
        <v>0</v>
      </c>
      <c r="H3062" s="16" t="n">
        <v>5</v>
      </c>
      <c r="I3062" s="33" t="n">
        <v>5982.72</v>
      </c>
      <c r="J3062" s="33" t="n">
        <v>5982.72</v>
      </c>
    </row>
    <row r="3063" customFormat="false" ht="15" hidden="false" customHeight="false" outlineLevel="0" collapsed="false">
      <c r="A3063" s="3" t="s">
        <v>3453</v>
      </c>
      <c r="B3063" s="3" t="s">
        <v>283</v>
      </c>
      <c r="C3063" s="3" t="s">
        <v>403</v>
      </c>
      <c r="D3063" s="3" t="s">
        <v>418</v>
      </c>
      <c r="E3063" s="3" t="s">
        <v>382</v>
      </c>
      <c r="F3063" s="16" t="n">
        <v>12</v>
      </c>
      <c r="G3063" s="15" t="n">
        <v>0.15</v>
      </c>
      <c r="H3063" s="16" t="n">
        <v>5</v>
      </c>
      <c r="I3063" s="33" t="n">
        <v>5978.52</v>
      </c>
      <c r="J3063" s="33" t="n">
        <v>7033.56</v>
      </c>
    </row>
    <row r="3064" customFormat="false" ht="15" hidden="false" customHeight="false" outlineLevel="0" collapsed="false">
      <c r="A3064" s="3" t="s">
        <v>3454</v>
      </c>
      <c r="B3064" s="3" t="s">
        <v>283</v>
      </c>
      <c r="C3064" s="3" t="s">
        <v>403</v>
      </c>
      <c r="D3064" s="3" t="s">
        <v>418</v>
      </c>
      <c r="E3064" s="3" t="s">
        <v>398</v>
      </c>
      <c r="F3064" s="16" t="n">
        <v>1</v>
      </c>
      <c r="G3064" s="15" t="n">
        <v>0.2</v>
      </c>
      <c r="H3064" s="16" t="n">
        <v>1</v>
      </c>
      <c r="I3064" s="33" t="n">
        <v>5969.64</v>
      </c>
      <c r="J3064" s="33" t="n">
        <v>7462.08</v>
      </c>
    </row>
    <row r="3065" customFormat="false" ht="15" hidden="false" customHeight="false" outlineLevel="0" collapsed="false">
      <c r="A3065" s="3" t="s">
        <v>3455</v>
      </c>
      <c r="B3065" s="3" t="s">
        <v>283</v>
      </c>
      <c r="C3065" s="3" t="s">
        <v>396</v>
      </c>
      <c r="D3065" s="3" t="s">
        <v>692</v>
      </c>
      <c r="E3065" s="3" t="s">
        <v>398</v>
      </c>
      <c r="F3065" s="16" t="n">
        <v>1</v>
      </c>
      <c r="G3065" s="15" t="n">
        <v>0</v>
      </c>
      <c r="H3065" s="16" t="n">
        <v>1</v>
      </c>
      <c r="I3065" s="33" t="n">
        <v>5967.12</v>
      </c>
      <c r="J3065" s="33" t="n">
        <v>5967.12</v>
      </c>
    </row>
    <row r="3066" customFormat="false" ht="15" hidden="false" customHeight="false" outlineLevel="0" collapsed="false">
      <c r="A3066" s="3" t="s">
        <v>3456</v>
      </c>
      <c r="B3066" s="3" t="s">
        <v>283</v>
      </c>
      <c r="C3066" s="3" t="s">
        <v>387</v>
      </c>
      <c r="D3066" s="3" t="s">
        <v>392</v>
      </c>
      <c r="E3066" s="3" t="s">
        <v>398</v>
      </c>
      <c r="F3066" s="16" t="n">
        <v>1</v>
      </c>
      <c r="G3066" s="15" t="n">
        <v>0</v>
      </c>
      <c r="H3066" s="16" t="n">
        <v>1</v>
      </c>
      <c r="I3066" s="33" t="n">
        <v>5965.8</v>
      </c>
      <c r="J3066" s="33" t="n">
        <v>5965.8</v>
      </c>
    </row>
    <row r="3067" customFormat="false" ht="15" hidden="false" customHeight="false" outlineLevel="0" collapsed="false">
      <c r="A3067" s="3" t="s">
        <v>3457</v>
      </c>
      <c r="B3067" s="3" t="s">
        <v>283</v>
      </c>
      <c r="C3067" s="3" t="s">
        <v>403</v>
      </c>
      <c r="D3067" s="3" t="s">
        <v>692</v>
      </c>
      <c r="E3067" s="3" t="s">
        <v>398</v>
      </c>
      <c r="F3067" s="16" t="n">
        <v>12</v>
      </c>
      <c r="G3067" s="15" t="n">
        <v>0</v>
      </c>
      <c r="H3067" s="16" t="n">
        <v>1</v>
      </c>
      <c r="I3067" s="33" t="n">
        <v>5958.6</v>
      </c>
      <c r="J3067" s="33" t="n">
        <v>5958.6</v>
      </c>
    </row>
    <row r="3068" customFormat="false" ht="15" hidden="false" customHeight="false" outlineLevel="0" collapsed="false">
      <c r="A3068" s="3" t="s">
        <v>3458</v>
      </c>
      <c r="B3068" s="3" t="s">
        <v>283</v>
      </c>
      <c r="C3068" s="3" t="s">
        <v>396</v>
      </c>
      <c r="D3068" s="3" t="s">
        <v>392</v>
      </c>
      <c r="E3068" s="3" t="s">
        <v>398</v>
      </c>
      <c r="F3068" s="16" t="n">
        <v>12</v>
      </c>
      <c r="G3068" s="15" t="n">
        <v>0</v>
      </c>
      <c r="H3068" s="16" t="n">
        <v>1</v>
      </c>
      <c r="I3068" s="33" t="n">
        <v>5957.4</v>
      </c>
      <c r="J3068" s="33" t="n">
        <v>5957.4</v>
      </c>
    </row>
    <row r="3069" customFormat="false" ht="15" hidden="false" customHeight="false" outlineLevel="0" collapsed="false">
      <c r="A3069" s="3" t="s">
        <v>3459</v>
      </c>
      <c r="B3069" s="3" t="s">
        <v>283</v>
      </c>
      <c r="C3069" s="3" t="s">
        <v>401</v>
      </c>
      <c r="D3069" s="3" t="s">
        <v>692</v>
      </c>
      <c r="E3069" s="3" t="s">
        <v>398</v>
      </c>
      <c r="F3069" s="16" t="n">
        <v>12</v>
      </c>
      <c r="G3069" s="15" t="n">
        <v>0</v>
      </c>
      <c r="H3069" s="16" t="n">
        <v>8</v>
      </c>
      <c r="I3069" s="33" t="n">
        <v>5956.92</v>
      </c>
      <c r="J3069" s="33" t="n">
        <v>5956.92</v>
      </c>
    </row>
    <row r="3070" customFormat="false" ht="15" hidden="false" customHeight="false" outlineLevel="0" collapsed="false">
      <c r="A3070" s="3" t="s">
        <v>3460</v>
      </c>
      <c r="B3070" s="3" t="s">
        <v>283</v>
      </c>
      <c r="C3070" s="3" t="s">
        <v>380</v>
      </c>
      <c r="D3070" s="3" t="s">
        <v>692</v>
      </c>
      <c r="E3070" s="3" t="s">
        <v>398</v>
      </c>
      <c r="F3070" s="16" t="n">
        <v>1</v>
      </c>
      <c r="G3070" s="15" t="n">
        <v>0.1</v>
      </c>
      <c r="H3070" s="16" t="n">
        <v>1</v>
      </c>
      <c r="I3070" s="33" t="n">
        <v>5953.32</v>
      </c>
      <c r="J3070" s="33" t="n">
        <v>6614.76</v>
      </c>
    </row>
    <row r="3071" customFormat="false" ht="15" hidden="false" customHeight="false" outlineLevel="0" collapsed="false">
      <c r="A3071" s="3" t="s">
        <v>3461</v>
      </c>
      <c r="B3071" s="3" t="s">
        <v>283</v>
      </c>
      <c r="C3071" s="3" t="s">
        <v>380</v>
      </c>
      <c r="D3071" s="3" t="s">
        <v>388</v>
      </c>
      <c r="E3071" s="3" t="s">
        <v>398</v>
      </c>
      <c r="F3071" s="16" t="n">
        <v>1</v>
      </c>
      <c r="G3071" s="15" t="n">
        <v>0</v>
      </c>
      <c r="H3071" s="16" t="n">
        <v>1</v>
      </c>
      <c r="I3071" s="33" t="n">
        <v>5951.64</v>
      </c>
      <c r="J3071" s="33" t="n">
        <v>5951.64</v>
      </c>
    </row>
    <row r="3072" customFormat="false" ht="15" hidden="false" customHeight="false" outlineLevel="0" collapsed="false">
      <c r="A3072" s="3" t="s">
        <v>3462</v>
      </c>
      <c r="B3072" s="3" t="s">
        <v>283</v>
      </c>
      <c r="C3072" s="3" t="s">
        <v>396</v>
      </c>
      <c r="D3072" s="3" t="s">
        <v>388</v>
      </c>
      <c r="E3072" s="3" t="s">
        <v>398</v>
      </c>
      <c r="F3072" s="16" t="n">
        <v>12</v>
      </c>
      <c r="G3072" s="15" t="n">
        <v>0</v>
      </c>
      <c r="H3072" s="16" t="n">
        <v>12</v>
      </c>
      <c r="I3072" s="33" t="n">
        <v>5948.64</v>
      </c>
      <c r="J3072" s="33" t="n">
        <v>5948.64</v>
      </c>
    </row>
    <row r="3073" customFormat="false" ht="15" hidden="false" customHeight="false" outlineLevel="0" collapsed="false">
      <c r="A3073" s="3" t="s">
        <v>3463</v>
      </c>
      <c r="B3073" s="3" t="s">
        <v>283</v>
      </c>
      <c r="C3073" s="3" t="s">
        <v>401</v>
      </c>
      <c r="D3073" s="3" t="s">
        <v>692</v>
      </c>
      <c r="E3073" s="3" t="s">
        <v>398</v>
      </c>
      <c r="F3073" s="16" t="n">
        <v>12</v>
      </c>
      <c r="G3073" s="15" t="n">
        <v>0</v>
      </c>
      <c r="H3073" s="16" t="n">
        <v>1</v>
      </c>
      <c r="I3073" s="33" t="n">
        <v>5918.16</v>
      </c>
      <c r="J3073" s="33" t="n">
        <v>5918.16</v>
      </c>
    </row>
    <row r="3074" customFormat="false" ht="15" hidden="false" customHeight="false" outlineLevel="0" collapsed="false">
      <c r="A3074" s="3" t="s">
        <v>3464</v>
      </c>
      <c r="B3074" s="3" t="s">
        <v>283</v>
      </c>
      <c r="C3074" s="3" t="s">
        <v>384</v>
      </c>
      <c r="D3074" s="3" t="s">
        <v>692</v>
      </c>
      <c r="E3074" s="3" t="s">
        <v>398</v>
      </c>
      <c r="F3074" s="16" t="n">
        <v>12</v>
      </c>
      <c r="G3074" s="15" t="n">
        <v>0.1</v>
      </c>
      <c r="H3074" s="16" t="n">
        <v>7</v>
      </c>
      <c r="I3074" s="33" t="n">
        <v>5909.76</v>
      </c>
      <c r="J3074" s="33" t="n">
        <v>6566.4</v>
      </c>
    </row>
    <row r="3075" customFormat="false" ht="15" hidden="false" customHeight="false" outlineLevel="0" collapsed="false">
      <c r="A3075" s="3" t="s">
        <v>3465</v>
      </c>
      <c r="B3075" s="3" t="s">
        <v>283</v>
      </c>
      <c r="C3075" s="3" t="s">
        <v>380</v>
      </c>
      <c r="D3075" s="3" t="s">
        <v>381</v>
      </c>
      <c r="E3075" s="3" t="s">
        <v>398</v>
      </c>
      <c r="F3075" s="16" t="n">
        <v>12</v>
      </c>
      <c r="G3075" s="15" t="n">
        <v>0</v>
      </c>
      <c r="H3075" s="16" t="n">
        <v>2</v>
      </c>
      <c r="I3075" s="33" t="n">
        <v>5898.36</v>
      </c>
      <c r="J3075" s="33" t="n">
        <v>5898.36</v>
      </c>
    </row>
    <row r="3076" customFormat="false" ht="15" hidden="false" customHeight="false" outlineLevel="0" collapsed="false">
      <c r="A3076" s="3" t="s">
        <v>3466</v>
      </c>
      <c r="B3076" s="3" t="s">
        <v>283</v>
      </c>
      <c r="C3076" s="3" t="s">
        <v>384</v>
      </c>
      <c r="D3076" s="3" t="s">
        <v>418</v>
      </c>
      <c r="E3076" s="3" t="s">
        <v>398</v>
      </c>
      <c r="F3076" s="16" t="n">
        <v>1</v>
      </c>
      <c r="G3076" s="15" t="n">
        <v>0</v>
      </c>
      <c r="H3076" s="16" t="n">
        <v>1</v>
      </c>
      <c r="I3076" s="33" t="n">
        <v>5898</v>
      </c>
      <c r="J3076" s="33" t="n">
        <v>5898</v>
      </c>
    </row>
    <row r="3077" customFormat="false" ht="15" hidden="false" customHeight="false" outlineLevel="0" collapsed="false">
      <c r="A3077" s="3" t="s">
        <v>3467</v>
      </c>
      <c r="B3077" s="3" t="s">
        <v>283</v>
      </c>
      <c r="C3077" s="3" t="s">
        <v>403</v>
      </c>
      <c r="D3077" s="3" t="s">
        <v>418</v>
      </c>
      <c r="E3077" s="3" t="s">
        <v>385</v>
      </c>
      <c r="F3077" s="16" t="n">
        <v>12</v>
      </c>
      <c r="G3077" s="15" t="n">
        <v>0</v>
      </c>
      <c r="H3077" s="16" t="n">
        <v>7</v>
      </c>
      <c r="I3077" s="33" t="n">
        <v>5892.72</v>
      </c>
      <c r="J3077" s="33" t="n">
        <v>5892.72</v>
      </c>
    </row>
    <row r="3078" customFormat="false" ht="15" hidden="false" customHeight="false" outlineLevel="0" collapsed="false">
      <c r="A3078" s="3" t="s">
        <v>3468</v>
      </c>
      <c r="B3078" s="3" t="s">
        <v>283</v>
      </c>
      <c r="C3078" s="3" t="s">
        <v>401</v>
      </c>
      <c r="D3078" s="3" t="s">
        <v>692</v>
      </c>
      <c r="E3078" s="3" t="s">
        <v>385</v>
      </c>
      <c r="F3078" s="16" t="n">
        <v>12</v>
      </c>
      <c r="G3078" s="15" t="n">
        <v>0</v>
      </c>
      <c r="H3078" s="16" t="n">
        <v>4</v>
      </c>
      <c r="I3078" s="33" t="n">
        <v>5892.6</v>
      </c>
      <c r="J3078" s="33" t="n">
        <v>5892.6</v>
      </c>
    </row>
    <row r="3079" customFormat="false" ht="15" hidden="false" customHeight="false" outlineLevel="0" collapsed="false">
      <c r="A3079" s="3" t="s">
        <v>3469</v>
      </c>
      <c r="B3079" s="3" t="s">
        <v>283</v>
      </c>
      <c r="C3079" s="3" t="s">
        <v>396</v>
      </c>
      <c r="D3079" s="3" t="s">
        <v>392</v>
      </c>
      <c r="E3079" s="3" t="s">
        <v>398</v>
      </c>
      <c r="F3079" s="16" t="n">
        <v>1</v>
      </c>
      <c r="G3079" s="15" t="n">
        <v>0.05</v>
      </c>
      <c r="H3079" s="16" t="n">
        <v>1</v>
      </c>
      <c r="I3079" s="33" t="n">
        <v>5887.68</v>
      </c>
      <c r="J3079" s="33" t="n">
        <v>6197.64</v>
      </c>
    </row>
    <row r="3080" customFormat="false" ht="15" hidden="false" customHeight="false" outlineLevel="0" collapsed="false">
      <c r="A3080" s="3" t="s">
        <v>3470</v>
      </c>
      <c r="B3080" s="3" t="s">
        <v>283</v>
      </c>
      <c r="C3080" s="3" t="s">
        <v>384</v>
      </c>
      <c r="D3080" s="3" t="s">
        <v>381</v>
      </c>
      <c r="E3080" s="3" t="s">
        <v>398</v>
      </c>
      <c r="F3080" s="16" t="n">
        <v>12</v>
      </c>
      <c r="G3080" s="15" t="n">
        <v>0</v>
      </c>
      <c r="H3080" s="16" t="n">
        <v>7</v>
      </c>
      <c r="I3080" s="33" t="n">
        <v>5880.24</v>
      </c>
      <c r="J3080" s="33" t="n">
        <v>5880.24</v>
      </c>
    </row>
    <row r="3081" customFormat="false" ht="15" hidden="false" customHeight="false" outlineLevel="0" collapsed="false">
      <c r="A3081" s="3" t="s">
        <v>3471</v>
      </c>
      <c r="B3081" s="3" t="s">
        <v>283</v>
      </c>
      <c r="C3081" s="3" t="s">
        <v>384</v>
      </c>
      <c r="D3081" s="3" t="s">
        <v>388</v>
      </c>
      <c r="E3081" s="3" t="s">
        <v>398</v>
      </c>
      <c r="F3081" s="16" t="n">
        <v>12</v>
      </c>
      <c r="G3081" s="15" t="n">
        <v>0</v>
      </c>
      <c r="H3081" s="16" t="n">
        <v>2</v>
      </c>
      <c r="I3081" s="33" t="n">
        <v>5874.6</v>
      </c>
      <c r="J3081" s="33" t="n">
        <v>5874.6</v>
      </c>
    </row>
    <row r="3082" customFormat="false" ht="15" hidden="false" customHeight="false" outlineLevel="0" collapsed="false">
      <c r="A3082" s="3" t="s">
        <v>3472</v>
      </c>
      <c r="B3082" s="3" t="s">
        <v>283</v>
      </c>
      <c r="C3082" s="3" t="s">
        <v>403</v>
      </c>
      <c r="D3082" s="3" t="s">
        <v>392</v>
      </c>
      <c r="E3082" s="3" t="s">
        <v>398</v>
      </c>
      <c r="F3082" s="16" t="n">
        <v>12</v>
      </c>
      <c r="G3082" s="15" t="n">
        <v>0</v>
      </c>
      <c r="H3082" s="16" t="n">
        <v>12</v>
      </c>
      <c r="I3082" s="33" t="n">
        <v>5871</v>
      </c>
      <c r="J3082" s="33" t="n">
        <v>5871</v>
      </c>
    </row>
    <row r="3083" customFormat="false" ht="15" hidden="false" customHeight="false" outlineLevel="0" collapsed="false">
      <c r="A3083" s="3" t="s">
        <v>3473</v>
      </c>
      <c r="B3083" s="3" t="s">
        <v>283</v>
      </c>
      <c r="C3083" s="3" t="s">
        <v>401</v>
      </c>
      <c r="D3083" s="3" t="s">
        <v>418</v>
      </c>
      <c r="E3083" s="3" t="s">
        <v>398</v>
      </c>
      <c r="F3083" s="16" t="n">
        <v>12</v>
      </c>
      <c r="G3083" s="15" t="n">
        <v>0.05</v>
      </c>
      <c r="H3083" s="16" t="n">
        <v>6</v>
      </c>
      <c r="I3083" s="33" t="n">
        <v>5863.8</v>
      </c>
      <c r="J3083" s="33" t="n">
        <v>6172.44</v>
      </c>
    </row>
    <row r="3084" customFormat="false" ht="15" hidden="false" customHeight="false" outlineLevel="0" collapsed="false">
      <c r="A3084" s="3" t="s">
        <v>3474</v>
      </c>
      <c r="B3084" s="3" t="s">
        <v>283</v>
      </c>
      <c r="C3084" s="3" t="s">
        <v>403</v>
      </c>
      <c r="D3084" s="3" t="s">
        <v>692</v>
      </c>
      <c r="E3084" s="3" t="s">
        <v>382</v>
      </c>
      <c r="F3084" s="16" t="n">
        <v>12</v>
      </c>
      <c r="G3084" s="15" t="n">
        <v>0</v>
      </c>
      <c r="H3084" s="16" t="n">
        <v>8</v>
      </c>
      <c r="I3084" s="33" t="n">
        <v>5840.16</v>
      </c>
      <c r="J3084" s="33" t="n">
        <v>5840.16</v>
      </c>
    </row>
    <row r="3085" customFormat="false" ht="15" hidden="false" customHeight="false" outlineLevel="0" collapsed="false">
      <c r="A3085" s="3" t="s">
        <v>3475</v>
      </c>
      <c r="B3085" s="3" t="s">
        <v>283</v>
      </c>
      <c r="C3085" s="3" t="s">
        <v>380</v>
      </c>
      <c r="D3085" s="3" t="s">
        <v>692</v>
      </c>
      <c r="E3085" s="3" t="s">
        <v>398</v>
      </c>
      <c r="F3085" s="16" t="n">
        <v>12</v>
      </c>
      <c r="G3085" s="15" t="n">
        <v>0</v>
      </c>
      <c r="H3085" s="16" t="n">
        <v>5</v>
      </c>
      <c r="I3085" s="33" t="n">
        <v>5837.16</v>
      </c>
      <c r="J3085" s="33" t="n">
        <v>5837.16</v>
      </c>
    </row>
    <row r="3086" customFormat="false" ht="15" hidden="false" customHeight="false" outlineLevel="0" collapsed="false">
      <c r="A3086" s="3" t="s">
        <v>3476</v>
      </c>
      <c r="B3086" s="3" t="s">
        <v>283</v>
      </c>
      <c r="C3086" s="3" t="s">
        <v>387</v>
      </c>
      <c r="D3086" s="3" t="s">
        <v>418</v>
      </c>
      <c r="E3086" s="3" t="s">
        <v>398</v>
      </c>
      <c r="F3086" s="16" t="n">
        <v>1</v>
      </c>
      <c r="G3086" s="15" t="n">
        <v>0</v>
      </c>
      <c r="H3086" s="16" t="n">
        <v>1</v>
      </c>
      <c r="I3086" s="33" t="n">
        <v>5823</v>
      </c>
      <c r="J3086" s="33" t="n">
        <v>5823</v>
      </c>
    </row>
    <row r="3087" customFormat="false" ht="15" hidden="false" customHeight="false" outlineLevel="0" collapsed="false">
      <c r="A3087" s="3" t="s">
        <v>3477</v>
      </c>
      <c r="B3087" s="3" t="s">
        <v>283</v>
      </c>
      <c r="C3087" s="3" t="s">
        <v>403</v>
      </c>
      <c r="D3087" s="3" t="s">
        <v>418</v>
      </c>
      <c r="E3087" s="3" t="s">
        <v>398</v>
      </c>
      <c r="F3087" s="16" t="n">
        <v>12</v>
      </c>
      <c r="G3087" s="15" t="n">
        <v>0</v>
      </c>
      <c r="H3087" s="16" t="n">
        <v>4</v>
      </c>
      <c r="I3087" s="33" t="n">
        <v>5816.88</v>
      </c>
      <c r="J3087" s="33" t="n">
        <v>5816.88</v>
      </c>
    </row>
    <row r="3088" customFormat="false" ht="15" hidden="false" customHeight="false" outlineLevel="0" collapsed="false">
      <c r="A3088" s="3" t="s">
        <v>3478</v>
      </c>
      <c r="B3088" s="3" t="s">
        <v>283</v>
      </c>
      <c r="C3088" s="3" t="s">
        <v>387</v>
      </c>
      <c r="D3088" s="3" t="s">
        <v>418</v>
      </c>
      <c r="E3088" s="3" t="s">
        <v>398</v>
      </c>
      <c r="F3088" s="16" t="n">
        <v>12</v>
      </c>
      <c r="G3088" s="15" t="n">
        <v>0.1</v>
      </c>
      <c r="H3088" s="16" t="n">
        <v>1</v>
      </c>
      <c r="I3088" s="33" t="n">
        <v>5814.84</v>
      </c>
      <c r="J3088" s="33" t="n">
        <v>6460.92</v>
      </c>
    </row>
    <row r="3089" customFormat="false" ht="15" hidden="false" customHeight="false" outlineLevel="0" collapsed="false">
      <c r="A3089" s="3" t="s">
        <v>3479</v>
      </c>
      <c r="B3089" s="3" t="s">
        <v>283</v>
      </c>
      <c r="C3089" s="3" t="s">
        <v>403</v>
      </c>
      <c r="D3089" s="3" t="s">
        <v>692</v>
      </c>
      <c r="E3089" s="3" t="s">
        <v>398</v>
      </c>
      <c r="F3089" s="16" t="n">
        <v>12</v>
      </c>
      <c r="G3089" s="15" t="n">
        <v>0.2</v>
      </c>
      <c r="H3089" s="16" t="n">
        <v>5</v>
      </c>
      <c r="I3089" s="33" t="n">
        <v>5808.96</v>
      </c>
      <c r="J3089" s="33" t="n">
        <v>7261.2</v>
      </c>
    </row>
    <row r="3090" customFormat="false" ht="15" hidden="false" customHeight="false" outlineLevel="0" collapsed="false">
      <c r="A3090" s="3" t="s">
        <v>3480</v>
      </c>
      <c r="B3090" s="3" t="s">
        <v>283</v>
      </c>
      <c r="C3090" s="3" t="s">
        <v>401</v>
      </c>
      <c r="D3090" s="3" t="s">
        <v>388</v>
      </c>
      <c r="E3090" s="3" t="s">
        <v>398</v>
      </c>
      <c r="F3090" s="16" t="n">
        <v>1</v>
      </c>
      <c r="G3090" s="15" t="n">
        <v>0</v>
      </c>
      <c r="H3090" s="16" t="n">
        <v>1</v>
      </c>
      <c r="I3090" s="33" t="n">
        <v>5807.16</v>
      </c>
      <c r="J3090" s="33" t="n">
        <v>5807.16</v>
      </c>
    </row>
    <row r="3091" customFormat="false" ht="15" hidden="false" customHeight="false" outlineLevel="0" collapsed="false">
      <c r="A3091" s="3" t="s">
        <v>3481</v>
      </c>
      <c r="B3091" s="3" t="s">
        <v>283</v>
      </c>
      <c r="C3091" s="3" t="s">
        <v>387</v>
      </c>
      <c r="D3091" s="3" t="s">
        <v>692</v>
      </c>
      <c r="E3091" s="3" t="s">
        <v>398</v>
      </c>
      <c r="F3091" s="16" t="n">
        <v>12</v>
      </c>
      <c r="G3091" s="15" t="n">
        <v>0</v>
      </c>
      <c r="H3091" s="16" t="n">
        <v>8</v>
      </c>
      <c r="I3091" s="33" t="n">
        <v>5786.04</v>
      </c>
      <c r="J3091" s="33" t="n">
        <v>5786.04</v>
      </c>
    </row>
    <row r="3092" customFormat="false" ht="15" hidden="false" customHeight="false" outlineLevel="0" collapsed="false">
      <c r="A3092" s="3" t="s">
        <v>3482</v>
      </c>
      <c r="B3092" s="3" t="s">
        <v>283</v>
      </c>
      <c r="C3092" s="3" t="s">
        <v>405</v>
      </c>
      <c r="D3092" s="3" t="s">
        <v>692</v>
      </c>
      <c r="E3092" s="3" t="s">
        <v>385</v>
      </c>
      <c r="F3092" s="16" t="n">
        <v>1</v>
      </c>
      <c r="G3092" s="15" t="n">
        <v>0</v>
      </c>
      <c r="H3092" s="16" t="n">
        <v>1</v>
      </c>
      <c r="I3092" s="33" t="n">
        <v>5781.6</v>
      </c>
      <c r="J3092" s="33" t="n">
        <v>5781.6</v>
      </c>
    </row>
    <row r="3093" customFormat="false" ht="15" hidden="false" customHeight="false" outlineLevel="0" collapsed="false">
      <c r="A3093" s="3" t="s">
        <v>3483</v>
      </c>
      <c r="B3093" s="3" t="s">
        <v>283</v>
      </c>
      <c r="C3093" s="3" t="s">
        <v>401</v>
      </c>
      <c r="D3093" s="3" t="s">
        <v>418</v>
      </c>
      <c r="E3093" s="3" t="s">
        <v>398</v>
      </c>
      <c r="F3093" s="16" t="n">
        <v>12</v>
      </c>
      <c r="G3093" s="15" t="n">
        <v>0</v>
      </c>
      <c r="H3093" s="16" t="n">
        <v>12</v>
      </c>
      <c r="I3093" s="33" t="n">
        <v>5774.64</v>
      </c>
      <c r="J3093" s="33" t="n">
        <v>5774.64</v>
      </c>
    </row>
    <row r="3094" customFormat="false" ht="15" hidden="false" customHeight="false" outlineLevel="0" collapsed="false">
      <c r="A3094" s="3" t="s">
        <v>3484</v>
      </c>
      <c r="B3094" s="3" t="s">
        <v>283</v>
      </c>
      <c r="C3094" s="3" t="s">
        <v>384</v>
      </c>
      <c r="D3094" s="3" t="s">
        <v>692</v>
      </c>
      <c r="E3094" s="3" t="s">
        <v>382</v>
      </c>
      <c r="F3094" s="16" t="n">
        <v>1</v>
      </c>
      <c r="G3094" s="15" t="n">
        <v>0</v>
      </c>
      <c r="H3094" s="16" t="n">
        <v>1</v>
      </c>
      <c r="I3094" s="33" t="n">
        <v>5766.24</v>
      </c>
      <c r="J3094" s="33" t="n">
        <v>5766.24</v>
      </c>
    </row>
    <row r="3095" customFormat="false" ht="15" hidden="false" customHeight="false" outlineLevel="0" collapsed="false">
      <c r="A3095" s="3" t="s">
        <v>3485</v>
      </c>
      <c r="B3095" s="3" t="s">
        <v>283</v>
      </c>
      <c r="C3095" s="3" t="s">
        <v>405</v>
      </c>
      <c r="D3095" s="3" t="s">
        <v>692</v>
      </c>
      <c r="E3095" s="3" t="s">
        <v>382</v>
      </c>
      <c r="F3095" s="16" t="n">
        <v>1</v>
      </c>
      <c r="G3095" s="15" t="n">
        <v>0</v>
      </c>
      <c r="H3095" s="16" t="n">
        <v>1</v>
      </c>
      <c r="I3095" s="33" t="n">
        <v>5765.64</v>
      </c>
      <c r="J3095" s="33" t="n">
        <v>5765.64</v>
      </c>
    </row>
    <row r="3096" customFormat="false" ht="15" hidden="false" customHeight="false" outlineLevel="0" collapsed="false">
      <c r="A3096" s="3" t="s">
        <v>3486</v>
      </c>
      <c r="B3096" s="3" t="s">
        <v>283</v>
      </c>
      <c r="C3096" s="3" t="s">
        <v>396</v>
      </c>
      <c r="D3096" s="3" t="s">
        <v>392</v>
      </c>
      <c r="E3096" s="3" t="s">
        <v>398</v>
      </c>
      <c r="F3096" s="16" t="n">
        <v>1</v>
      </c>
      <c r="G3096" s="15" t="n">
        <v>0</v>
      </c>
      <c r="H3096" s="16" t="n">
        <v>1</v>
      </c>
      <c r="I3096" s="33" t="n">
        <v>5763.72</v>
      </c>
      <c r="J3096" s="33" t="n">
        <v>5763.72</v>
      </c>
    </row>
    <row r="3097" customFormat="false" ht="15" hidden="false" customHeight="false" outlineLevel="0" collapsed="false">
      <c r="A3097" s="3" t="s">
        <v>3487</v>
      </c>
      <c r="B3097" s="3" t="s">
        <v>283</v>
      </c>
      <c r="C3097" s="3" t="s">
        <v>387</v>
      </c>
      <c r="D3097" s="3" t="s">
        <v>692</v>
      </c>
      <c r="E3097" s="3" t="s">
        <v>398</v>
      </c>
      <c r="F3097" s="16" t="n">
        <v>1</v>
      </c>
      <c r="G3097" s="15" t="n">
        <v>0</v>
      </c>
      <c r="H3097" s="16" t="n">
        <v>1</v>
      </c>
      <c r="I3097" s="33" t="n">
        <v>5763.24</v>
      </c>
      <c r="J3097" s="33" t="n">
        <v>5763.24</v>
      </c>
    </row>
    <row r="3098" customFormat="false" ht="15" hidden="false" customHeight="false" outlineLevel="0" collapsed="false">
      <c r="A3098" s="3" t="s">
        <v>3488</v>
      </c>
      <c r="B3098" s="3" t="s">
        <v>283</v>
      </c>
      <c r="C3098" s="3" t="s">
        <v>380</v>
      </c>
      <c r="D3098" s="3" t="s">
        <v>418</v>
      </c>
      <c r="E3098" s="3" t="s">
        <v>398</v>
      </c>
      <c r="F3098" s="16" t="n">
        <v>1</v>
      </c>
      <c r="G3098" s="15" t="n">
        <v>0</v>
      </c>
      <c r="H3098" s="16" t="n">
        <v>1</v>
      </c>
      <c r="I3098" s="33" t="n">
        <v>5748.96</v>
      </c>
      <c r="J3098" s="33" t="n">
        <v>5748.96</v>
      </c>
    </row>
    <row r="3099" customFormat="false" ht="15" hidden="false" customHeight="false" outlineLevel="0" collapsed="false">
      <c r="A3099" s="3" t="s">
        <v>3489</v>
      </c>
      <c r="B3099" s="3" t="s">
        <v>283</v>
      </c>
      <c r="C3099" s="3" t="s">
        <v>405</v>
      </c>
      <c r="D3099" s="3" t="s">
        <v>692</v>
      </c>
      <c r="E3099" s="3" t="s">
        <v>385</v>
      </c>
      <c r="F3099" s="16" t="n">
        <v>12</v>
      </c>
      <c r="G3099" s="15" t="n">
        <v>0</v>
      </c>
      <c r="H3099" s="16" t="n">
        <v>1</v>
      </c>
      <c r="I3099" s="33" t="n">
        <v>5745.48</v>
      </c>
      <c r="J3099" s="33" t="n">
        <v>5745.48</v>
      </c>
    </row>
    <row r="3100" customFormat="false" ht="15" hidden="false" customHeight="false" outlineLevel="0" collapsed="false">
      <c r="A3100" s="3" t="s">
        <v>3490</v>
      </c>
      <c r="B3100" s="3" t="s">
        <v>283</v>
      </c>
      <c r="C3100" s="3" t="s">
        <v>387</v>
      </c>
      <c r="D3100" s="3" t="s">
        <v>692</v>
      </c>
      <c r="E3100" s="3" t="s">
        <v>385</v>
      </c>
      <c r="F3100" s="16" t="n">
        <v>12</v>
      </c>
      <c r="G3100" s="15" t="n">
        <v>0</v>
      </c>
      <c r="H3100" s="16" t="n">
        <v>10</v>
      </c>
      <c r="I3100" s="33" t="n">
        <v>5739.12</v>
      </c>
      <c r="J3100" s="33" t="n">
        <v>5739.12</v>
      </c>
    </row>
    <row r="3101" customFormat="false" ht="15" hidden="false" customHeight="false" outlineLevel="0" collapsed="false">
      <c r="A3101" s="3" t="s">
        <v>3491</v>
      </c>
      <c r="B3101" s="3" t="s">
        <v>283</v>
      </c>
      <c r="C3101" s="3" t="s">
        <v>387</v>
      </c>
      <c r="D3101" s="3" t="s">
        <v>381</v>
      </c>
      <c r="E3101" s="3" t="s">
        <v>398</v>
      </c>
      <c r="F3101" s="16" t="n">
        <v>1</v>
      </c>
      <c r="G3101" s="15" t="n">
        <v>0</v>
      </c>
      <c r="H3101" s="16" t="n">
        <v>1</v>
      </c>
      <c r="I3101" s="33" t="n">
        <v>5730.24</v>
      </c>
      <c r="J3101" s="33" t="n">
        <v>5730.24</v>
      </c>
    </row>
    <row r="3102" customFormat="false" ht="15" hidden="false" customHeight="false" outlineLevel="0" collapsed="false">
      <c r="A3102" s="3" t="s">
        <v>3492</v>
      </c>
      <c r="B3102" s="3" t="s">
        <v>283</v>
      </c>
      <c r="C3102" s="3" t="s">
        <v>396</v>
      </c>
      <c r="D3102" s="3" t="s">
        <v>388</v>
      </c>
      <c r="E3102" s="3" t="s">
        <v>385</v>
      </c>
      <c r="F3102" s="16" t="n">
        <v>12</v>
      </c>
      <c r="G3102" s="15" t="n">
        <v>0</v>
      </c>
      <c r="H3102" s="16" t="n">
        <v>7</v>
      </c>
      <c r="I3102" s="33" t="n">
        <v>5729.28</v>
      </c>
      <c r="J3102" s="33" t="n">
        <v>5729.28</v>
      </c>
    </row>
    <row r="3103" customFormat="false" ht="15" hidden="false" customHeight="false" outlineLevel="0" collapsed="false">
      <c r="A3103" s="3" t="s">
        <v>3493</v>
      </c>
      <c r="B3103" s="3" t="s">
        <v>283</v>
      </c>
      <c r="C3103" s="3" t="s">
        <v>380</v>
      </c>
      <c r="D3103" s="3" t="s">
        <v>692</v>
      </c>
      <c r="E3103" s="3" t="s">
        <v>398</v>
      </c>
      <c r="F3103" s="16" t="n">
        <v>12</v>
      </c>
      <c r="G3103" s="15" t="n">
        <v>0</v>
      </c>
      <c r="H3103" s="16" t="n">
        <v>2</v>
      </c>
      <c r="I3103" s="33" t="n">
        <v>5727.24</v>
      </c>
      <c r="J3103" s="33" t="n">
        <v>5727.24</v>
      </c>
    </row>
    <row r="3104" customFormat="false" ht="15" hidden="false" customHeight="false" outlineLevel="0" collapsed="false">
      <c r="A3104" s="3" t="s">
        <v>3494</v>
      </c>
      <c r="B3104" s="3" t="s">
        <v>283</v>
      </c>
      <c r="C3104" s="3" t="s">
        <v>405</v>
      </c>
      <c r="D3104" s="3" t="s">
        <v>418</v>
      </c>
      <c r="E3104" s="3" t="s">
        <v>398</v>
      </c>
      <c r="F3104" s="16" t="n">
        <v>1</v>
      </c>
      <c r="G3104" s="15" t="n">
        <v>0</v>
      </c>
      <c r="H3104" s="16" t="n">
        <v>1</v>
      </c>
      <c r="I3104" s="33" t="n">
        <v>5726.52</v>
      </c>
      <c r="J3104" s="33" t="n">
        <v>5726.52</v>
      </c>
    </row>
    <row r="3105" customFormat="false" ht="15" hidden="false" customHeight="false" outlineLevel="0" collapsed="false">
      <c r="A3105" s="3" t="s">
        <v>3495</v>
      </c>
      <c r="B3105" s="3" t="s">
        <v>283</v>
      </c>
      <c r="C3105" s="3" t="s">
        <v>396</v>
      </c>
      <c r="D3105" s="3" t="s">
        <v>692</v>
      </c>
      <c r="E3105" s="3" t="s">
        <v>382</v>
      </c>
      <c r="F3105" s="16" t="n">
        <v>1</v>
      </c>
      <c r="G3105" s="15" t="n">
        <v>0</v>
      </c>
      <c r="H3105" s="16" t="n">
        <v>1</v>
      </c>
      <c r="I3105" s="33" t="n">
        <v>5724.24</v>
      </c>
      <c r="J3105" s="33" t="n">
        <v>5724.24</v>
      </c>
    </row>
    <row r="3106" customFormat="false" ht="15" hidden="false" customHeight="false" outlineLevel="0" collapsed="false">
      <c r="A3106" s="3" t="s">
        <v>3496</v>
      </c>
      <c r="B3106" s="3" t="s">
        <v>283</v>
      </c>
      <c r="C3106" s="3" t="s">
        <v>380</v>
      </c>
      <c r="D3106" s="3" t="s">
        <v>692</v>
      </c>
      <c r="E3106" s="3" t="s">
        <v>385</v>
      </c>
      <c r="F3106" s="16" t="n">
        <v>12</v>
      </c>
      <c r="G3106" s="15" t="n">
        <v>0</v>
      </c>
      <c r="H3106" s="16" t="n">
        <v>9</v>
      </c>
      <c r="I3106" s="33" t="n">
        <v>5720.28</v>
      </c>
      <c r="J3106" s="33" t="n">
        <v>5720.28</v>
      </c>
    </row>
    <row r="3107" customFormat="false" ht="15" hidden="false" customHeight="false" outlineLevel="0" collapsed="false">
      <c r="A3107" s="3" t="s">
        <v>3497</v>
      </c>
      <c r="B3107" s="3" t="s">
        <v>283</v>
      </c>
      <c r="C3107" s="3" t="s">
        <v>401</v>
      </c>
      <c r="D3107" s="3" t="s">
        <v>692</v>
      </c>
      <c r="E3107" s="3" t="s">
        <v>385</v>
      </c>
      <c r="F3107" s="16" t="n">
        <v>1</v>
      </c>
      <c r="G3107" s="15" t="n">
        <v>0.1</v>
      </c>
      <c r="H3107" s="16" t="n">
        <v>1</v>
      </c>
      <c r="I3107" s="33" t="n">
        <v>5719.56</v>
      </c>
      <c r="J3107" s="33" t="n">
        <v>6355.08</v>
      </c>
    </row>
    <row r="3108" customFormat="false" ht="15" hidden="false" customHeight="false" outlineLevel="0" collapsed="false">
      <c r="A3108" s="3" t="s">
        <v>3498</v>
      </c>
      <c r="B3108" s="3" t="s">
        <v>283</v>
      </c>
      <c r="C3108" s="3" t="s">
        <v>403</v>
      </c>
      <c r="D3108" s="3" t="s">
        <v>418</v>
      </c>
      <c r="E3108" s="3" t="s">
        <v>398</v>
      </c>
      <c r="F3108" s="16" t="n">
        <v>12</v>
      </c>
      <c r="G3108" s="15" t="n">
        <v>0</v>
      </c>
      <c r="H3108" s="16" t="n">
        <v>12</v>
      </c>
      <c r="I3108" s="33" t="n">
        <v>5715.6</v>
      </c>
      <c r="J3108" s="33" t="n">
        <v>5715.6</v>
      </c>
    </row>
    <row r="3109" customFormat="false" ht="15" hidden="false" customHeight="false" outlineLevel="0" collapsed="false">
      <c r="A3109" s="3" t="s">
        <v>3499</v>
      </c>
      <c r="B3109" s="3" t="s">
        <v>283</v>
      </c>
      <c r="C3109" s="3" t="s">
        <v>405</v>
      </c>
      <c r="D3109" s="3" t="s">
        <v>392</v>
      </c>
      <c r="E3109" s="3" t="s">
        <v>398</v>
      </c>
      <c r="F3109" s="16" t="n">
        <v>12</v>
      </c>
      <c r="G3109" s="15" t="n">
        <v>0</v>
      </c>
      <c r="H3109" s="16" t="n">
        <v>7</v>
      </c>
      <c r="I3109" s="33" t="n">
        <v>5699.88</v>
      </c>
      <c r="J3109" s="33" t="n">
        <v>5699.88</v>
      </c>
    </row>
    <row r="3110" customFormat="false" ht="15" hidden="false" customHeight="false" outlineLevel="0" collapsed="false">
      <c r="A3110" s="3" t="s">
        <v>3500</v>
      </c>
      <c r="B3110" s="3" t="s">
        <v>283</v>
      </c>
      <c r="C3110" s="3" t="s">
        <v>387</v>
      </c>
      <c r="D3110" s="3" t="s">
        <v>392</v>
      </c>
      <c r="E3110" s="3" t="s">
        <v>398</v>
      </c>
      <c r="F3110" s="16" t="n">
        <v>1</v>
      </c>
      <c r="G3110" s="15" t="n">
        <v>0</v>
      </c>
      <c r="H3110" s="16" t="n">
        <v>1</v>
      </c>
      <c r="I3110" s="33" t="n">
        <v>5688.72</v>
      </c>
      <c r="J3110" s="33" t="n">
        <v>5688.72</v>
      </c>
    </row>
    <row r="3111" customFormat="false" ht="15" hidden="false" customHeight="false" outlineLevel="0" collapsed="false">
      <c r="A3111" s="3" t="s">
        <v>3501</v>
      </c>
      <c r="B3111" s="3" t="s">
        <v>283</v>
      </c>
      <c r="C3111" s="3" t="s">
        <v>405</v>
      </c>
      <c r="D3111" s="3" t="s">
        <v>692</v>
      </c>
      <c r="E3111" s="3" t="s">
        <v>385</v>
      </c>
      <c r="F3111" s="16" t="n">
        <v>1</v>
      </c>
      <c r="G3111" s="15" t="n">
        <v>0</v>
      </c>
      <c r="H3111" s="16" t="n">
        <v>1</v>
      </c>
      <c r="I3111" s="33" t="n">
        <v>5686.56</v>
      </c>
      <c r="J3111" s="33" t="n">
        <v>5686.56</v>
      </c>
    </row>
    <row r="3112" customFormat="false" ht="15" hidden="false" customHeight="false" outlineLevel="0" collapsed="false">
      <c r="A3112" s="3" t="s">
        <v>3502</v>
      </c>
      <c r="B3112" s="3" t="s">
        <v>283</v>
      </c>
      <c r="C3112" s="3" t="s">
        <v>401</v>
      </c>
      <c r="D3112" s="3" t="s">
        <v>692</v>
      </c>
      <c r="E3112" s="3" t="s">
        <v>398</v>
      </c>
      <c r="F3112" s="16" t="n">
        <v>1</v>
      </c>
      <c r="G3112" s="15" t="n">
        <v>0</v>
      </c>
      <c r="H3112" s="16" t="n">
        <v>1</v>
      </c>
      <c r="I3112" s="33" t="n">
        <v>5682.72</v>
      </c>
      <c r="J3112" s="33" t="n">
        <v>5682.72</v>
      </c>
    </row>
    <row r="3113" customFormat="false" ht="15" hidden="false" customHeight="false" outlineLevel="0" collapsed="false">
      <c r="A3113" s="3" t="s">
        <v>3503</v>
      </c>
      <c r="B3113" s="3" t="s">
        <v>283</v>
      </c>
      <c r="C3113" s="3" t="s">
        <v>396</v>
      </c>
      <c r="D3113" s="3" t="s">
        <v>692</v>
      </c>
      <c r="E3113" s="3" t="s">
        <v>382</v>
      </c>
      <c r="F3113" s="16" t="n">
        <v>12</v>
      </c>
      <c r="G3113" s="15" t="n">
        <v>0</v>
      </c>
      <c r="H3113" s="16" t="n">
        <v>10</v>
      </c>
      <c r="I3113" s="33" t="n">
        <v>5679.24</v>
      </c>
      <c r="J3113" s="33" t="n">
        <v>5679.24</v>
      </c>
    </row>
    <row r="3114" customFormat="false" ht="15" hidden="false" customHeight="false" outlineLevel="0" collapsed="false">
      <c r="A3114" s="3" t="s">
        <v>3504</v>
      </c>
      <c r="B3114" s="3" t="s">
        <v>283</v>
      </c>
      <c r="C3114" s="3" t="s">
        <v>396</v>
      </c>
      <c r="D3114" s="3" t="s">
        <v>418</v>
      </c>
      <c r="E3114" s="3" t="s">
        <v>398</v>
      </c>
      <c r="F3114" s="16" t="n">
        <v>1</v>
      </c>
      <c r="G3114" s="15" t="n">
        <v>0.125</v>
      </c>
      <c r="H3114" s="16" t="n">
        <v>1</v>
      </c>
      <c r="I3114" s="33" t="n">
        <v>5676.72</v>
      </c>
      <c r="J3114" s="33" t="n">
        <v>6487.68</v>
      </c>
    </row>
    <row r="3115" customFormat="false" ht="15" hidden="false" customHeight="false" outlineLevel="0" collapsed="false">
      <c r="A3115" s="3" t="s">
        <v>3505</v>
      </c>
      <c r="B3115" s="3" t="s">
        <v>283</v>
      </c>
      <c r="C3115" s="3" t="s">
        <v>396</v>
      </c>
      <c r="D3115" s="3" t="s">
        <v>392</v>
      </c>
      <c r="E3115" s="3" t="s">
        <v>385</v>
      </c>
      <c r="F3115" s="16" t="n">
        <v>1</v>
      </c>
      <c r="G3115" s="15" t="n">
        <v>0</v>
      </c>
      <c r="H3115" s="16" t="n">
        <v>1</v>
      </c>
      <c r="I3115" s="33" t="n">
        <v>5675.04</v>
      </c>
      <c r="J3115" s="33" t="n">
        <v>5675.04</v>
      </c>
    </row>
    <row r="3116" customFormat="false" ht="15" hidden="false" customHeight="false" outlineLevel="0" collapsed="false">
      <c r="A3116" s="3" t="s">
        <v>3506</v>
      </c>
      <c r="B3116" s="3" t="s">
        <v>283</v>
      </c>
      <c r="C3116" s="3" t="s">
        <v>384</v>
      </c>
      <c r="D3116" s="3" t="s">
        <v>381</v>
      </c>
      <c r="E3116" s="3" t="s">
        <v>382</v>
      </c>
      <c r="F3116" s="16" t="n">
        <v>12</v>
      </c>
      <c r="G3116" s="15" t="n">
        <v>0.35</v>
      </c>
      <c r="H3116" s="16" t="n">
        <v>5</v>
      </c>
      <c r="I3116" s="33" t="n">
        <v>5668.92</v>
      </c>
      <c r="J3116" s="33" t="n">
        <v>8721.48</v>
      </c>
    </row>
    <row r="3117" customFormat="false" ht="15" hidden="false" customHeight="false" outlineLevel="0" collapsed="false">
      <c r="A3117" s="3" t="s">
        <v>3507</v>
      </c>
      <c r="B3117" s="3" t="s">
        <v>283</v>
      </c>
      <c r="C3117" s="3" t="s">
        <v>384</v>
      </c>
      <c r="D3117" s="3" t="s">
        <v>381</v>
      </c>
      <c r="E3117" s="3" t="s">
        <v>385</v>
      </c>
      <c r="F3117" s="16" t="n">
        <v>1</v>
      </c>
      <c r="G3117" s="15" t="n">
        <v>0.25</v>
      </c>
      <c r="H3117" s="16" t="n">
        <v>1</v>
      </c>
      <c r="I3117" s="33" t="n">
        <v>5668.32</v>
      </c>
      <c r="J3117" s="33" t="n">
        <v>7557.84</v>
      </c>
    </row>
    <row r="3118" customFormat="false" ht="15" hidden="false" customHeight="false" outlineLevel="0" collapsed="false">
      <c r="A3118" s="3" t="s">
        <v>3508</v>
      </c>
      <c r="B3118" s="3" t="s">
        <v>283</v>
      </c>
      <c r="C3118" s="3" t="s">
        <v>403</v>
      </c>
      <c r="D3118" s="3" t="s">
        <v>692</v>
      </c>
      <c r="E3118" s="3" t="s">
        <v>398</v>
      </c>
      <c r="F3118" s="16" t="n">
        <v>1</v>
      </c>
      <c r="G3118" s="15" t="n">
        <v>0.1</v>
      </c>
      <c r="H3118" s="16" t="n">
        <v>1</v>
      </c>
      <c r="I3118" s="33" t="n">
        <v>5666.64</v>
      </c>
      <c r="J3118" s="33" t="n">
        <v>6296.16</v>
      </c>
    </row>
    <row r="3119" customFormat="false" ht="15" hidden="false" customHeight="false" outlineLevel="0" collapsed="false">
      <c r="A3119" s="3" t="s">
        <v>3509</v>
      </c>
      <c r="B3119" s="3" t="s">
        <v>283</v>
      </c>
      <c r="C3119" s="3" t="s">
        <v>405</v>
      </c>
      <c r="D3119" s="3" t="s">
        <v>392</v>
      </c>
      <c r="E3119" s="3" t="s">
        <v>398</v>
      </c>
      <c r="F3119" s="16" t="n">
        <v>1</v>
      </c>
      <c r="G3119" s="15" t="n">
        <v>0.15</v>
      </c>
      <c r="H3119" s="16" t="n">
        <v>1</v>
      </c>
      <c r="I3119" s="33" t="n">
        <v>5660.52</v>
      </c>
      <c r="J3119" s="33" t="n">
        <v>6659.52</v>
      </c>
    </row>
    <row r="3120" customFormat="false" ht="15" hidden="false" customHeight="false" outlineLevel="0" collapsed="false">
      <c r="A3120" s="3" t="s">
        <v>3510</v>
      </c>
      <c r="B3120" s="3" t="s">
        <v>283</v>
      </c>
      <c r="C3120" s="3" t="s">
        <v>380</v>
      </c>
      <c r="D3120" s="3" t="s">
        <v>418</v>
      </c>
      <c r="E3120" s="3" t="s">
        <v>382</v>
      </c>
      <c r="F3120" s="16" t="n">
        <v>1</v>
      </c>
      <c r="G3120" s="15" t="n">
        <v>0.1</v>
      </c>
      <c r="H3120" s="16" t="n">
        <v>1</v>
      </c>
      <c r="I3120" s="33" t="n">
        <v>5656.32</v>
      </c>
      <c r="J3120" s="33" t="n">
        <v>6284.88</v>
      </c>
    </row>
    <row r="3121" customFormat="false" ht="15" hidden="false" customHeight="false" outlineLevel="0" collapsed="false">
      <c r="A3121" s="3" t="s">
        <v>3511</v>
      </c>
      <c r="B3121" s="3" t="s">
        <v>283</v>
      </c>
      <c r="C3121" s="3" t="s">
        <v>380</v>
      </c>
      <c r="D3121" s="3" t="s">
        <v>418</v>
      </c>
      <c r="E3121" s="3" t="s">
        <v>398</v>
      </c>
      <c r="F3121" s="16" t="n">
        <v>12</v>
      </c>
      <c r="G3121" s="15" t="n">
        <v>0</v>
      </c>
      <c r="H3121" s="16" t="n">
        <v>7</v>
      </c>
      <c r="I3121" s="33" t="n">
        <v>5651.04</v>
      </c>
      <c r="J3121" s="33" t="n">
        <v>5651.04</v>
      </c>
    </row>
    <row r="3122" customFormat="false" ht="15" hidden="false" customHeight="false" outlineLevel="0" collapsed="false">
      <c r="A3122" s="3" t="s">
        <v>3512</v>
      </c>
      <c r="B3122" s="3" t="s">
        <v>283</v>
      </c>
      <c r="C3122" s="3" t="s">
        <v>396</v>
      </c>
      <c r="D3122" s="3" t="s">
        <v>692</v>
      </c>
      <c r="E3122" s="3" t="s">
        <v>398</v>
      </c>
      <c r="F3122" s="16" t="n">
        <v>12</v>
      </c>
      <c r="G3122" s="15" t="n">
        <v>0</v>
      </c>
      <c r="H3122" s="16" t="n">
        <v>12</v>
      </c>
      <c r="I3122" s="33" t="n">
        <v>5645.4</v>
      </c>
      <c r="J3122" s="33" t="n">
        <v>5645.4</v>
      </c>
    </row>
    <row r="3123" customFormat="false" ht="15" hidden="false" customHeight="false" outlineLevel="0" collapsed="false">
      <c r="A3123" s="3" t="s">
        <v>3513</v>
      </c>
      <c r="B3123" s="3" t="s">
        <v>283</v>
      </c>
      <c r="C3123" s="3" t="s">
        <v>380</v>
      </c>
      <c r="D3123" s="3" t="s">
        <v>692</v>
      </c>
      <c r="E3123" s="3" t="s">
        <v>382</v>
      </c>
      <c r="F3123" s="16" t="n">
        <v>12</v>
      </c>
      <c r="G3123" s="15" t="n">
        <v>0</v>
      </c>
      <c r="H3123" s="16" t="n">
        <v>6</v>
      </c>
      <c r="I3123" s="33" t="n">
        <v>5645.28</v>
      </c>
      <c r="J3123" s="33" t="n">
        <v>5645.28</v>
      </c>
    </row>
    <row r="3124" customFormat="false" ht="15" hidden="false" customHeight="false" outlineLevel="0" collapsed="false">
      <c r="A3124" s="3" t="s">
        <v>3514</v>
      </c>
      <c r="B3124" s="3" t="s">
        <v>283</v>
      </c>
      <c r="C3124" s="3" t="s">
        <v>387</v>
      </c>
      <c r="D3124" s="3" t="s">
        <v>418</v>
      </c>
      <c r="E3124" s="3" t="s">
        <v>398</v>
      </c>
      <c r="F3124" s="16" t="n">
        <v>12</v>
      </c>
      <c r="G3124" s="15" t="n">
        <v>0.3</v>
      </c>
      <c r="H3124" s="16" t="n">
        <v>3</v>
      </c>
      <c r="I3124" s="33" t="n">
        <v>5634.84</v>
      </c>
      <c r="J3124" s="33" t="n">
        <v>8049.84</v>
      </c>
    </row>
    <row r="3125" customFormat="false" ht="15" hidden="false" customHeight="false" outlineLevel="0" collapsed="false">
      <c r="A3125" s="3" t="s">
        <v>3515</v>
      </c>
      <c r="B3125" s="3" t="s">
        <v>283</v>
      </c>
      <c r="C3125" s="3" t="s">
        <v>401</v>
      </c>
      <c r="D3125" s="3" t="s">
        <v>692</v>
      </c>
      <c r="E3125" s="3" t="s">
        <v>385</v>
      </c>
      <c r="F3125" s="16" t="n">
        <v>12</v>
      </c>
      <c r="G3125" s="15" t="n">
        <v>0.25</v>
      </c>
      <c r="H3125" s="16" t="n">
        <v>11</v>
      </c>
      <c r="I3125" s="33" t="n">
        <v>5633.04</v>
      </c>
      <c r="J3125" s="33" t="n">
        <v>7510.8</v>
      </c>
    </row>
    <row r="3126" customFormat="false" ht="15" hidden="false" customHeight="false" outlineLevel="0" collapsed="false">
      <c r="A3126" s="3" t="s">
        <v>3516</v>
      </c>
      <c r="B3126" s="3" t="s">
        <v>283</v>
      </c>
      <c r="C3126" s="3" t="s">
        <v>403</v>
      </c>
      <c r="D3126" s="3" t="s">
        <v>692</v>
      </c>
      <c r="E3126" s="3" t="s">
        <v>385</v>
      </c>
      <c r="F3126" s="16" t="n">
        <v>1</v>
      </c>
      <c r="G3126" s="15" t="n">
        <v>0</v>
      </c>
      <c r="H3126" s="16" t="n">
        <v>1</v>
      </c>
      <c r="I3126" s="33" t="n">
        <v>5629.44</v>
      </c>
      <c r="J3126" s="33" t="n">
        <v>5629.44</v>
      </c>
    </row>
    <row r="3127" customFormat="false" ht="15" hidden="false" customHeight="false" outlineLevel="0" collapsed="false">
      <c r="A3127" s="3" t="s">
        <v>3517</v>
      </c>
      <c r="B3127" s="3" t="s">
        <v>283</v>
      </c>
      <c r="C3127" s="3" t="s">
        <v>403</v>
      </c>
      <c r="D3127" s="3" t="s">
        <v>388</v>
      </c>
      <c r="E3127" s="3" t="s">
        <v>385</v>
      </c>
      <c r="F3127" s="16" t="n">
        <v>1</v>
      </c>
      <c r="G3127" s="15" t="n">
        <v>0.1</v>
      </c>
      <c r="H3127" s="16" t="n">
        <v>1</v>
      </c>
      <c r="I3127" s="33" t="n">
        <v>5624.64</v>
      </c>
      <c r="J3127" s="33" t="n">
        <v>6249.6</v>
      </c>
    </row>
    <row r="3128" customFormat="false" ht="15" hidden="false" customHeight="false" outlineLevel="0" collapsed="false">
      <c r="A3128" s="3" t="s">
        <v>3518</v>
      </c>
      <c r="B3128" s="3" t="s">
        <v>283</v>
      </c>
      <c r="C3128" s="3" t="s">
        <v>380</v>
      </c>
      <c r="D3128" s="3" t="s">
        <v>392</v>
      </c>
      <c r="E3128" s="3" t="s">
        <v>398</v>
      </c>
      <c r="F3128" s="16" t="n">
        <v>12</v>
      </c>
      <c r="G3128" s="15" t="n">
        <v>0.15</v>
      </c>
      <c r="H3128" s="16" t="n">
        <v>11</v>
      </c>
      <c r="I3128" s="33" t="n">
        <v>5619.72</v>
      </c>
      <c r="J3128" s="33" t="n">
        <v>6611.4</v>
      </c>
    </row>
    <row r="3129" customFormat="false" ht="15" hidden="false" customHeight="false" outlineLevel="0" collapsed="false">
      <c r="A3129" s="3" t="s">
        <v>3519</v>
      </c>
      <c r="B3129" s="3" t="s">
        <v>283</v>
      </c>
      <c r="C3129" s="3" t="s">
        <v>380</v>
      </c>
      <c r="D3129" s="3" t="s">
        <v>392</v>
      </c>
      <c r="E3129" s="3" t="s">
        <v>382</v>
      </c>
      <c r="F3129" s="16" t="n">
        <v>12</v>
      </c>
      <c r="G3129" s="15" t="n">
        <v>0</v>
      </c>
      <c r="H3129" s="16" t="n">
        <v>1</v>
      </c>
      <c r="I3129" s="33" t="n">
        <v>5612.52</v>
      </c>
      <c r="J3129" s="33" t="n">
        <v>5612.52</v>
      </c>
    </row>
    <row r="3130" customFormat="false" ht="15" hidden="false" customHeight="false" outlineLevel="0" collapsed="false">
      <c r="A3130" s="3" t="s">
        <v>3520</v>
      </c>
      <c r="B3130" s="3" t="s">
        <v>283</v>
      </c>
      <c r="C3130" s="3" t="s">
        <v>396</v>
      </c>
      <c r="D3130" s="3" t="s">
        <v>418</v>
      </c>
      <c r="E3130" s="3" t="s">
        <v>398</v>
      </c>
      <c r="F3130" s="16" t="n">
        <v>1</v>
      </c>
      <c r="G3130" s="15" t="n">
        <v>0.3</v>
      </c>
      <c r="H3130" s="16" t="n">
        <v>1</v>
      </c>
      <c r="I3130" s="33" t="n">
        <v>5610.96</v>
      </c>
      <c r="J3130" s="33" t="n">
        <v>8015.64</v>
      </c>
    </row>
    <row r="3131" customFormat="false" ht="15" hidden="false" customHeight="false" outlineLevel="0" collapsed="false">
      <c r="A3131" s="3" t="s">
        <v>3521</v>
      </c>
      <c r="B3131" s="3" t="s">
        <v>283</v>
      </c>
      <c r="C3131" s="3" t="s">
        <v>387</v>
      </c>
      <c r="D3131" s="3" t="s">
        <v>381</v>
      </c>
      <c r="E3131" s="3" t="s">
        <v>398</v>
      </c>
      <c r="F3131" s="16" t="n">
        <v>1</v>
      </c>
      <c r="G3131" s="15" t="n">
        <v>0</v>
      </c>
      <c r="H3131" s="16" t="n">
        <v>1</v>
      </c>
      <c r="I3131" s="33" t="n">
        <v>5604.36</v>
      </c>
      <c r="J3131" s="33" t="n">
        <v>5604.36</v>
      </c>
    </row>
    <row r="3132" customFormat="false" ht="15" hidden="false" customHeight="false" outlineLevel="0" collapsed="false">
      <c r="A3132" s="3" t="s">
        <v>3522</v>
      </c>
      <c r="B3132" s="3" t="s">
        <v>283</v>
      </c>
      <c r="C3132" s="3" t="s">
        <v>396</v>
      </c>
      <c r="D3132" s="3" t="s">
        <v>392</v>
      </c>
      <c r="E3132" s="3" t="s">
        <v>398</v>
      </c>
      <c r="F3132" s="16" t="n">
        <v>1</v>
      </c>
      <c r="G3132" s="15" t="n">
        <v>0</v>
      </c>
      <c r="H3132" s="16" t="n">
        <v>1</v>
      </c>
      <c r="I3132" s="33" t="n">
        <v>5591.28</v>
      </c>
      <c r="J3132" s="33" t="n">
        <v>5591.28</v>
      </c>
    </row>
    <row r="3133" customFormat="false" ht="15" hidden="false" customHeight="false" outlineLevel="0" collapsed="false">
      <c r="A3133" s="3" t="s">
        <v>3523</v>
      </c>
      <c r="B3133" s="3" t="s">
        <v>283</v>
      </c>
      <c r="C3133" s="3" t="s">
        <v>380</v>
      </c>
      <c r="D3133" s="3" t="s">
        <v>692</v>
      </c>
      <c r="E3133" s="3" t="s">
        <v>385</v>
      </c>
      <c r="F3133" s="16" t="n">
        <v>1</v>
      </c>
      <c r="G3133" s="15" t="n">
        <v>0.3</v>
      </c>
      <c r="H3133" s="16" t="n">
        <v>1</v>
      </c>
      <c r="I3133" s="33" t="n">
        <v>5583.84</v>
      </c>
      <c r="J3133" s="33" t="n">
        <v>7977</v>
      </c>
    </row>
    <row r="3134" customFormat="false" ht="15" hidden="false" customHeight="false" outlineLevel="0" collapsed="false">
      <c r="A3134" s="3" t="s">
        <v>3524</v>
      </c>
      <c r="B3134" s="3" t="s">
        <v>283</v>
      </c>
      <c r="C3134" s="3" t="s">
        <v>405</v>
      </c>
      <c r="D3134" s="3" t="s">
        <v>388</v>
      </c>
      <c r="E3134" s="3" t="s">
        <v>385</v>
      </c>
      <c r="F3134" s="16" t="n">
        <v>12</v>
      </c>
      <c r="G3134" s="15" t="n">
        <v>0</v>
      </c>
      <c r="H3134" s="16" t="n">
        <v>10</v>
      </c>
      <c r="I3134" s="33" t="n">
        <v>5571.36</v>
      </c>
      <c r="J3134" s="33" t="n">
        <v>5571.36</v>
      </c>
    </row>
    <row r="3135" customFormat="false" ht="15" hidden="false" customHeight="false" outlineLevel="0" collapsed="false">
      <c r="A3135" s="3" t="s">
        <v>3525</v>
      </c>
      <c r="B3135" s="3" t="s">
        <v>283</v>
      </c>
      <c r="C3135" s="3" t="s">
        <v>380</v>
      </c>
      <c r="D3135" s="3" t="s">
        <v>381</v>
      </c>
      <c r="E3135" s="3" t="s">
        <v>398</v>
      </c>
      <c r="F3135" s="16" t="n">
        <v>12</v>
      </c>
      <c r="G3135" s="15" t="n">
        <v>0.1</v>
      </c>
      <c r="H3135" s="16" t="n">
        <v>5</v>
      </c>
      <c r="I3135" s="33" t="n">
        <v>5571</v>
      </c>
      <c r="J3135" s="33" t="n">
        <v>6190.08</v>
      </c>
    </row>
    <row r="3136" customFormat="false" ht="15" hidden="false" customHeight="false" outlineLevel="0" collapsed="false">
      <c r="A3136" s="3" t="s">
        <v>3526</v>
      </c>
      <c r="B3136" s="3" t="s">
        <v>283</v>
      </c>
      <c r="C3136" s="3" t="s">
        <v>405</v>
      </c>
      <c r="D3136" s="3" t="s">
        <v>418</v>
      </c>
      <c r="E3136" s="3" t="s">
        <v>398</v>
      </c>
      <c r="F3136" s="16" t="n">
        <v>12</v>
      </c>
      <c r="G3136" s="15" t="n">
        <v>0</v>
      </c>
      <c r="H3136" s="16" t="n">
        <v>5</v>
      </c>
      <c r="I3136" s="33" t="n">
        <v>5569.44</v>
      </c>
      <c r="J3136" s="33" t="n">
        <v>5569.44</v>
      </c>
    </row>
    <row r="3137" customFormat="false" ht="15" hidden="false" customHeight="false" outlineLevel="0" collapsed="false">
      <c r="A3137" s="3" t="s">
        <v>3527</v>
      </c>
      <c r="B3137" s="3" t="s">
        <v>283</v>
      </c>
      <c r="C3137" s="3" t="s">
        <v>401</v>
      </c>
      <c r="D3137" s="3" t="s">
        <v>392</v>
      </c>
      <c r="E3137" s="3" t="s">
        <v>398</v>
      </c>
      <c r="F3137" s="16" t="n">
        <v>1</v>
      </c>
      <c r="G3137" s="15" t="n">
        <v>0</v>
      </c>
      <c r="H3137" s="16" t="n">
        <v>1</v>
      </c>
      <c r="I3137" s="33" t="n">
        <v>5564.16</v>
      </c>
      <c r="J3137" s="33" t="n">
        <v>5564.16</v>
      </c>
    </row>
    <row r="3138" customFormat="false" ht="15" hidden="false" customHeight="false" outlineLevel="0" collapsed="false">
      <c r="A3138" s="3" t="s">
        <v>3528</v>
      </c>
      <c r="B3138" s="3" t="s">
        <v>283</v>
      </c>
      <c r="C3138" s="3" t="s">
        <v>401</v>
      </c>
      <c r="D3138" s="3" t="s">
        <v>418</v>
      </c>
      <c r="E3138" s="3" t="s">
        <v>385</v>
      </c>
      <c r="F3138" s="16" t="n">
        <v>12</v>
      </c>
      <c r="G3138" s="15" t="n">
        <v>0</v>
      </c>
      <c r="H3138" s="16" t="n">
        <v>8</v>
      </c>
      <c r="I3138" s="33" t="n">
        <v>5540.76</v>
      </c>
      <c r="J3138" s="33" t="n">
        <v>5540.76</v>
      </c>
    </row>
    <row r="3139" customFormat="false" ht="15" hidden="false" customHeight="false" outlineLevel="0" collapsed="false">
      <c r="A3139" s="3" t="s">
        <v>3529</v>
      </c>
      <c r="B3139" s="3" t="s">
        <v>283</v>
      </c>
      <c r="C3139" s="3" t="s">
        <v>396</v>
      </c>
      <c r="D3139" s="3" t="s">
        <v>692</v>
      </c>
      <c r="E3139" s="3" t="s">
        <v>398</v>
      </c>
      <c r="F3139" s="16" t="n">
        <v>12</v>
      </c>
      <c r="G3139" s="15" t="n">
        <v>0.2</v>
      </c>
      <c r="H3139" s="16" t="n">
        <v>8</v>
      </c>
      <c r="I3139" s="33" t="n">
        <v>5515.92</v>
      </c>
      <c r="J3139" s="33" t="n">
        <v>6894.84</v>
      </c>
    </row>
    <row r="3140" customFormat="false" ht="15" hidden="false" customHeight="false" outlineLevel="0" collapsed="false">
      <c r="A3140" s="3" t="s">
        <v>3530</v>
      </c>
      <c r="B3140" s="3" t="s">
        <v>283</v>
      </c>
      <c r="C3140" s="3" t="s">
        <v>401</v>
      </c>
      <c r="D3140" s="3" t="s">
        <v>392</v>
      </c>
      <c r="E3140" s="3" t="s">
        <v>382</v>
      </c>
      <c r="F3140" s="16" t="n">
        <v>1</v>
      </c>
      <c r="G3140" s="15" t="n">
        <v>0</v>
      </c>
      <c r="H3140" s="16" t="n">
        <v>1</v>
      </c>
      <c r="I3140" s="33" t="n">
        <v>5512.32</v>
      </c>
      <c r="J3140" s="33" t="n">
        <v>5512.32</v>
      </c>
    </row>
    <row r="3141" customFormat="false" ht="15" hidden="false" customHeight="false" outlineLevel="0" collapsed="false">
      <c r="A3141" s="3" t="s">
        <v>3531</v>
      </c>
      <c r="B3141" s="3" t="s">
        <v>283</v>
      </c>
      <c r="C3141" s="3" t="s">
        <v>403</v>
      </c>
      <c r="D3141" s="3" t="s">
        <v>392</v>
      </c>
      <c r="E3141" s="3" t="s">
        <v>398</v>
      </c>
      <c r="F3141" s="16" t="n">
        <v>12</v>
      </c>
      <c r="G3141" s="15" t="n">
        <v>0</v>
      </c>
      <c r="H3141" s="16" t="n">
        <v>7</v>
      </c>
      <c r="I3141" s="33" t="n">
        <v>5508.96</v>
      </c>
      <c r="J3141" s="33" t="n">
        <v>5508.96</v>
      </c>
    </row>
    <row r="3142" customFormat="false" ht="15" hidden="false" customHeight="false" outlineLevel="0" collapsed="false">
      <c r="A3142" s="3" t="s">
        <v>3532</v>
      </c>
      <c r="B3142" s="3" t="s">
        <v>283</v>
      </c>
      <c r="C3142" s="3" t="s">
        <v>401</v>
      </c>
      <c r="D3142" s="3" t="s">
        <v>418</v>
      </c>
      <c r="E3142" s="3" t="s">
        <v>398</v>
      </c>
      <c r="F3142" s="16" t="n">
        <v>12</v>
      </c>
      <c r="G3142" s="15" t="n">
        <v>0</v>
      </c>
      <c r="H3142" s="16" t="n">
        <v>10</v>
      </c>
      <c r="I3142" s="33" t="n">
        <v>5504.16</v>
      </c>
      <c r="J3142" s="33" t="n">
        <v>5504.16</v>
      </c>
    </row>
    <row r="3143" customFormat="false" ht="15" hidden="false" customHeight="false" outlineLevel="0" collapsed="false">
      <c r="A3143" s="3" t="s">
        <v>3533</v>
      </c>
      <c r="B3143" s="3" t="s">
        <v>283</v>
      </c>
      <c r="C3143" s="3" t="s">
        <v>384</v>
      </c>
      <c r="D3143" s="3" t="s">
        <v>692</v>
      </c>
      <c r="E3143" s="3" t="s">
        <v>398</v>
      </c>
      <c r="F3143" s="16" t="n">
        <v>1</v>
      </c>
      <c r="G3143" s="15" t="n">
        <v>0</v>
      </c>
      <c r="H3143" s="16" t="n">
        <v>1</v>
      </c>
      <c r="I3143" s="33" t="n">
        <v>5490.96</v>
      </c>
      <c r="J3143" s="33" t="n">
        <v>5490.96</v>
      </c>
    </row>
    <row r="3144" customFormat="false" ht="15" hidden="false" customHeight="false" outlineLevel="0" collapsed="false">
      <c r="A3144" s="3" t="s">
        <v>3534</v>
      </c>
      <c r="B3144" s="3" t="s">
        <v>283</v>
      </c>
      <c r="C3144" s="3" t="s">
        <v>387</v>
      </c>
      <c r="D3144" s="3" t="s">
        <v>388</v>
      </c>
      <c r="E3144" s="3" t="s">
        <v>398</v>
      </c>
      <c r="F3144" s="16" t="n">
        <v>12</v>
      </c>
      <c r="G3144" s="15" t="n">
        <v>0</v>
      </c>
      <c r="H3144" s="16" t="n">
        <v>3</v>
      </c>
      <c r="I3144" s="33" t="n">
        <v>5481.6</v>
      </c>
      <c r="J3144" s="33" t="n">
        <v>5481.6</v>
      </c>
    </row>
    <row r="3145" customFormat="false" ht="15" hidden="false" customHeight="false" outlineLevel="0" collapsed="false">
      <c r="A3145" s="3" t="s">
        <v>3535</v>
      </c>
      <c r="B3145" s="3" t="s">
        <v>283</v>
      </c>
      <c r="C3145" s="3" t="s">
        <v>405</v>
      </c>
      <c r="D3145" s="3" t="s">
        <v>692</v>
      </c>
      <c r="E3145" s="3" t="s">
        <v>398</v>
      </c>
      <c r="F3145" s="16" t="n">
        <v>1</v>
      </c>
      <c r="G3145" s="15" t="n">
        <v>0</v>
      </c>
      <c r="H3145" s="16" t="n">
        <v>1</v>
      </c>
      <c r="I3145" s="33" t="n">
        <v>5478.24</v>
      </c>
      <c r="J3145" s="33" t="n">
        <v>5478.24</v>
      </c>
    </row>
    <row r="3146" customFormat="false" ht="15" hidden="false" customHeight="false" outlineLevel="0" collapsed="false">
      <c r="A3146" s="3" t="s">
        <v>3536</v>
      </c>
      <c r="B3146" s="3" t="s">
        <v>283</v>
      </c>
      <c r="C3146" s="3" t="s">
        <v>403</v>
      </c>
      <c r="D3146" s="3" t="s">
        <v>418</v>
      </c>
      <c r="E3146" s="3" t="s">
        <v>382</v>
      </c>
      <c r="F3146" s="16" t="n">
        <v>1</v>
      </c>
      <c r="G3146" s="15" t="n">
        <v>0</v>
      </c>
      <c r="H3146" s="16" t="n">
        <v>1</v>
      </c>
      <c r="I3146" s="33" t="n">
        <v>5477.88</v>
      </c>
      <c r="J3146" s="33" t="n">
        <v>5477.88</v>
      </c>
    </row>
    <row r="3147" customFormat="false" ht="15" hidden="false" customHeight="false" outlineLevel="0" collapsed="false">
      <c r="A3147" s="3" t="s">
        <v>3537</v>
      </c>
      <c r="B3147" s="3" t="s">
        <v>283</v>
      </c>
      <c r="C3147" s="3" t="s">
        <v>387</v>
      </c>
      <c r="D3147" s="3" t="s">
        <v>418</v>
      </c>
      <c r="E3147" s="3" t="s">
        <v>398</v>
      </c>
      <c r="F3147" s="16" t="n">
        <v>12</v>
      </c>
      <c r="G3147" s="15" t="n">
        <v>0.1</v>
      </c>
      <c r="H3147" s="16" t="n">
        <v>3</v>
      </c>
      <c r="I3147" s="33" t="n">
        <v>5468.88</v>
      </c>
      <c r="J3147" s="33" t="n">
        <v>6076.56</v>
      </c>
    </row>
    <row r="3148" customFormat="false" ht="15" hidden="false" customHeight="false" outlineLevel="0" collapsed="false">
      <c r="A3148" s="3" t="s">
        <v>3538</v>
      </c>
      <c r="B3148" s="3" t="s">
        <v>283</v>
      </c>
      <c r="C3148" s="3" t="s">
        <v>384</v>
      </c>
      <c r="D3148" s="3" t="s">
        <v>392</v>
      </c>
      <c r="E3148" s="3" t="s">
        <v>385</v>
      </c>
      <c r="F3148" s="16" t="n">
        <v>1</v>
      </c>
      <c r="G3148" s="15" t="n">
        <v>0</v>
      </c>
      <c r="H3148" s="16" t="n">
        <v>1</v>
      </c>
      <c r="I3148" s="33" t="n">
        <v>5467.32</v>
      </c>
      <c r="J3148" s="33" t="n">
        <v>5467.32</v>
      </c>
    </row>
    <row r="3149" customFormat="false" ht="15" hidden="false" customHeight="false" outlineLevel="0" collapsed="false">
      <c r="A3149" s="3" t="s">
        <v>3539</v>
      </c>
      <c r="B3149" s="3" t="s">
        <v>283</v>
      </c>
      <c r="C3149" s="3" t="s">
        <v>401</v>
      </c>
      <c r="D3149" s="3" t="s">
        <v>418</v>
      </c>
      <c r="E3149" s="3" t="s">
        <v>398</v>
      </c>
      <c r="F3149" s="16" t="n">
        <v>1</v>
      </c>
      <c r="G3149" s="15" t="n">
        <v>0.1</v>
      </c>
      <c r="H3149" s="16" t="n">
        <v>1</v>
      </c>
      <c r="I3149" s="33" t="n">
        <v>5467.2</v>
      </c>
      <c r="J3149" s="33" t="n">
        <v>6074.64</v>
      </c>
    </row>
    <row r="3150" customFormat="false" ht="15" hidden="false" customHeight="false" outlineLevel="0" collapsed="false">
      <c r="A3150" s="3" t="s">
        <v>3540</v>
      </c>
      <c r="B3150" s="3" t="s">
        <v>283</v>
      </c>
      <c r="C3150" s="3" t="s">
        <v>387</v>
      </c>
      <c r="D3150" s="3" t="s">
        <v>381</v>
      </c>
      <c r="E3150" s="3" t="s">
        <v>382</v>
      </c>
      <c r="F3150" s="16" t="n">
        <v>12</v>
      </c>
      <c r="G3150" s="15" t="n">
        <v>0.05</v>
      </c>
      <c r="H3150" s="16" t="n">
        <v>11</v>
      </c>
      <c r="I3150" s="33" t="n">
        <v>5463.36</v>
      </c>
      <c r="J3150" s="33" t="n">
        <v>5750.88</v>
      </c>
    </row>
    <row r="3151" customFormat="false" ht="15" hidden="false" customHeight="false" outlineLevel="0" collapsed="false">
      <c r="A3151" s="3" t="s">
        <v>3541</v>
      </c>
      <c r="B3151" s="3" t="s">
        <v>283</v>
      </c>
      <c r="C3151" s="3" t="s">
        <v>387</v>
      </c>
      <c r="D3151" s="3" t="s">
        <v>692</v>
      </c>
      <c r="E3151" s="3" t="s">
        <v>398</v>
      </c>
      <c r="F3151" s="16" t="n">
        <v>1</v>
      </c>
      <c r="G3151" s="15" t="n">
        <v>0</v>
      </c>
      <c r="H3151" s="16" t="n">
        <v>1</v>
      </c>
      <c r="I3151" s="33" t="n">
        <v>5457.96</v>
      </c>
      <c r="J3151" s="33" t="n">
        <v>5457.96</v>
      </c>
    </row>
    <row r="3152" customFormat="false" ht="15" hidden="false" customHeight="false" outlineLevel="0" collapsed="false">
      <c r="A3152" s="3" t="s">
        <v>3542</v>
      </c>
      <c r="B3152" s="3" t="s">
        <v>283</v>
      </c>
      <c r="C3152" s="3" t="s">
        <v>396</v>
      </c>
      <c r="D3152" s="3" t="s">
        <v>392</v>
      </c>
      <c r="E3152" s="3" t="s">
        <v>398</v>
      </c>
      <c r="F3152" s="16" t="n">
        <v>12</v>
      </c>
      <c r="G3152" s="15" t="n">
        <v>0</v>
      </c>
      <c r="H3152" s="16" t="n">
        <v>4</v>
      </c>
      <c r="I3152" s="33" t="n">
        <v>5445.48</v>
      </c>
      <c r="J3152" s="33" t="n">
        <v>5445.48</v>
      </c>
    </row>
    <row r="3153" customFormat="false" ht="15" hidden="false" customHeight="false" outlineLevel="0" collapsed="false">
      <c r="A3153" s="3" t="s">
        <v>3543</v>
      </c>
      <c r="B3153" s="3" t="s">
        <v>283</v>
      </c>
      <c r="C3153" s="3" t="s">
        <v>396</v>
      </c>
      <c r="D3153" s="3" t="s">
        <v>692</v>
      </c>
      <c r="E3153" s="3" t="s">
        <v>398</v>
      </c>
      <c r="F3153" s="16" t="n">
        <v>1</v>
      </c>
      <c r="G3153" s="15" t="n">
        <v>0.1</v>
      </c>
      <c r="H3153" s="16" t="n">
        <v>1</v>
      </c>
      <c r="I3153" s="33" t="n">
        <v>5437.56</v>
      </c>
      <c r="J3153" s="33" t="n">
        <v>6041.76</v>
      </c>
    </row>
    <row r="3154" customFormat="false" ht="15" hidden="false" customHeight="false" outlineLevel="0" collapsed="false">
      <c r="A3154" s="3" t="s">
        <v>3544</v>
      </c>
      <c r="B3154" s="3" t="s">
        <v>283</v>
      </c>
      <c r="C3154" s="3" t="s">
        <v>384</v>
      </c>
      <c r="D3154" s="3" t="s">
        <v>381</v>
      </c>
      <c r="E3154" s="3" t="s">
        <v>398</v>
      </c>
      <c r="F3154" s="16" t="n">
        <v>1</v>
      </c>
      <c r="G3154" s="15" t="n">
        <v>0</v>
      </c>
      <c r="H3154" s="16" t="n">
        <v>1</v>
      </c>
      <c r="I3154" s="33" t="n">
        <v>5434.2</v>
      </c>
      <c r="J3154" s="33" t="n">
        <v>5434.2</v>
      </c>
    </row>
    <row r="3155" customFormat="false" ht="15" hidden="false" customHeight="false" outlineLevel="0" collapsed="false">
      <c r="A3155" s="3" t="s">
        <v>3545</v>
      </c>
      <c r="B3155" s="3" t="s">
        <v>283</v>
      </c>
      <c r="C3155" s="3" t="s">
        <v>405</v>
      </c>
      <c r="D3155" s="3" t="s">
        <v>692</v>
      </c>
      <c r="E3155" s="3" t="s">
        <v>398</v>
      </c>
      <c r="F3155" s="16" t="n">
        <v>12</v>
      </c>
      <c r="G3155" s="15" t="n">
        <v>0.4</v>
      </c>
      <c r="H3155" s="16" t="n">
        <v>12</v>
      </c>
      <c r="I3155" s="33" t="n">
        <v>5425.8</v>
      </c>
      <c r="J3155" s="33" t="n">
        <v>9043.08</v>
      </c>
    </row>
    <row r="3156" customFormat="false" ht="15" hidden="false" customHeight="false" outlineLevel="0" collapsed="false">
      <c r="A3156" s="3" t="s">
        <v>3546</v>
      </c>
      <c r="B3156" s="3" t="s">
        <v>283</v>
      </c>
      <c r="C3156" s="3" t="s">
        <v>396</v>
      </c>
      <c r="D3156" s="3" t="s">
        <v>392</v>
      </c>
      <c r="E3156" s="3" t="s">
        <v>398</v>
      </c>
      <c r="F3156" s="16" t="n">
        <v>1</v>
      </c>
      <c r="G3156" s="15" t="n">
        <v>0</v>
      </c>
      <c r="H3156" s="16" t="n">
        <v>1</v>
      </c>
      <c r="I3156" s="33" t="n">
        <v>5420.4</v>
      </c>
      <c r="J3156" s="33" t="n">
        <v>5420.4</v>
      </c>
    </row>
    <row r="3157" customFormat="false" ht="15" hidden="false" customHeight="false" outlineLevel="0" collapsed="false">
      <c r="A3157" s="3" t="s">
        <v>3547</v>
      </c>
      <c r="B3157" s="3" t="s">
        <v>283</v>
      </c>
      <c r="C3157" s="3" t="s">
        <v>387</v>
      </c>
      <c r="D3157" s="3" t="s">
        <v>418</v>
      </c>
      <c r="E3157" s="3" t="s">
        <v>398</v>
      </c>
      <c r="F3157" s="16" t="n">
        <v>12</v>
      </c>
      <c r="G3157" s="15" t="n">
        <v>0</v>
      </c>
      <c r="H3157" s="16" t="n">
        <v>10</v>
      </c>
      <c r="I3157" s="33" t="n">
        <v>5407.2</v>
      </c>
      <c r="J3157" s="33" t="n">
        <v>5407.2</v>
      </c>
    </row>
    <row r="3158" customFormat="false" ht="15" hidden="false" customHeight="false" outlineLevel="0" collapsed="false">
      <c r="A3158" s="3" t="s">
        <v>3548</v>
      </c>
      <c r="B3158" s="3" t="s">
        <v>283</v>
      </c>
      <c r="C3158" s="3" t="s">
        <v>384</v>
      </c>
      <c r="D3158" s="3" t="s">
        <v>388</v>
      </c>
      <c r="E3158" s="3" t="s">
        <v>382</v>
      </c>
      <c r="F3158" s="16" t="n">
        <v>1</v>
      </c>
      <c r="G3158" s="15" t="n">
        <v>0.1</v>
      </c>
      <c r="H3158" s="16" t="n">
        <v>1</v>
      </c>
      <c r="I3158" s="33" t="n">
        <v>5405.16</v>
      </c>
      <c r="J3158" s="33" t="n">
        <v>6005.76</v>
      </c>
    </row>
    <row r="3159" customFormat="false" ht="15" hidden="false" customHeight="false" outlineLevel="0" collapsed="false">
      <c r="A3159" s="3" t="s">
        <v>3549</v>
      </c>
      <c r="B3159" s="3" t="s">
        <v>283</v>
      </c>
      <c r="C3159" s="3" t="s">
        <v>384</v>
      </c>
      <c r="D3159" s="3" t="s">
        <v>388</v>
      </c>
      <c r="E3159" s="3" t="s">
        <v>385</v>
      </c>
      <c r="F3159" s="16" t="n">
        <v>1</v>
      </c>
      <c r="G3159" s="15" t="n">
        <v>0.1</v>
      </c>
      <c r="H3159" s="16" t="n">
        <v>1</v>
      </c>
      <c r="I3159" s="33" t="n">
        <v>5404.08</v>
      </c>
      <c r="J3159" s="33" t="n">
        <v>6004.56</v>
      </c>
    </row>
    <row r="3160" customFormat="false" ht="15" hidden="false" customHeight="false" outlineLevel="0" collapsed="false">
      <c r="A3160" s="3" t="s">
        <v>3550</v>
      </c>
      <c r="B3160" s="3" t="s">
        <v>283</v>
      </c>
      <c r="C3160" s="3" t="s">
        <v>384</v>
      </c>
      <c r="D3160" s="3" t="s">
        <v>418</v>
      </c>
      <c r="E3160" s="3" t="s">
        <v>385</v>
      </c>
      <c r="F3160" s="16" t="n">
        <v>1</v>
      </c>
      <c r="G3160" s="15" t="n">
        <v>0</v>
      </c>
      <c r="H3160" s="16" t="n">
        <v>1</v>
      </c>
      <c r="I3160" s="33" t="n">
        <v>5397.24</v>
      </c>
      <c r="J3160" s="33" t="n">
        <v>5397.24</v>
      </c>
    </row>
    <row r="3161" customFormat="false" ht="15" hidden="false" customHeight="false" outlineLevel="0" collapsed="false">
      <c r="A3161" s="3" t="s">
        <v>3551</v>
      </c>
      <c r="B3161" s="3" t="s">
        <v>283</v>
      </c>
      <c r="C3161" s="3" t="s">
        <v>401</v>
      </c>
      <c r="D3161" s="3" t="s">
        <v>392</v>
      </c>
      <c r="E3161" s="3" t="s">
        <v>385</v>
      </c>
      <c r="F3161" s="16" t="n">
        <v>1</v>
      </c>
      <c r="G3161" s="15" t="n">
        <v>0</v>
      </c>
      <c r="H3161" s="16" t="n">
        <v>1</v>
      </c>
      <c r="I3161" s="33" t="n">
        <v>5391.36</v>
      </c>
      <c r="J3161" s="33" t="n">
        <v>5391.36</v>
      </c>
    </row>
    <row r="3162" customFormat="false" ht="15" hidden="false" customHeight="false" outlineLevel="0" collapsed="false">
      <c r="A3162" s="3" t="s">
        <v>3552</v>
      </c>
      <c r="B3162" s="3" t="s">
        <v>283</v>
      </c>
      <c r="C3162" s="3" t="s">
        <v>403</v>
      </c>
      <c r="D3162" s="3" t="s">
        <v>418</v>
      </c>
      <c r="E3162" s="3" t="s">
        <v>398</v>
      </c>
      <c r="F3162" s="16" t="n">
        <v>1</v>
      </c>
      <c r="G3162" s="15" t="n">
        <v>0</v>
      </c>
      <c r="H3162" s="16" t="n">
        <v>1</v>
      </c>
      <c r="I3162" s="33" t="n">
        <v>5385.48</v>
      </c>
      <c r="J3162" s="33" t="n">
        <v>5385.48</v>
      </c>
    </row>
    <row r="3163" customFormat="false" ht="15" hidden="false" customHeight="false" outlineLevel="0" collapsed="false">
      <c r="A3163" s="3" t="s">
        <v>3553</v>
      </c>
      <c r="B3163" s="3" t="s">
        <v>283</v>
      </c>
      <c r="C3163" s="3" t="s">
        <v>403</v>
      </c>
      <c r="D3163" s="3" t="s">
        <v>392</v>
      </c>
      <c r="E3163" s="3" t="s">
        <v>398</v>
      </c>
      <c r="F3163" s="16" t="n">
        <v>1</v>
      </c>
      <c r="G3163" s="15" t="n">
        <v>0</v>
      </c>
      <c r="H3163" s="16" t="n">
        <v>1</v>
      </c>
      <c r="I3163" s="33" t="n">
        <v>5385.12</v>
      </c>
      <c r="J3163" s="33" t="n">
        <v>5385.12</v>
      </c>
    </row>
    <row r="3164" customFormat="false" ht="15" hidden="false" customHeight="false" outlineLevel="0" collapsed="false">
      <c r="A3164" s="3" t="s">
        <v>3554</v>
      </c>
      <c r="B3164" s="3" t="s">
        <v>283</v>
      </c>
      <c r="C3164" s="3" t="s">
        <v>387</v>
      </c>
      <c r="D3164" s="3" t="s">
        <v>392</v>
      </c>
      <c r="E3164" s="3" t="s">
        <v>398</v>
      </c>
      <c r="F3164" s="16" t="n">
        <v>1</v>
      </c>
      <c r="G3164" s="15" t="n">
        <v>0</v>
      </c>
      <c r="H3164" s="16" t="n">
        <v>1</v>
      </c>
      <c r="I3164" s="33" t="n">
        <v>5374.56</v>
      </c>
      <c r="J3164" s="33" t="n">
        <v>5374.56</v>
      </c>
    </row>
    <row r="3165" customFormat="false" ht="15" hidden="false" customHeight="false" outlineLevel="0" collapsed="false">
      <c r="A3165" s="3" t="s">
        <v>3555</v>
      </c>
      <c r="B3165" s="3" t="s">
        <v>283</v>
      </c>
      <c r="C3165" s="3" t="s">
        <v>380</v>
      </c>
      <c r="D3165" s="3" t="s">
        <v>418</v>
      </c>
      <c r="E3165" s="3" t="s">
        <v>382</v>
      </c>
      <c r="F3165" s="16" t="n">
        <v>12</v>
      </c>
      <c r="G3165" s="15" t="n">
        <v>0</v>
      </c>
      <c r="H3165" s="16" t="n">
        <v>8</v>
      </c>
      <c r="I3165" s="33" t="n">
        <v>5361.96</v>
      </c>
      <c r="J3165" s="33" t="n">
        <v>5361.96</v>
      </c>
    </row>
    <row r="3166" customFormat="false" ht="15" hidden="false" customHeight="false" outlineLevel="0" collapsed="false">
      <c r="A3166" s="3" t="s">
        <v>3556</v>
      </c>
      <c r="B3166" s="3" t="s">
        <v>283</v>
      </c>
      <c r="C3166" s="3" t="s">
        <v>396</v>
      </c>
      <c r="D3166" s="3" t="s">
        <v>692</v>
      </c>
      <c r="E3166" s="3" t="s">
        <v>385</v>
      </c>
      <c r="F3166" s="16" t="n">
        <v>1</v>
      </c>
      <c r="G3166" s="15" t="n">
        <v>0.1</v>
      </c>
      <c r="H3166" s="16" t="n">
        <v>1</v>
      </c>
      <c r="I3166" s="33" t="n">
        <v>5357.88</v>
      </c>
      <c r="J3166" s="33" t="n">
        <v>5953.2</v>
      </c>
    </row>
    <row r="3167" customFormat="false" ht="15" hidden="false" customHeight="false" outlineLevel="0" collapsed="false">
      <c r="A3167" s="3" t="s">
        <v>3557</v>
      </c>
      <c r="B3167" s="3" t="s">
        <v>283</v>
      </c>
      <c r="C3167" s="3" t="s">
        <v>405</v>
      </c>
      <c r="D3167" s="3" t="s">
        <v>692</v>
      </c>
      <c r="E3167" s="3" t="s">
        <v>382</v>
      </c>
      <c r="F3167" s="16" t="n">
        <v>1</v>
      </c>
      <c r="G3167" s="15" t="n">
        <v>0</v>
      </c>
      <c r="H3167" s="16" t="n">
        <v>1</v>
      </c>
      <c r="I3167" s="33" t="n">
        <v>5355.96</v>
      </c>
      <c r="J3167" s="33" t="n">
        <v>5355.96</v>
      </c>
    </row>
    <row r="3168" customFormat="false" ht="15" hidden="false" customHeight="false" outlineLevel="0" collapsed="false">
      <c r="A3168" s="3" t="s">
        <v>3558</v>
      </c>
      <c r="B3168" s="3" t="s">
        <v>283</v>
      </c>
      <c r="C3168" s="3" t="s">
        <v>396</v>
      </c>
      <c r="D3168" s="3" t="s">
        <v>381</v>
      </c>
      <c r="E3168" s="3" t="s">
        <v>382</v>
      </c>
      <c r="F3168" s="16" t="n">
        <v>12</v>
      </c>
      <c r="G3168" s="15" t="n">
        <v>0</v>
      </c>
      <c r="H3168" s="16" t="n">
        <v>4</v>
      </c>
      <c r="I3168" s="33" t="n">
        <v>5351.88</v>
      </c>
      <c r="J3168" s="33" t="n">
        <v>5351.88</v>
      </c>
    </row>
    <row r="3169" customFormat="false" ht="15" hidden="false" customHeight="false" outlineLevel="0" collapsed="false">
      <c r="A3169" s="3" t="s">
        <v>3559</v>
      </c>
      <c r="B3169" s="3" t="s">
        <v>283</v>
      </c>
      <c r="C3169" s="3" t="s">
        <v>405</v>
      </c>
      <c r="D3169" s="3" t="s">
        <v>692</v>
      </c>
      <c r="E3169" s="3" t="s">
        <v>398</v>
      </c>
      <c r="F3169" s="16" t="n">
        <v>12</v>
      </c>
      <c r="G3169" s="15" t="n">
        <v>0.1</v>
      </c>
      <c r="H3169" s="16" t="n">
        <v>8</v>
      </c>
      <c r="I3169" s="33" t="n">
        <v>5341.32</v>
      </c>
      <c r="J3169" s="33" t="n">
        <v>5934.84</v>
      </c>
    </row>
    <row r="3170" customFormat="false" ht="15" hidden="false" customHeight="false" outlineLevel="0" collapsed="false">
      <c r="A3170" s="3" t="s">
        <v>3560</v>
      </c>
      <c r="B3170" s="3" t="s">
        <v>283</v>
      </c>
      <c r="C3170" s="3" t="s">
        <v>405</v>
      </c>
      <c r="D3170" s="3" t="s">
        <v>388</v>
      </c>
      <c r="E3170" s="3" t="s">
        <v>398</v>
      </c>
      <c r="F3170" s="16" t="n">
        <v>12</v>
      </c>
      <c r="G3170" s="15" t="n">
        <v>0</v>
      </c>
      <c r="H3170" s="16" t="n">
        <v>10</v>
      </c>
      <c r="I3170" s="33" t="n">
        <v>5338.92</v>
      </c>
      <c r="J3170" s="33" t="n">
        <v>5338.92</v>
      </c>
    </row>
    <row r="3171" customFormat="false" ht="15" hidden="false" customHeight="false" outlineLevel="0" collapsed="false">
      <c r="A3171" s="3" t="s">
        <v>3561</v>
      </c>
      <c r="B3171" s="3" t="s">
        <v>283</v>
      </c>
      <c r="C3171" s="3" t="s">
        <v>387</v>
      </c>
      <c r="D3171" s="3" t="s">
        <v>418</v>
      </c>
      <c r="E3171" s="3" t="s">
        <v>385</v>
      </c>
      <c r="F3171" s="16" t="n">
        <v>12</v>
      </c>
      <c r="G3171" s="15" t="n">
        <v>0.2</v>
      </c>
      <c r="H3171" s="16" t="n">
        <v>3</v>
      </c>
      <c r="I3171" s="33" t="n">
        <v>5338.32</v>
      </c>
      <c r="J3171" s="33" t="n">
        <v>6672.96</v>
      </c>
    </row>
    <row r="3172" customFormat="false" ht="15" hidden="false" customHeight="false" outlineLevel="0" collapsed="false">
      <c r="A3172" s="3" t="s">
        <v>3562</v>
      </c>
      <c r="B3172" s="3" t="s">
        <v>283</v>
      </c>
      <c r="C3172" s="3" t="s">
        <v>403</v>
      </c>
      <c r="D3172" s="3" t="s">
        <v>692</v>
      </c>
      <c r="E3172" s="3" t="s">
        <v>398</v>
      </c>
      <c r="F3172" s="16" t="n">
        <v>12</v>
      </c>
      <c r="G3172" s="15" t="n">
        <v>0</v>
      </c>
      <c r="H3172" s="16" t="n">
        <v>1</v>
      </c>
      <c r="I3172" s="33" t="n">
        <v>5335.8</v>
      </c>
      <c r="J3172" s="33" t="n">
        <v>5335.8</v>
      </c>
    </row>
    <row r="3173" customFormat="false" ht="15" hidden="false" customHeight="false" outlineLevel="0" collapsed="false">
      <c r="A3173" s="3" t="s">
        <v>3563</v>
      </c>
      <c r="B3173" s="3" t="s">
        <v>283</v>
      </c>
      <c r="C3173" s="3" t="s">
        <v>401</v>
      </c>
      <c r="D3173" s="3" t="s">
        <v>692</v>
      </c>
      <c r="E3173" s="3" t="s">
        <v>385</v>
      </c>
      <c r="F3173" s="16" t="n">
        <v>1</v>
      </c>
      <c r="G3173" s="15" t="n">
        <v>0</v>
      </c>
      <c r="H3173" s="16" t="n">
        <v>1</v>
      </c>
      <c r="I3173" s="33" t="n">
        <v>5334.6</v>
      </c>
      <c r="J3173" s="33" t="n">
        <v>5334.6</v>
      </c>
    </row>
    <row r="3174" customFormat="false" ht="15" hidden="false" customHeight="false" outlineLevel="0" collapsed="false">
      <c r="A3174" s="3" t="s">
        <v>3564</v>
      </c>
      <c r="B3174" s="3" t="s">
        <v>283</v>
      </c>
      <c r="C3174" s="3" t="s">
        <v>401</v>
      </c>
      <c r="D3174" s="3" t="s">
        <v>392</v>
      </c>
      <c r="E3174" s="3" t="s">
        <v>385</v>
      </c>
      <c r="F3174" s="16" t="n">
        <v>12</v>
      </c>
      <c r="G3174" s="15" t="n">
        <v>0</v>
      </c>
      <c r="H3174" s="16" t="n">
        <v>10</v>
      </c>
      <c r="I3174" s="33" t="n">
        <v>5333.64</v>
      </c>
      <c r="J3174" s="33" t="n">
        <v>5333.64</v>
      </c>
    </row>
    <row r="3175" customFormat="false" ht="15" hidden="false" customHeight="false" outlineLevel="0" collapsed="false">
      <c r="A3175" s="3" t="s">
        <v>3565</v>
      </c>
      <c r="B3175" s="3" t="s">
        <v>283</v>
      </c>
      <c r="C3175" s="3" t="s">
        <v>401</v>
      </c>
      <c r="D3175" s="3" t="s">
        <v>381</v>
      </c>
      <c r="E3175" s="3" t="s">
        <v>398</v>
      </c>
      <c r="F3175" s="16" t="n">
        <v>12</v>
      </c>
      <c r="G3175" s="15" t="n">
        <v>0.25</v>
      </c>
      <c r="H3175" s="16" t="n">
        <v>10</v>
      </c>
      <c r="I3175" s="33" t="n">
        <v>5329.92</v>
      </c>
      <c r="J3175" s="33" t="n">
        <v>7106.52</v>
      </c>
    </row>
    <row r="3176" customFormat="false" ht="15" hidden="false" customHeight="false" outlineLevel="0" collapsed="false">
      <c r="A3176" s="3" t="s">
        <v>3566</v>
      </c>
      <c r="B3176" s="3" t="s">
        <v>283</v>
      </c>
      <c r="C3176" s="3" t="s">
        <v>387</v>
      </c>
      <c r="D3176" s="3" t="s">
        <v>692</v>
      </c>
      <c r="E3176" s="3" t="s">
        <v>398</v>
      </c>
      <c r="F3176" s="16" t="n">
        <v>1</v>
      </c>
      <c r="G3176" s="15" t="n">
        <v>0</v>
      </c>
      <c r="H3176" s="16" t="n">
        <v>1</v>
      </c>
      <c r="I3176" s="33" t="n">
        <v>5325.72</v>
      </c>
      <c r="J3176" s="33" t="n">
        <v>5325.72</v>
      </c>
    </row>
    <row r="3177" customFormat="false" ht="15" hidden="false" customHeight="false" outlineLevel="0" collapsed="false">
      <c r="A3177" s="3" t="s">
        <v>3567</v>
      </c>
      <c r="B3177" s="3" t="s">
        <v>283</v>
      </c>
      <c r="C3177" s="3" t="s">
        <v>387</v>
      </c>
      <c r="D3177" s="3" t="s">
        <v>692</v>
      </c>
      <c r="E3177" s="3" t="s">
        <v>398</v>
      </c>
      <c r="F3177" s="16" t="n">
        <v>1</v>
      </c>
      <c r="G3177" s="15" t="n">
        <v>0</v>
      </c>
      <c r="H3177" s="16" t="n">
        <v>1</v>
      </c>
      <c r="I3177" s="33" t="n">
        <v>5319.84</v>
      </c>
      <c r="J3177" s="33" t="n">
        <v>5319.84</v>
      </c>
    </row>
    <row r="3178" customFormat="false" ht="15" hidden="false" customHeight="false" outlineLevel="0" collapsed="false">
      <c r="A3178" s="3" t="s">
        <v>3568</v>
      </c>
      <c r="B3178" s="3" t="s">
        <v>283</v>
      </c>
      <c r="C3178" s="3" t="s">
        <v>380</v>
      </c>
      <c r="D3178" s="3" t="s">
        <v>392</v>
      </c>
      <c r="E3178" s="3" t="s">
        <v>398</v>
      </c>
      <c r="F3178" s="16" t="n">
        <v>1</v>
      </c>
      <c r="G3178" s="15" t="n">
        <v>0.15</v>
      </c>
      <c r="H3178" s="16" t="n">
        <v>1</v>
      </c>
      <c r="I3178" s="33" t="n">
        <v>5310.48</v>
      </c>
      <c r="J3178" s="33" t="n">
        <v>6247.56</v>
      </c>
    </row>
    <row r="3179" customFormat="false" ht="15" hidden="false" customHeight="false" outlineLevel="0" collapsed="false">
      <c r="A3179" s="3" t="s">
        <v>3569</v>
      </c>
      <c r="B3179" s="3" t="s">
        <v>283</v>
      </c>
      <c r="C3179" s="3" t="s">
        <v>380</v>
      </c>
      <c r="D3179" s="3" t="s">
        <v>692</v>
      </c>
      <c r="E3179" s="3" t="s">
        <v>398</v>
      </c>
      <c r="F3179" s="16" t="n">
        <v>1</v>
      </c>
      <c r="G3179" s="15" t="n">
        <v>0.3</v>
      </c>
      <c r="H3179" s="16" t="n">
        <v>1</v>
      </c>
      <c r="I3179" s="33" t="n">
        <v>5305.32</v>
      </c>
      <c r="J3179" s="33" t="n">
        <v>7579.08</v>
      </c>
    </row>
    <row r="3180" customFormat="false" ht="15" hidden="false" customHeight="false" outlineLevel="0" collapsed="false">
      <c r="A3180" s="3" t="s">
        <v>3570</v>
      </c>
      <c r="B3180" s="3" t="s">
        <v>283</v>
      </c>
      <c r="C3180" s="3" t="s">
        <v>384</v>
      </c>
      <c r="D3180" s="3" t="s">
        <v>418</v>
      </c>
      <c r="E3180" s="3" t="s">
        <v>385</v>
      </c>
      <c r="F3180" s="16" t="n">
        <v>1</v>
      </c>
      <c r="G3180" s="15" t="n">
        <v>0.2</v>
      </c>
      <c r="H3180" s="16" t="n">
        <v>1</v>
      </c>
      <c r="I3180" s="33" t="n">
        <v>5299.32</v>
      </c>
      <c r="J3180" s="33" t="n">
        <v>6624.12</v>
      </c>
    </row>
    <row r="3181" customFormat="false" ht="15" hidden="false" customHeight="false" outlineLevel="0" collapsed="false">
      <c r="A3181" s="3" t="s">
        <v>3571</v>
      </c>
      <c r="B3181" s="3" t="s">
        <v>283</v>
      </c>
      <c r="C3181" s="3" t="s">
        <v>403</v>
      </c>
      <c r="D3181" s="3" t="s">
        <v>692</v>
      </c>
      <c r="E3181" s="3" t="s">
        <v>385</v>
      </c>
      <c r="F3181" s="16" t="n">
        <v>1</v>
      </c>
      <c r="G3181" s="15" t="n">
        <v>0</v>
      </c>
      <c r="H3181" s="16" t="n">
        <v>1</v>
      </c>
      <c r="I3181" s="33" t="n">
        <v>5294.4</v>
      </c>
      <c r="J3181" s="33" t="n">
        <v>5294.4</v>
      </c>
    </row>
    <row r="3182" customFormat="false" ht="15" hidden="false" customHeight="false" outlineLevel="0" collapsed="false">
      <c r="A3182" s="3" t="s">
        <v>3572</v>
      </c>
      <c r="B3182" s="3" t="s">
        <v>283</v>
      </c>
      <c r="C3182" s="3" t="s">
        <v>401</v>
      </c>
      <c r="D3182" s="3" t="s">
        <v>692</v>
      </c>
      <c r="E3182" s="3" t="s">
        <v>398</v>
      </c>
      <c r="F3182" s="16" t="n">
        <v>1</v>
      </c>
      <c r="G3182" s="15" t="n">
        <v>0</v>
      </c>
      <c r="H3182" s="16" t="n">
        <v>1</v>
      </c>
      <c r="I3182" s="33" t="n">
        <v>5289.36</v>
      </c>
      <c r="J3182" s="33" t="n">
        <v>5289.36</v>
      </c>
    </row>
    <row r="3183" customFormat="false" ht="15" hidden="false" customHeight="false" outlineLevel="0" collapsed="false">
      <c r="A3183" s="3" t="s">
        <v>3573</v>
      </c>
      <c r="B3183" s="3" t="s">
        <v>283</v>
      </c>
      <c r="C3183" s="3" t="s">
        <v>401</v>
      </c>
      <c r="D3183" s="3" t="s">
        <v>392</v>
      </c>
      <c r="E3183" s="3" t="s">
        <v>398</v>
      </c>
      <c r="F3183" s="16" t="n">
        <v>12</v>
      </c>
      <c r="G3183" s="15" t="n">
        <v>0</v>
      </c>
      <c r="H3183" s="16" t="n">
        <v>6</v>
      </c>
      <c r="I3183" s="33" t="n">
        <v>5286.6</v>
      </c>
      <c r="J3183" s="33" t="n">
        <v>5286.6</v>
      </c>
    </row>
    <row r="3184" customFormat="false" ht="15" hidden="false" customHeight="false" outlineLevel="0" collapsed="false">
      <c r="A3184" s="3" t="s">
        <v>3574</v>
      </c>
      <c r="B3184" s="3" t="s">
        <v>283</v>
      </c>
      <c r="C3184" s="3" t="s">
        <v>403</v>
      </c>
      <c r="D3184" s="3" t="s">
        <v>381</v>
      </c>
      <c r="E3184" s="3" t="s">
        <v>385</v>
      </c>
      <c r="F3184" s="16" t="n">
        <v>1</v>
      </c>
      <c r="G3184" s="15" t="n">
        <v>0</v>
      </c>
      <c r="H3184" s="16" t="n">
        <v>1</v>
      </c>
      <c r="I3184" s="33" t="n">
        <v>5286.24</v>
      </c>
      <c r="J3184" s="33" t="n">
        <v>5286.24</v>
      </c>
    </row>
    <row r="3185" customFormat="false" ht="15" hidden="false" customHeight="false" outlineLevel="0" collapsed="false">
      <c r="A3185" s="3" t="s">
        <v>3575</v>
      </c>
      <c r="B3185" s="3" t="s">
        <v>283</v>
      </c>
      <c r="C3185" s="3" t="s">
        <v>403</v>
      </c>
      <c r="D3185" s="3" t="s">
        <v>381</v>
      </c>
      <c r="E3185" s="3" t="s">
        <v>398</v>
      </c>
      <c r="F3185" s="16" t="n">
        <v>12</v>
      </c>
      <c r="G3185" s="15" t="n">
        <v>0.25</v>
      </c>
      <c r="H3185" s="16" t="n">
        <v>1</v>
      </c>
      <c r="I3185" s="33" t="n">
        <v>5284.32</v>
      </c>
      <c r="J3185" s="33" t="n">
        <v>7045.8</v>
      </c>
    </row>
    <row r="3186" customFormat="false" ht="15" hidden="false" customHeight="false" outlineLevel="0" collapsed="false">
      <c r="A3186" s="3" t="s">
        <v>3576</v>
      </c>
      <c r="B3186" s="3" t="s">
        <v>283</v>
      </c>
      <c r="C3186" s="3" t="s">
        <v>405</v>
      </c>
      <c r="D3186" s="3" t="s">
        <v>418</v>
      </c>
      <c r="E3186" s="3" t="s">
        <v>382</v>
      </c>
      <c r="F3186" s="16" t="n">
        <v>12</v>
      </c>
      <c r="G3186" s="15" t="n">
        <v>0</v>
      </c>
      <c r="H3186" s="16" t="n">
        <v>11</v>
      </c>
      <c r="I3186" s="33" t="n">
        <v>5270.52</v>
      </c>
      <c r="J3186" s="33" t="n">
        <v>5270.52</v>
      </c>
    </row>
    <row r="3187" customFormat="false" ht="15" hidden="false" customHeight="false" outlineLevel="0" collapsed="false">
      <c r="A3187" s="3" t="s">
        <v>3577</v>
      </c>
      <c r="B3187" s="3" t="s">
        <v>283</v>
      </c>
      <c r="C3187" s="3" t="s">
        <v>396</v>
      </c>
      <c r="D3187" s="3" t="s">
        <v>692</v>
      </c>
      <c r="E3187" s="3" t="s">
        <v>398</v>
      </c>
      <c r="F3187" s="16" t="n">
        <v>12</v>
      </c>
      <c r="G3187" s="15" t="n">
        <v>0</v>
      </c>
      <c r="H3187" s="16" t="n">
        <v>8</v>
      </c>
      <c r="I3187" s="33" t="n">
        <v>5264.76</v>
      </c>
      <c r="J3187" s="33" t="n">
        <v>5264.76</v>
      </c>
    </row>
    <row r="3188" customFormat="false" ht="15" hidden="false" customHeight="false" outlineLevel="0" collapsed="false">
      <c r="A3188" s="3" t="s">
        <v>3578</v>
      </c>
      <c r="B3188" s="3" t="s">
        <v>283</v>
      </c>
      <c r="C3188" s="3" t="s">
        <v>401</v>
      </c>
      <c r="D3188" s="3" t="s">
        <v>692</v>
      </c>
      <c r="E3188" s="3" t="s">
        <v>385</v>
      </c>
      <c r="F3188" s="16" t="n">
        <v>12</v>
      </c>
      <c r="G3188" s="15" t="n">
        <v>0.15</v>
      </c>
      <c r="H3188" s="16" t="n">
        <v>12</v>
      </c>
      <c r="I3188" s="33" t="n">
        <v>5255.04</v>
      </c>
      <c r="J3188" s="33" t="n">
        <v>6182.4</v>
      </c>
    </row>
    <row r="3189" customFormat="false" ht="15" hidden="false" customHeight="false" outlineLevel="0" collapsed="false">
      <c r="A3189" s="3" t="s">
        <v>3579</v>
      </c>
      <c r="B3189" s="3" t="s">
        <v>283</v>
      </c>
      <c r="C3189" s="3" t="s">
        <v>387</v>
      </c>
      <c r="D3189" s="3" t="s">
        <v>392</v>
      </c>
      <c r="E3189" s="3" t="s">
        <v>398</v>
      </c>
      <c r="F3189" s="16" t="n">
        <v>1</v>
      </c>
      <c r="G3189" s="15" t="n">
        <v>0.35</v>
      </c>
      <c r="H3189" s="16" t="n">
        <v>1</v>
      </c>
      <c r="I3189" s="33" t="n">
        <v>5243.4</v>
      </c>
      <c r="J3189" s="33" t="n">
        <v>8066.76</v>
      </c>
    </row>
    <row r="3190" customFormat="false" ht="15" hidden="false" customHeight="false" outlineLevel="0" collapsed="false">
      <c r="A3190" s="3" t="s">
        <v>3580</v>
      </c>
      <c r="B3190" s="3" t="s">
        <v>283</v>
      </c>
      <c r="C3190" s="3" t="s">
        <v>401</v>
      </c>
      <c r="D3190" s="3" t="s">
        <v>381</v>
      </c>
      <c r="E3190" s="3" t="s">
        <v>398</v>
      </c>
      <c r="F3190" s="16" t="n">
        <v>12</v>
      </c>
      <c r="G3190" s="15" t="n">
        <v>0</v>
      </c>
      <c r="H3190" s="16" t="n">
        <v>5</v>
      </c>
      <c r="I3190" s="33" t="n">
        <v>5238.96</v>
      </c>
      <c r="J3190" s="33" t="n">
        <v>5238.96</v>
      </c>
    </row>
    <row r="3191" customFormat="false" ht="15" hidden="false" customHeight="false" outlineLevel="0" collapsed="false">
      <c r="A3191" s="3" t="s">
        <v>3581</v>
      </c>
      <c r="B3191" s="3" t="s">
        <v>283</v>
      </c>
      <c r="C3191" s="3" t="s">
        <v>401</v>
      </c>
      <c r="D3191" s="3" t="s">
        <v>692</v>
      </c>
      <c r="E3191" s="3" t="s">
        <v>398</v>
      </c>
      <c r="F3191" s="16" t="n">
        <v>1</v>
      </c>
      <c r="G3191" s="15" t="n">
        <v>0</v>
      </c>
      <c r="H3191" s="16" t="n">
        <v>1</v>
      </c>
      <c r="I3191" s="33" t="n">
        <v>5224.92</v>
      </c>
      <c r="J3191" s="33" t="n">
        <v>5224.92</v>
      </c>
    </row>
    <row r="3192" customFormat="false" ht="15" hidden="false" customHeight="false" outlineLevel="0" collapsed="false">
      <c r="A3192" s="3" t="s">
        <v>3582</v>
      </c>
      <c r="B3192" s="3" t="s">
        <v>283</v>
      </c>
      <c r="C3192" s="3" t="s">
        <v>384</v>
      </c>
      <c r="D3192" s="3" t="s">
        <v>392</v>
      </c>
      <c r="E3192" s="3" t="s">
        <v>398</v>
      </c>
      <c r="F3192" s="16" t="n">
        <v>12</v>
      </c>
      <c r="G3192" s="15" t="n">
        <v>0.1</v>
      </c>
      <c r="H3192" s="16" t="n">
        <v>8</v>
      </c>
      <c r="I3192" s="33" t="n">
        <v>5221.8</v>
      </c>
      <c r="J3192" s="33" t="n">
        <v>5802</v>
      </c>
    </row>
    <row r="3193" customFormat="false" ht="15" hidden="false" customHeight="false" outlineLevel="0" collapsed="false">
      <c r="A3193" s="3" t="s">
        <v>3583</v>
      </c>
      <c r="B3193" s="3" t="s">
        <v>283</v>
      </c>
      <c r="C3193" s="3" t="s">
        <v>387</v>
      </c>
      <c r="D3193" s="3" t="s">
        <v>392</v>
      </c>
      <c r="E3193" s="3" t="s">
        <v>398</v>
      </c>
      <c r="F3193" s="16" t="n">
        <v>1</v>
      </c>
      <c r="G3193" s="15" t="n">
        <v>0</v>
      </c>
      <c r="H3193" s="16" t="n">
        <v>1</v>
      </c>
      <c r="I3193" s="33" t="n">
        <v>5214.84</v>
      </c>
      <c r="J3193" s="33" t="n">
        <v>5214.84</v>
      </c>
    </row>
    <row r="3194" customFormat="false" ht="15" hidden="false" customHeight="false" outlineLevel="0" collapsed="false">
      <c r="A3194" s="3" t="s">
        <v>3584</v>
      </c>
      <c r="B3194" s="3" t="s">
        <v>283</v>
      </c>
      <c r="C3194" s="3" t="s">
        <v>405</v>
      </c>
      <c r="D3194" s="3" t="s">
        <v>392</v>
      </c>
      <c r="E3194" s="3" t="s">
        <v>398</v>
      </c>
      <c r="F3194" s="16" t="n">
        <v>12</v>
      </c>
      <c r="G3194" s="15" t="n">
        <v>0.2</v>
      </c>
      <c r="H3194" s="16" t="n">
        <v>8</v>
      </c>
      <c r="I3194" s="33" t="n">
        <v>5207.64</v>
      </c>
      <c r="J3194" s="33" t="n">
        <v>6509.52</v>
      </c>
    </row>
    <row r="3195" customFormat="false" ht="15" hidden="false" customHeight="false" outlineLevel="0" collapsed="false">
      <c r="A3195" s="3" t="s">
        <v>3585</v>
      </c>
      <c r="B3195" s="3" t="s">
        <v>283</v>
      </c>
      <c r="C3195" s="3" t="s">
        <v>380</v>
      </c>
      <c r="D3195" s="3" t="s">
        <v>418</v>
      </c>
      <c r="E3195" s="3" t="s">
        <v>385</v>
      </c>
      <c r="F3195" s="16" t="n">
        <v>12</v>
      </c>
      <c r="G3195" s="15" t="n">
        <v>0</v>
      </c>
      <c r="H3195" s="16" t="n">
        <v>5</v>
      </c>
      <c r="I3195" s="33" t="n">
        <v>5206.44</v>
      </c>
      <c r="J3195" s="33" t="n">
        <v>5206.44</v>
      </c>
    </row>
    <row r="3196" customFormat="false" ht="15" hidden="false" customHeight="false" outlineLevel="0" collapsed="false">
      <c r="A3196" s="3" t="s">
        <v>3586</v>
      </c>
      <c r="B3196" s="3" t="s">
        <v>283</v>
      </c>
      <c r="C3196" s="3" t="s">
        <v>387</v>
      </c>
      <c r="D3196" s="3" t="s">
        <v>418</v>
      </c>
      <c r="E3196" s="3" t="s">
        <v>385</v>
      </c>
      <c r="F3196" s="16" t="n">
        <v>12</v>
      </c>
      <c r="G3196" s="15" t="n">
        <v>0</v>
      </c>
      <c r="H3196" s="16" t="n">
        <v>1</v>
      </c>
      <c r="I3196" s="33" t="n">
        <v>5204.88</v>
      </c>
      <c r="J3196" s="33" t="n">
        <v>5204.88</v>
      </c>
    </row>
    <row r="3197" customFormat="false" ht="15" hidden="false" customHeight="false" outlineLevel="0" collapsed="false">
      <c r="A3197" s="3" t="s">
        <v>3587</v>
      </c>
      <c r="B3197" s="3" t="s">
        <v>283</v>
      </c>
      <c r="C3197" s="3" t="s">
        <v>396</v>
      </c>
      <c r="D3197" s="3" t="s">
        <v>692</v>
      </c>
      <c r="E3197" s="3" t="s">
        <v>398</v>
      </c>
      <c r="F3197" s="16" t="n">
        <v>12</v>
      </c>
      <c r="G3197" s="15" t="n">
        <v>0</v>
      </c>
      <c r="H3197" s="16" t="n">
        <v>3</v>
      </c>
      <c r="I3197" s="33" t="n">
        <v>5194.08</v>
      </c>
      <c r="J3197" s="33" t="n">
        <v>5194.08</v>
      </c>
    </row>
    <row r="3198" customFormat="false" ht="15" hidden="false" customHeight="false" outlineLevel="0" collapsed="false">
      <c r="A3198" s="3" t="s">
        <v>3588</v>
      </c>
      <c r="B3198" s="3" t="s">
        <v>283</v>
      </c>
      <c r="C3198" s="3" t="s">
        <v>403</v>
      </c>
      <c r="D3198" s="3" t="s">
        <v>418</v>
      </c>
      <c r="E3198" s="3" t="s">
        <v>398</v>
      </c>
      <c r="F3198" s="16" t="n">
        <v>1</v>
      </c>
      <c r="G3198" s="15" t="n">
        <v>0.1</v>
      </c>
      <c r="H3198" s="16" t="n">
        <v>1</v>
      </c>
      <c r="I3198" s="33" t="n">
        <v>5185.68</v>
      </c>
      <c r="J3198" s="33" t="n">
        <v>5761.92</v>
      </c>
    </row>
    <row r="3199" customFormat="false" ht="15" hidden="false" customHeight="false" outlineLevel="0" collapsed="false">
      <c r="A3199" s="3" t="s">
        <v>3589</v>
      </c>
      <c r="B3199" s="3" t="s">
        <v>283</v>
      </c>
      <c r="C3199" s="3" t="s">
        <v>401</v>
      </c>
      <c r="D3199" s="3" t="s">
        <v>418</v>
      </c>
      <c r="E3199" s="3" t="s">
        <v>398</v>
      </c>
      <c r="F3199" s="16" t="n">
        <v>12</v>
      </c>
      <c r="G3199" s="15" t="n">
        <v>0.05</v>
      </c>
      <c r="H3199" s="16" t="n">
        <v>9</v>
      </c>
      <c r="I3199" s="33" t="n">
        <v>5180.64</v>
      </c>
      <c r="J3199" s="33" t="n">
        <v>5453.28</v>
      </c>
    </row>
    <row r="3200" customFormat="false" ht="15" hidden="false" customHeight="false" outlineLevel="0" collapsed="false">
      <c r="A3200" s="3" t="s">
        <v>3590</v>
      </c>
      <c r="B3200" s="3" t="s">
        <v>283</v>
      </c>
      <c r="C3200" s="3" t="s">
        <v>396</v>
      </c>
      <c r="D3200" s="3" t="s">
        <v>418</v>
      </c>
      <c r="E3200" s="3" t="s">
        <v>385</v>
      </c>
      <c r="F3200" s="16" t="n">
        <v>12</v>
      </c>
      <c r="G3200" s="15" t="n">
        <v>0</v>
      </c>
      <c r="H3200" s="16" t="n">
        <v>4</v>
      </c>
      <c r="I3200" s="33" t="n">
        <v>5178</v>
      </c>
      <c r="J3200" s="33" t="n">
        <v>5178</v>
      </c>
    </row>
    <row r="3201" customFormat="false" ht="15" hidden="false" customHeight="false" outlineLevel="0" collapsed="false">
      <c r="A3201" s="3" t="s">
        <v>3591</v>
      </c>
      <c r="B3201" s="3" t="s">
        <v>283</v>
      </c>
      <c r="C3201" s="3" t="s">
        <v>384</v>
      </c>
      <c r="D3201" s="3" t="s">
        <v>388</v>
      </c>
      <c r="E3201" s="3" t="s">
        <v>398</v>
      </c>
      <c r="F3201" s="16" t="n">
        <v>1</v>
      </c>
      <c r="G3201" s="15" t="n">
        <v>0</v>
      </c>
      <c r="H3201" s="16" t="n">
        <v>1</v>
      </c>
      <c r="I3201" s="33" t="n">
        <v>5172.36</v>
      </c>
      <c r="J3201" s="33" t="n">
        <v>5172.36</v>
      </c>
    </row>
    <row r="3202" customFormat="false" ht="15" hidden="false" customHeight="false" outlineLevel="0" collapsed="false">
      <c r="A3202" s="3" t="s">
        <v>3592</v>
      </c>
      <c r="B3202" s="3" t="s">
        <v>283</v>
      </c>
      <c r="C3202" s="3" t="s">
        <v>401</v>
      </c>
      <c r="D3202" s="3" t="s">
        <v>692</v>
      </c>
      <c r="E3202" s="3" t="s">
        <v>385</v>
      </c>
      <c r="F3202" s="16" t="n">
        <v>12</v>
      </c>
      <c r="G3202" s="15" t="n">
        <v>0</v>
      </c>
      <c r="H3202" s="16" t="n">
        <v>8</v>
      </c>
      <c r="I3202" s="33" t="n">
        <v>5164.08</v>
      </c>
      <c r="J3202" s="33" t="n">
        <v>5164.08</v>
      </c>
    </row>
    <row r="3203" customFormat="false" ht="15" hidden="false" customHeight="false" outlineLevel="0" collapsed="false">
      <c r="A3203" s="3" t="s">
        <v>3593</v>
      </c>
      <c r="B3203" s="3" t="s">
        <v>283</v>
      </c>
      <c r="C3203" s="3" t="s">
        <v>384</v>
      </c>
      <c r="D3203" s="3" t="s">
        <v>418</v>
      </c>
      <c r="E3203" s="3" t="s">
        <v>398</v>
      </c>
      <c r="F3203" s="16" t="n">
        <v>12</v>
      </c>
      <c r="G3203" s="15" t="n">
        <v>0.4</v>
      </c>
      <c r="H3203" s="16" t="n">
        <v>6</v>
      </c>
      <c r="I3203" s="33" t="n">
        <v>5160.48</v>
      </c>
      <c r="J3203" s="33" t="n">
        <v>8600.76</v>
      </c>
    </row>
    <row r="3204" customFormat="false" ht="15" hidden="false" customHeight="false" outlineLevel="0" collapsed="false">
      <c r="A3204" s="3" t="s">
        <v>3594</v>
      </c>
      <c r="B3204" s="3" t="s">
        <v>283</v>
      </c>
      <c r="C3204" s="3" t="s">
        <v>387</v>
      </c>
      <c r="D3204" s="3" t="s">
        <v>692</v>
      </c>
      <c r="E3204" s="3" t="s">
        <v>382</v>
      </c>
      <c r="F3204" s="16" t="n">
        <v>1</v>
      </c>
      <c r="G3204" s="15" t="n">
        <v>0</v>
      </c>
      <c r="H3204" s="16" t="n">
        <v>1</v>
      </c>
      <c r="I3204" s="33" t="n">
        <v>5153.04</v>
      </c>
      <c r="J3204" s="33" t="n">
        <v>5153.04</v>
      </c>
    </row>
    <row r="3205" customFormat="false" ht="15" hidden="false" customHeight="false" outlineLevel="0" collapsed="false">
      <c r="A3205" s="3" t="s">
        <v>3595</v>
      </c>
      <c r="B3205" s="3" t="s">
        <v>283</v>
      </c>
      <c r="C3205" s="3" t="s">
        <v>403</v>
      </c>
      <c r="D3205" s="3" t="s">
        <v>692</v>
      </c>
      <c r="E3205" s="3" t="s">
        <v>398</v>
      </c>
      <c r="F3205" s="16" t="n">
        <v>12</v>
      </c>
      <c r="G3205" s="15" t="n">
        <v>0</v>
      </c>
      <c r="H3205" s="16" t="n">
        <v>10</v>
      </c>
      <c r="I3205" s="33" t="n">
        <v>5150.52</v>
      </c>
      <c r="J3205" s="33" t="n">
        <v>5150.52</v>
      </c>
    </row>
    <row r="3206" customFormat="false" ht="15" hidden="false" customHeight="false" outlineLevel="0" collapsed="false">
      <c r="A3206" s="3" t="s">
        <v>3596</v>
      </c>
      <c r="B3206" s="3" t="s">
        <v>283</v>
      </c>
      <c r="C3206" s="3" t="s">
        <v>387</v>
      </c>
      <c r="D3206" s="3" t="s">
        <v>418</v>
      </c>
      <c r="E3206" s="3" t="s">
        <v>398</v>
      </c>
      <c r="F3206" s="16" t="n">
        <v>12</v>
      </c>
      <c r="G3206" s="15" t="n">
        <v>0.1</v>
      </c>
      <c r="H3206" s="16" t="n">
        <v>4</v>
      </c>
      <c r="I3206" s="33" t="n">
        <v>5146.2</v>
      </c>
      <c r="J3206" s="33" t="n">
        <v>5718</v>
      </c>
    </row>
    <row r="3207" customFormat="false" ht="15" hidden="false" customHeight="false" outlineLevel="0" collapsed="false">
      <c r="A3207" s="3" t="s">
        <v>3597</v>
      </c>
      <c r="B3207" s="3" t="s">
        <v>283</v>
      </c>
      <c r="C3207" s="3" t="s">
        <v>384</v>
      </c>
      <c r="D3207" s="3" t="s">
        <v>388</v>
      </c>
      <c r="E3207" s="3" t="s">
        <v>382</v>
      </c>
      <c r="F3207" s="16" t="n">
        <v>12</v>
      </c>
      <c r="G3207" s="15" t="n">
        <v>0</v>
      </c>
      <c r="H3207" s="16" t="n">
        <v>5</v>
      </c>
      <c r="I3207" s="33" t="n">
        <v>5145.96</v>
      </c>
      <c r="J3207" s="33" t="n">
        <v>5145.96</v>
      </c>
    </row>
    <row r="3208" customFormat="false" ht="15" hidden="false" customHeight="false" outlineLevel="0" collapsed="false">
      <c r="A3208" s="3" t="s">
        <v>3598</v>
      </c>
      <c r="B3208" s="3" t="s">
        <v>283</v>
      </c>
      <c r="C3208" s="3" t="s">
        <v>380</v>
      </c>
      <c r="D3208" s="3" t="s">
        <v>692</v>
      </c>
      <c r="E3208" s="3" t="s">
        <v>398</v>
      </c>
      <c r="F3208" s="16" t="n">
        <v>1</v>
      </c>
      <c r="G3208" s="15" t="n">
        <v>0</v>
      </c>
      <c r="H3208" s="16" t="n">
        <v>1</v>
      </c>
      <c r="I3208" s="33" t="n">
        <v>5134.08</v>
      </c>
      <c r="J3208" s="33" t="n">
        <v>5134.08</v>
      </c>
    </row>
    <row r="3209" customFormat="false" ht="15" hidden="false" customHeight="false" outlineLevel="0" collapsed="false">
      <c r="A3209" s="3" t="s">
        <v>3599</v>
      </c>
      <c r="B3209" s="3" t="s">
        <v>283</v>
      </c>
      <c r="C3209" s="3" t="s">
        <v>403</v>
      </c>
      <c r="D3209" s="3" t="s">
        <v>392</v>
      </c>
      <c r="E3209" s="3" t="s">
        <v>398</v>
      </c>
      <c r="F3209" s="16" t="n">
        <v>1</v>
      </c>
      <c r="G3209" s="15" t="n">
        <v>0</v>
      </c>
      <c r="H3209" s="16" t="n">
        <v>1</v>
      </c>
      <c r="I3209" s="33" t="n">
        <v>5116.44</v>
      </c>
      <c r="J3209" s="33" t="n">
        <v>5116.44</v>
      </c>
    </row>
    <row r="3210" customFormat="false" ht="15" hidden="false" customHeight="false" outlineLevel="0" collapsed="false">
      <c r="A3210" s="3" t="s">
        <v>3600</v>
      </c>
      <c r="B3210" s="3" t="s">
        <v>283</v>
      </c>
      <c r="C3210" s="3" t="s">
        <v>403</v>
      </c>
      <c r="D3210" s="3" t="s">
        <v>392</v>
      </c>
      <c r="E3210" s="3" t="s">
        <v>385</v>
      </c>
      <c r="F3210" s="16" t="n">
        <v>1</v>
      </c>
      <c r="G3210" s="15" t="n">
        <v>0</v>
      </c>
      <c r="H3210" s="16" t="n">
        <v>1</v>
      </c>
      <c r="I3210" s="33" t="n">
        <v>5110.92</v>
      </c>
      <c r="J3210" s="33" t="n">
        <v>5110.92</v>
      </c>
    </row>
    <row r="3211" customFormat="false" ht="15" hidden="false" customHeight="false" outlineLevel="0" collapsed="false">
      <c r="A3211" s="3" t="s">
        <v>3601</v>
      </c>
      <c r="B3211" s="3" t="s">
        <v>283</v>
      </c>
      <c r="C3211" s="3" t="s">
        <v>380</v>
      </c>
      <c r="D3211" s="3" t="s">
        <v>392</v>
      </c>
      <c r="E3211" s="3" t="s">
        <v>382</v>
      </c>
      <c r="F3211" s="16" t="n">
        <v>1</v>
      </c>
      <c r="G3211" s="15" t="n">
        <v>0</v>
      </c>
      <c r="H3211" s="16" t="n">
        <v>1</v>
      </c>
      <c r="I3211" s="33" t="n">
        <v>5110.68</v>
      </c>
      <c r="J3211" s="33" t="n">
        <v>5110.68</v>
      </c>
    </row>
    <row r="3212" customFormat="false" ht="15" hidden="false" customHeight="false" outlineLevel="0" collapsed="false">
      <c r="A3212" s="3" t="s">
        <v>3602</v>
      </c>
      <c r="B3212" s="3" t="s">
        <v>283</v>
      </c>
      <c r="C3212" s="3" t="s">
        <v>403</v>
      </c>
      <c r="D3212" s="3" t="s">
        <v>692</v>
      </c>
      <c r="E3212" s="3" t="s">
        <v>398</v>
      </c>
      <c r="F3212" s="16" t="n">
        <v>1</v>
      </c>
      <c r="G3212" s="15" t="n">
        <v>0</v>
      </c>
      <c r="H3212" s="16" t="n">
        <v>1</v>
      </c>
      <c r="I3212" s="33" t="n">
        <v>5099.88</v>
      </c>
      <c r="J3212" s="33" t="n">
        <v>5099.88</v>
      </c>
    </row>
    <row r="3213" customFormat="false" ht="15" hidden="false" customHeight="false" outlineLevel="0" collapsed="false">
      <c r="A3213" s="3" t="s">
        <v>3603</v>
      </c>
      <c r="B3213" s="3" t="s">
        <v>283</v>
      </c>
      <c r="C3213" s="3" t="s">
        <v>401</v>
      </c>
      <c r="D3213" s="3" t="s">
        <v>418</v>
      </c>
      <c r="E3213" s="3" t="s">
        <v>398</v>
      </c>
      <c r="F3213" s="16" t="n">
        <v>12</v>
      </c>
      <c r="G3213" s="15" t="n">
        <v>0</v>
      </c>
      <c r="H3213" s="16" t="n">
        <v>5</v>
      </c>
      <c r="I3213" s="33" t="n">
        <v>5094.48</v>
      </c>
      <c r="J3213" s="33" t="n">
        <v>5094.48</v>
      </c>
    </row>
    <row r="3214" customFormat="false" ht="15" hidden="false" customHeight="false" outlineLevel="0" collapsed="false">
      <c r="A3214" s="3" t="s">
        <v>3604</v>
      </c>
      <c r="B3214" s="3" t="s">
        <v>283</v>
      </c>
      <c r="C3214" s="3" t="s">
        <v>401</v>
      </c>
      <c r="D3214" s="3" t="s">
        <v>418</v>
      </c>
      <c r="E3214" s="3" t="s">
        <v>398</v>
      </c>
      <c r="F3214" s="16" t="n">
        <v>1</v>
      </c>
      <c r="G3214" s="15" t="n">
        <v>0.1</v>
      </c>
      <c r="H3214" s="16" t="n">
        <v>1</v>
      </c>
      <c r="I3214" s="33" t="n">
        <v>5092.56</v>
      </c>
      <c r="J3214" s="33" t="n">
        <v>5658.48</v>
      </c>
    </row>
    <row r="3215" customFormat="false" ht="15" hidden="false" customHeight="false" outlineLevel="0" collapsed="false">
      <c r="A3215" s="3" t="s">
        <v>3605</v>
      </c>
      <c r="B3215" s="3" t="s">
        <v>283</v>
      </c>
      <c r="C3215" s="3" t="s">
        <v>387</v>
      </c>
      <c r="D3215" s="3" t="s">
        <v>392</v>
      </c>
      <c r="E3215" s="3" t="s">
        <v>398</v>
      </c>
      <c r="F3215" s="16" t="n">
        <v>12</v>
      </c>
      <c r="G3215" s="15" t="n">
        <v>0</v>
      </c>
      <c r="H3215" s="16" t="n">
        <v>9</v>
      </c>
      <c r="I3215" s="33" t="n">
        <v>5072.64</v>
      </c>
      <c r="J3215" s="33" t="n">
        <v>5072.64</v>
      </c>
    </row>
    <row r="3216" customFormat="false" ht="15" hidden="false" customHeight="false" outlineLevel="0" collapsed="false">
      <c r="A3216" s="3" t="s">
        <v>3606</v>
      </c>
      <c r="B3216" s="3" t="s">
        <v>283</v>
      </c>
      <c r="C3216" s="3" t="s">
        <v>401</v>
      </c>
      <c r="D3216" s="3" t="s">
        <v>692</v>
      </c>
      <c r="E3216" s="3" t="s">
        <v>398</v>
      </c>
      <c r="F3216" s="16" t="n">
        <v>12</v>
      </c>
      <c r="G3216" s="15" t="n">
        <v>0.1</v>
      </c>
      <c r="H3216" s="16" t="n">
        <v>11</v>
      </c>
      <c r="I3216" s="33" t="n">
        <v>5070.84</v>
      </c>
      <c r="J3216" s="33" t="n">
        <v>5634.24</v>
      </c>
    </row>
    <row r="3217" customFormat="false" ht="15" hidden="false" customHeight="false" outlineLevel="0" collapsed="false">
      <c r="A3217" s="3" t="s">
        <v>3607</v>
      </c>
      <c r="B3217" s="3" t="s">
        <v>283</v>
      </c>
      <c r="C3217" s="3" t="s">
        <v>401</v>
      </c>
      <c r="D3217" s="3" t="s">
        <v>692</v>
      </c>
      <c r="E3217" s="3" t="s">
        <v>398</v>
      </c>
      <c r="F3217" s="16" t="n">
        <v>12</v>
      </c>
      <c r="G3217" s="15" t="n">
        <v>0.15</v>
      </c>
      <c r="H3217" s="16" t="n">
        <v>7</v>
      </c>
      <c r="I3217" s="33" t="n">
        <v>5069.88</v>
      </c>
      <c r="J3217" s="33" t="n">
        <v>5964.6</v>
      </c>
    </row>
    <row r="3218" customFormat="false" ht="15" hidden="false" customHeight="false" outlineLevel="0" collapsed="false">
      <c r="A3218" s="3" t="s">
        <v>3608</v>
      </c>
      <c r="B3218" s="3" t="s">
        <v>283</v>
      </c>
      <c r="C3218" s="3" t="s">
        <v>380</v>
      </c>
      <c r="D3218" s="3" t="s">
        <v>692</v>
      </c>
      <c r="E3218" s="3" t="s">
        <v>398</v>
      </c>
      <c r="F3218" s="16" t="n">
        <v>12</v>
      </c>
      <c r="G3218" s="15" t="n">
        <v>0</v>
      </c>
      <c r="H3218" s="16" t="n">
        <v>4</v>
      </c>
      <c r="I3218" s="33" t="n">
        <v>5063.88</v>
      </c>
      <c r="J3218" s="33" t="n">
        <v>5063.88</v>
      </c>
    </row>
    <row r="3219" customFormat="false" ht="15" hidden="false" customHeight="false" outlineLevel="0" collapsed="false">
      <c r="A3219" s="3" t="s">
        <v>3609</v>
      </c>
      <c r="B3219" s="3" t="s">
        <v>283</v>
      </c>
      <c r="C3219" s="3" t="s">
        <v>396</v>
      </c>
      <c r="D3219" s="3" t="s">
        <v>392</v>
      </c>
      <c r="E3219" s="3" t="s">
        <v>398</v>
      </c>
      <c r="F3219" s="16" t="n">
        <v>1</v>
      </c>
      <c r="G3219" s="15" t="n">
        <v>0</v>
      </c>
      <c r="H3219" s="16" t="n">
        <v>1</v>
      </c>
      <c r="I3219" s="33" t="n">
        <v>5062.32</v>
      </c>
      <c r="J3219" s="33" t="n">
        <v>5062.32</v>
      </c>
    </row>
    <row r="3220" customFormat="false" ht="15" hidden="false" customHeight="false" outlineLevel="0" collapsed="false">
      <c r="A3220" s="3" t="s">
        <v>3610</v>
      </c>
      <c r="B3220" s="3" t="s">
        <v>283</v>
      </c>
      <c r="C3220" s="3" t="s">
        <v>405</v>
      </c>
      <c r="D3220" s="3" t="s">
        <v>388</v>
      </c>
      <c r="E3220" s="3" t="s">
        <v>398</v>
      </c>
      <c r="F3220" s="16" t="n">
        <v>1</v>
      </c>
      <c r="G3220" s="15" t="n">
        <v>0.05</v>
      </c>
      <c r="H3220" s="16" t="n">
        <v>1</v>
      </c>
      <c r="I3220" s="33" t="n">
        <v>5044.92</v>
      </c>
      <c r="J3220" s="33" t="n">
        <v>5310.36</v>
      </c>
    </row>
    <row r="3221" customFormat="false" ht="15" hidden="false" customHeight="false" outlineLevel="0" collapsed="false">
      <c r="A3221" s="3" t="s">
        <v>3611</v>
      </c>
      <c r="B3221" s="3" t="s">
        <v>283</v>
      </c>
      <c r="C3221" s="3" t="s">
        <v>387</v>
      </c>
      <c r="D3221" s="3" t="s">
        <v>381</v>
      </c>
      <c r="E3221" s="3" t="s">
        <v>385</v>
      </c>
      <c r="F3221" s="16" t="n">
        <v>1</v>
      </c>
      <c r="G3221" s="15" t="n">
        <v>0</v>
      </c>
      <c r="H3221" s="16" t="n">
        <v>1</v>
      </c>
      <c r="I3221" s="33" t="n">
        <v>5043.72</v>
      </c>
      <c r="J3221" s="33" t="n">
        <v>5043.72</v>
      </c>
    </row>
    <row r="3222" customFormat="false" ht="15" hidden="false" customHeight="false" outlineLevel="0" collapsed="false">
      <c r="A3222" s="3" t="s">
        <v>3612</v>
      </c>
      <c r="B3222" s="3" t="s">
        <v>283</v>
      </c>
      <c r="C3222" s="3" t="s">
        <v>380</v>
      </c>
      <c r="D3222" s="3" t="s">
        <v>418</v>
      </c>
      <c r="E3222" s="3" t="s">
        <v>398</v>
      </c>
      <c r="F3222" s="16" t="n">
        <v>1</v>
      </c>
      <c r="G3222" s="15" t="n">
        <v>0</v>
      </c>
      <c r="H3222" s="16" t="n">
        <v>1</v>
      </c>
      <c r="I3222" s="33" t="n">
        <v>5033.64</v>
      </c>
      <c r="J3222" s="33" t="n">
        <v>5033.64</v>
      </c>
    </row>
    <row r="3223" customFormat="false" ht="15" hidden="false" customHeight="false" outlineLevel="0" collapsed="false">
      <c r="A3223" s="3" t="s">
        <v>3613</v>
      </c>
      <c r="B3223" s="3" t="s">
        <v>283</v>
      </c>
      <c r="C3223" s="3" t="s">
        <v>384</v>
      </c>
      <c r="D3223" s="3" t="s">
        <v>692</v>
      </c>
      <c r="E3223" s="3" t="s">
        <v>398</v>
      </c>
      <c r="F3223" s="16" t="n">
        <v>1</v>
      </c>
      <c r="G3223" s="15" t="n">
        <v>0.1</v>
      </c>
      <c r="H3223" s="16" t="n">
        <v>1</v>
      </c>
      <c r="I3223" s="33" t="n">
        <v>5033.64</v>
      </c>
      <c r="J3223" s="33" t="n">
        <v>5592.96</v>
      </c>
    </row>
    <row r="3224" customFormat="false" ht="15" hidden="false" customHeight="false" outlineLevel="0" collapsed="false">
      <c r="A3224" s="3" t="s">
        <v>3614</v>
      </c>
      <c r="B3224" s="3" t="s">
        <v>283</v>
      </c>
      <c r="C3224" s="3" t="s">
        <v>384</v>
      </c>
      <c r="D3224" s="3" t="s">
        <v>692</v>
      </c>
      <c r="E3224" s="3" t="s">
        <v>382</v>
      </c>
      <c r="F3224" s="16" t="n">
        <v>1</v>
      </c>
      <c r="G3224" s="15" t="n">
        <v>0.1</v>
      </c>
      <c r="H3224" s="16" t="n">
        <v>1</v>
      </c>
      <c r="I3224" s="33" t="n">
        <v>5026.8</v>
      </c>
      <c r="J3224" s="33" t="n">
        <v>5585.4</v>
      </c>
    </row>
    <row r="3225" customFormat="false" ht="15" hidden="false" customHeight="false" outlineLevel="0" collapsed="false">
      <c r="A3225" s="3" t="s">
        <v>3615</v>
      </c>
      <c r="B3225" s="3" t="s">
        <v>283</v>
      </c>
      <c r="C3225" s="3" t="s">
        <v>384</v>
      </c>
      <c r="D3225" s="3" t="s">
        <v>418</v>
      </c>
      <c r="E3225" s="3" t="s">
        <v>398</v>
      </c>
      <c r="F3225" s="16" t="n">
        <v>12</v>
      </c>
      <c r="G3225" s="15" t="n">
        <v>0</v>
      </c>
      <c r="H3225" s="16" t="n">
        <v>1</v>
      </c>
      <c r="I3225" s="33" t="n">
        <v>5021.76</v>
      </c>
      <c r="J3225" s="33" t="n">
        <v>5021.76</v>
      </c>
    </row>
    <row r="3226" customFormat="false" ht="15" hidden="false" customHeight="false" outlineLevel="0" collapsed="false">
      <c r="A3226" s="3" t="s">
        <v>3616</v>
      </c>
      <c r="B3226" s="3" t="s">
        <v>283</v>
      </c>
      <c r="C3226" s="3" t="s">
        <v>384</v>
      </c>
      <c r="D3226" s="3" t="s">
        <v>418</v>
      </c>
      <c r="E3226" s="3" t="s">
        <v>398</v>
      </c>
      <c r="F3226" s="16" t="n">
        <v>1</v>
      </c>
      <c r="G3226" s="15" t="n">
        <v>0.15</v>
      </c>
      <c r="H3226" s="16" t="n">
        <v>1</v>
      </c>
      <c r="I3226" s="33" t="n">
        <v>5019.96</v>
      </c>
      <c r="J3226" s="33" t="n">
        <v>5905.92</v>
      </c>
    </row>
    <row r="3227" customFormat="false" ht="15" hidden="false" customHeight="false" outlineLevel="0" collapsed="false">
      <c r="A3227" s="3" t="s">
        <v>3617</v>
      </c>
      <c r="B3227" s="3" t="s">
        <v>283</v>
      </c>
      <c r="C3227" s="3" t="s">
        <v>403</v>
      </c>
      <c r="D3227" s="3" t="s">
        <v>388</v>
      </c>
      <c r="E3227" s="3" t="s">
        <v>398</v>
      </c>
      <c r="F3227" s="16" t="n">
        <v>1</v>
      </c>
      <c r="G3227" s="15" t="n">
        <v>0</v>
      </c>
      <c r="H3227" s="16" t="n">
        <v>1</v>
      </c>
      <c r="I3227" s="33" t="n">
        <v>5014.56</v>
      </c>
      <c r="J3227" s="33" t="n">
        <v>5014.56</v>
      </c>
    </row>
    <row r="3228" customFormat="false" ht="15" hidden="false" customHeight="false" outlineLevel="0" collapsed="false">
      <c r="A3228" s="3" t="s">
        <v>3618</v>
      </c>
      <c r="B3228" s="3" t="s">
        <v>283</v>
      </c>
      <c r="C3228" s="3" t="s">
        <v>401</v>
      </c>
      <c r="D3228" s="3" t="s">
        <v>392</v>
      </c>
      <c r="E3228" s="3" t="s">
        <v>398</v>
      </c>
      <c r="F3228" s="16" t="n">
        <v>12</v>
      </c>
      <c r="G3228" s="15" t="n">
        <v>0</v>
      </c>
      <c r="H3228" s="16" t="n">
        <v>11</v>
      </c>
      <c r="I3228" s="33" t="n">
        <v>5014.32</v>
      </c>
      <c r="J3228" s="33" t="n">
        <v>5014.32</v>
      </c>
    </row>
    <row r="3229" customFormat="false" ht="15" hidden="false" customHeight="false" outlineLevel="0" collapsed="false">
      <c r="A3229" s="3" t="s">
        <v>3619</v>
      </c>
      <c r="B3229" s="3" t="s">
        <v>283</v>
      </c>
      <c r="C3229" s="3" t="s">
        <v>403</v>
      </c>
      <c r="D3229" s="3" t="s">
        <v>692</v>
      </c>
      <c r="E3229" s="3" t="s">
        <v>398</v>
      </c>
      <c r="F3229" s="16" t="n">
        <v>12</v>
      </c>
      <c r="G3229" s="15" t="n">
        <v>0.15</v>
      </c>
      <c r="H3229" s="16" t="n">
        <v>5</v>
      </c>
      <c r="I3229" s="33" t="n">
        <v>5000.4</v>
      </c>
      <c r="J3229" s="33" t="n">
        <v>5882.88</v>
      </c>
    </row>
    <row r="3230" customFormat="false" ht="15" hidden="false" customHeight="false" outlineLevel="0" collapsed="false">
      <c r="A3230" s="3" t="s">
        <v>3620</v>
      </c>
      <c r="B3230" s="3" t="s">
        <v>283</v>
      </c>
      <c r="C3230" s="3" t="s">
        <v>405</v>
      </c>
      <c r="D3230" s="3" t="s">
        <v>692</v>
      </c>
      <c r="E3230" s="3" t="s">
        <v>398</v>
      </c>
      <c r="F3230" s="16" t="n">
        <v>12</v>
      </c>
      <c r="G3230" s="15" t="n">
        <v>0</v>
      </c>
      <c r="H3230" s="16" t="n">
        <v>2</v>
      </c>
      <c r="I3230" s="33" t="n">
        <v>4998.6</v>
      </c>
      <c r="J3230" s="33" t="n">
        <v>4998.6</v>
      </c>
    </row>
    <row r="3231" customFormat="false" ht="15" hidden="false" customHeight="false" outlineLevel="0" collapsed="false">
      <c r="A3231" s="3" t="s">
        <v>3621</v>
      </c>
      <c r="B3231" s="3" t="s">
        <v>283</v>
      </c>
      <c r="C3231" s="3" t="s">
        <v>380</v>
      </c>
      <c r="D3231" s="3" t="s">
        <v>392</v>
      </c>
      <c r="E3231" s="3" t="s">
        <v>398</v>
      </c>
      <c r="F3231" s="16" t="n">
        <v>12</v>
      </c>
      <c r="G3231" s="15" t="n">
        <v>0</v>
      </c>
      <c r="H3231" s="16" t="n">
        <v>7</v>
      </c>
      <c r="I3231" s="33" t="n">
        <v>4992.84</v>
      </c>
      <c r="J3231" s="33" t="n">
        <v>4992.84</v>
      </c>
    </row>
    <row r="3232" customFormat="false" ht="15" hidden="false" customHeight="false" outlineLevel="0" collapsed="false">
      <c r="A3232" s="3" t="s">
        <v>3622</v>
      </c>
      <c r="B3232" s="3" t="s">
        <v>283</v>
      </c>
      <c r="C3232" s="3" t="s">
        <v>380</v>
      </c>
      <c r="D3232" s="3" t="s">
        <v>381</v>
      </c>
      <c r="E3232" s="3" t="s">
        <v>382</v>
      </c>
      <c r="F3232" s="16" t="n">
        <v>1</v>
      </c>
      <c r="G3232" s="15" t="n">
        <v>0</v>
      </c>
      <c r="H3232" s="16" t="n">
        <v>1</v>
      </c>
      <c r="I3232" s="33" t="n">
        <v>4985.76</v>
      </c>
      <c r="J3232" s="33" t="n">
        <v>4985.76</v>
      </c>
    </row>
    <row r="3233" customFormat="false" ht="15" hidden="false" customHeight="false" outlineLevel="0" collapsed="false">
      <c r="A3233" s="3" t="s">
        <v>3623</v>
      </c>
      <c r="B3233" s="3" t="s">
        <v>283</v>
      </c>
      <c r="C3233" s="3" t="s">
        <v>384</v>
      </c>
      <c r="D3233" s="3" t="s">
        <v>392</v>
      </c>
      <c r="E3233" s="3" t="s">
        <v>385</v>
      </c>
      <c r="F3233" s="16" t="n">
        <v>12</v>
      </c>
      <c r="G3233" s="15" t="n">
        <v>0.1</v>
      </c>
      <c r="H3233" s="16" t="n">
        <v>5</v>
      </c>
      <c r="I3233" s="33" t="n">
        <v>4980.96</v>
      </c>
      <c r="J3233" s="33" t="n">
        <v>5534.4</v>
      </c>
    </row>
    <row r="3234" customFormat="false" ht="15" hidden="false" customHeight="false" outlineLevel="0" collapsed="false">
      <c r="A3234" s="3" t="s">
        <v>3624</v>
      </c>
      <c r="B3234" s="3" t="s">
        <v>283</v>
      </c>
      <c r="C3234" s="3" t="s">
        <v>384</v>
      </c>
      <c r="D3234" s="3" t="s">
        <v>388</v>
      </c>
      <c r="E3234" s="3" t="s">
        <v>382</v>
      </c>
      <c r="F3234" s="16" t="n">
        <v>12</v>
      </c>
      <c r="G3234" s="15" t="n">
        <v>0</v>
      </c>
      <c r="H3234" s="16" t="n">
        <v>7</v>
      </c>
      <c r="I3234" s="33" t="n">
        <v>4980.48</v>
      </c>
      <c r="J3234" s="33" t="n">
        <v>4980.48</v>
      </c>
    </row>
    <row r="3235" customFormat="false" ht="15" hidden="false" customHeight="false" outlineLevel="0" collapsed="false">
      <c r="A3235" s="3" t="s">
        <v>3625</v>
      </c>
      <c r="B3235" s="3" t="s">
        <v>283</v>
      </c>
      <c r="C3235" s="3" t="s">
        <v>396</v>
      </c>
      <c r="D3235" s="3" t="s">
        <v>392</v>
      </c>
      <c r="E3235" s="3" t="s">
        <v>398</v>
      </c>
      <c r="F3235" s="16" t="n">
        <v>12</v>
      </c>
      <c r="G3235" s="15" t="n">
        <v>0</v>
      </c>
      <c r="H3235" s="16" t="n">
        <v>9</v>
      </c>
      <c r="I3235" s="33" t="n">
        <v>4977</v>
      </c>
      <c r="J3235" s="33" t="n">
        <v>4977</v>
      </c>
    </row>
    <row r="3236" customFormat="false" ht="15" hidden="false" customHeight="false" outlineLevel="0" collapsed="false">
      <c r="A3236" s="3" t="s">
        <v>3626</v>
      </c>
      <c r="B3236" s="3" t="s">
        <v>283</v>
      </c>
      <c r="C3236" s="3" t="s">
        <v>380</v>
      </c>
      <c r="D3236" s="3" t="s">
        <v>418</v>
      </c>
      <c r="E3236" s="3" t="s">
        <v>398</v>
      </c>
      <c r="F3236" s="16" t="n">
        <v>1</v>
      </c>
      <c r="G3236" s="15" t="n">
        <v>0</v>
      </c>
      <c r="H3236" s="16" t="n">
        <v>1</v>
      </c>
      <c r="I3236" s="33" t="n">
        <v>4968.72</v>
      </c>
      <c r="J3236" s="33" t="n">
        <v>4968.72</v>
      </c>
    </row>
    <row r="3237" customFormat="false" ht="15" hidden="false" customHeight="false" outlineLevel="0" collapsed="false">
      <c r="A3237" s="3" t="s">
        <v>3627</v>
      </c>
      <c r="B3237" s="3" t="s">
        <v>283</v>
      </c>
      <c r="C3237" s="3" t="s">
        <v>380</v>
      </c>
      <c r="D3237" s="3" t="s">
        <v>392</v>
      </c>
      <c r="E3237" s="3" t="s">
        <v>385</v>
      </c>
      <c r="F3237" s="16" t="n">
        <v>1</v>
      </c>
      <c r="G3237" s="15" t="n">
        <v>0</v>
      </c>
      <c r="H3237" s="16" t="n">
        <v>1</v>
      </c>
      <c r="I3237" s="33" t="n">
        <v>4967.64</v>
      </c>
      <c r="J3237" s="33" t="n">
        <v>4967.64</v>
      </c>
    </row>
    <row r="3238" customFormat="false" ht="15" hidden="false" customHeight="false" outlineLevel="0" collapsed="false">
      <c r="A3238" s="3" t="s">
        <v>3628</v>
      </c>
      <c r="B3238" s="3" t="s">
        <v>283</v>
      </c>
      <c r="C3238" s="3" t="s">
        <v>380</v>
      </c>
      <c r="D3238" s="3" t="s">
        <v>418</v>
      </c>
      <c r="E3238" s="3" t="s">
        <v>382</v>
      </c>
      <c r="F3238" s="16" t="n">
        <v>1</v>
      </c>
      <c r="G3238" s="15" t="n">
        <v>0</v>
      </c>
      <c r="H3238" s="16" t="n">
        <v>1</v>
      </c>
      <c r="I3238" s="33" t="n">
        <v>4965.36</v>
      </c>
      <c r="J3238" s="33" t="n">
        <v>4965.36</v>
      </c>
    </row>
    <row r="3239" customFormat="false" ht="15" hidden="false" customHeight="false" outlineLevel="0" collapsed="false">
      <c r="A3239" s="3" t="s">
        <v>3629</v>
      </c>
      <c r="B3239" s="3" t="s">
        <v>283</v>
      </c>
      <c r="C3239" s="3" t="s">
        <v>384</v>
      </c>
      <c r="D3239" s="3" t="s">
        <v>692</v>
      </c>
      <c r="E3239" s="3" t="s">
        <v>398</v>
      </c>
      <c r="F3239" s="16" t="n">
        <v>1</v>
      </c>
      <c r="G3239" s="15" t="n">
        <v>0</v>
      </c>
      <c r="H3239" s="16" t="n">
        <v>1</v>
      </c>
      <c r="I3239" s="33" t="n">
        <v>4962.96</v>
      </c>
      <c r="J3239" s="33" t="n">
        <v>4962.96</v>
      </c>
    </row>
    <row r="3240" customFormat="false" ht="15" hidden="false" customHeight="false" outlineLevel="0" collapsed="false">
      <c r="A3240" s="3" t="s">
        <v>3630</v>
      </c>
      <c r="B3240" s="3" t="s">
        <v>283</v>
      </c>
      <c r="C3240" s="3" t="s">
        <v>384</v>
      </c>
      <c r="D3240" s="3" t="s">
        <v>418</v>
      </c>
      <c r="E3240" s="3" t="s">
        <v>398</v>
      </c>
      <c r="F3240" s="16" t="n">
        <v>12</v>
      </c>
      <c r="G3240" s="15" t="n">
        <v>0.4</v>
      </c>
      <c r="H3240" s="16" t="n">
        <v>2</v>
      </c>
      <c r="I3240" s="33" t="n">
        <v>4958.88</v>
      </c>
      <c r="J3240" s="33" t="n">
        <v>8264.88</v>
      </c>
    </row>
    <row r="3241" customFormat="false" ht="15" hidden="false" customHeight="false" outlineLevel="0" collapsed="false">
      <c r="A3241" s="3" t="s">
        <v>3631</v>
      </c>
      <c r="B3241" s="3" t="s">
        <v>283</v>
      </c>
      <c r="C3241" s="3" t="s">
        <v>384</v>
      </c>
      <c r="D3241" s="3" t="s">
        <v>392</v>
      </c>
      <c r="E3241" s="3" t="s">
        <v>382</v>
      </c>
      <c r="F3241" s="16" t="n">
        <v>1</v>
      </c>
      <c r="G3241" s="15" t="n">
        <v>0.4</v>
      </c>
      <c r="H3241" s="16" t="n">
        <v>1</v>
      </c>
      <c r="I3241" s="33" t="n">
        <v>4958.16</v>
      </c>
      <c r="J3241" s="33" t="n">
        <v>8263.56</v>
      </c>
    </row>
    <row r="3242" customFormat="false" ht="15" hidden="false" customHeight="false" outlineLevel="0" collapsed="false">
      <c r="A3242" s="3" t="s">
        <v>3632</v>
      </c>
      <c r="B3242" s="3" t="s">
        <v>283</v>
      </c>
      <c r="C3242" s="3" t="s">
        <v>384</v>
      </c>
      <c r="D3242" s="3" t="s">
        <v>418</v>
      </c>
      <c r="E3242" s="3" t="s">
        <v>398</v>
      </c>
      <c r="F3242" s="16" t="n">
        <v>12</v>
      </c>
      <c r="G3242" s="15" t="n">
        <v>0.2</v>
      </c>
      <c r="H3242" s="16" t="n">
        <v>12</v>
      </c>
      <c r="I3242" s="33" t="n">
        <v>4937.4</v>
      </c>
      <c r="J3242" s="33" t="n">
        <v>6171.72</v>
      </c>
    </row>
    <row r="3243" customFormat="false" ht="15" hidden="false" customHeight="false" outlineLevel="0" collapsed="false">
      <c r="A3243" s="3" t="s">
        <v>3633</v>
      </c>
      <c r="B3243" s="3" t="s">
        <v>283</v>
      </c>
      <c r="C3243" s="3" t="s">
        <v>384</v>
      </c>
      <c r="D3243" s="3" t="s">
        <v>381</v>
      </c>
      <c r="E3243" s="3" t="s">
        <v>385</v>
      </c>
      <c r="F3243" s="16" t="n">
        <v>12</v>
      </c>
      <c r="G3243" s="15" t="n">
        <v>0.25</v>
      </c>
      <c r="H3243" s="16" t="n">
        <v>11</v>
      </c>
      <c r="I3243" s="33" t="n">
        <v>4920.6</v>
      </c>
      <c r="J3243" s="33" t="n">
        <v>6560.76</v>
      </c>
    </row>
    <row r="3244" customFormat="false" ht="15" hidden="false" customHeight="false" outlineLevel="0" collapsed="false">
      <c r="A3244" s="3" t="s">
        <v>3634</v>
      </c>
      <c r="B3244" s="3" t="s">
        <v>283</v>
      </c>
      <c r="C3244" s="3" t="s">
        <v>387</v>
      </c>
      <c r="D3244" s="3" t="s">
        <v>418</v>
      </c>
      <c r="E3244" s="3" t="s">
        <v>385</v>
      </c>
      <c r="F3244" s="16" t="n">
        <v>12</v>
      </c>
      <c r="G3244" s="15" t="n">
        <v>0.3</v>
      </c>
      <c r="H3244" s="16" t="n">
        <v>9</v>
      </c>
      <c r="I3244" s="33" t="n">
        <v>4914</v>
      </c>
      <c r="J3244" s="33" t="n">
        <v>7020.12</v>
      </c>
    </row>
    <row r="3245" customFormat="false" ht="15" hidden="false" customHeight="false" outlineLevel="0" collapsed="false">
      <c r="A3245" s="3" t="s">
        <v>3635</v>
      </c>
      <c r="B3245" s="3" t="s">
        <v>283</v>
      </c>
      <c r="C3245" s="3" t="s">
        <v>401</v>
      </c>
      <c r="D3245" s="3" t="s">
        <v>418</v>
      </c>
      <c r="E3245" s="3" t="s">
        <v>398</v>
      </c>
      <c r="F3245" s="16" t="n">
        <v>1</v>
      </c>
      <c r="G3245" s="15" t="n">
        <v>0.4</v>
      </c>
      <c r="H3245" s="16" t="n">
        <v>1</v>
      </c>
      <c r="I3245" s="33" t="n">
        <v>4911.24</v>
      </c>
      <c r="J3245" s="33" t="n">
        <v>8185.32</v>
      </c>
    </row>
    <row r="3246" customFormat="false" ht="15" hidden="false" customHeight="false" outlineLevel="0" collapsed="false">
      <c r="A3246" s="3" t="s">
        <v>3636</v>
      </c>
      <c r="B3246" s="3" t="s">
        <v>283</v>
      </c>
      <c r="C3246" s="3" t="s">
        <v>380</v>
      </c>
      <c r="D3246" s="3" t="s">
        <v>418</v>
      </c>
      <c r="E3246" s="3" t="s">
        <v>398</v>
      </c>
      <c r="F3246" s="16" t="n">
        <v>1</v>
      </c>
      <c r="G3246" s="15" t="n">
        <v>0</v>
      </c>
      <c r="H3246" s="16" t="n">
        <v>1</v>
      </c>
      <c r="I3246" s="33" t="n">
        <v>4904.04</v>
      </c>
      <c r="J3246" s="33" t="n">
        <v>4904.04</v>
      </c>
    </row>
    <row r="3247" customFormat="false" ht="15" hidden="false" customHeight="false" outlineLevel="0" collapsed="false">
      <c r="A3247" s="3" t="s">
        <v>3637</v>
      </c>
      <c r="B3247" s="3" t="s">
        <v>283</v>
      </c>
      <c r="C3247" s="3" t="s">
        <v>396</v>
      </c>
      <c r="D3247" s="3" t="s">
        <v>392</v>
      </c>
      <c r="E3247" s="3" t="s">
        <v>398</v>
      </c>
      <c r="F3247" s="16" t="n">
        <v>1</v>
      </c>
      <c r="G3247" s="15" t="n">
        <v>0</v>
      </c>
      <c r="H3247" s="16" t="n">
        <v>1</v>
      </c>
      <c r="I3247" s="33" t="n">
        <v>4899.48</v>
      </c>
      <c r="J3247" s="33" t="n">
        <v>4899.48</v>
      </c>
    </row>
    <row r="3248" customFormat="false" ht="15" hidden="false" customHeight="false" outlineLevel="0" collapsed="false">
      <c r="A3248" s="3" t="s">
        <v>3638</v>
      </c>
      <c r="B3248" s="3" t="s">
        <v>283</v>
      </c>
      <c r="C3248" s="3" t="s">
        <v>384</v>
      </c>
      <c r="D3248" s="3" t="s">
        <v>388</v>
      </c>
      <c r="E3248" s="3" t="s">
        <v>385</v>
      </c>
      <c r="F3248" s="16" t="n">
        <v>12</v>
      </c>
      <c r="G3248" s="15" t="n">
        <v>0</v>
      </c>
      <c r="H3248" s="16" t="n">
        <v>6</v>
      </c>
      <c r="I3248" s="33" t="n">
        <v>4896.84</v>
      </c>
      <c r="J3248" s="33" t="n">
        <v>4896.84</v>
      </c>
    </row>
    <row r="3249" customFormat="false" ht="15" hidden="false" customHeight="false" outlineLevel="0" collapsed="false">
      <c r="A3249" s="3" t="s">
        <v>3639</v>
      </c>
      <c r="B3249" s="3" t="s">
        <v>283</v>
      </c>
      <c r="C3249" s="3" t="s">
        <v>401</v>
      </c>
      <c r="D3249" s="3" t="s">
        <v>692</v>
      </c>
      <c r="E3249" s="3" t="s">
        <v>398</v>
      </c>
      <c r="F3249" s="16" t="n">
        <v>1</v>
      </c>
      <c r="G3249" s="15" t="n">
        <v>0</v>
      </c>
      <c r="H3249" s="16" t="n">
        <v>1</v>
      </c>
      <c r="I3249" s="33" t="n">
        <v>4885.56</v>
      </c>
      <c r="J3249" s="33" t="n">
        <v>4885.56</v>
      </c>
    </row>
    <row r="3250" customFormat="false" ht="15" hidden="false" customHeight="false" outlineLevel="0" collapsed="false">
      <c r="A3250" s="3" t="s">
        <v>3640</v>
      </c>
      <c r="B3250" s="3" t="s">
        <v>283</v>
      </c>
      <c r="C3250" s="3" t="s">
        <v>384</v>
      </c>
      <c r="D3250" s="3" t="s">
        <v>381</v>
      </c>
      <c r="E3250" s="3" t="s">
        <v>398</v>
      </c>
      <c r="F3250" s="16" t="n">
        <v>1</v>
      </c>
      <c r="G3250" s="15" t="n">
        <v>0.1</v>
      </c>
      <c r="H3250" s="16" t="n">
        <v>1</v>
      </c>
      <c r="I3250" s="33" t="n">
        <v>4881.48</v>
      </c>
      <c r="J3250" s="33" t="n">
        <v>5423.88</v>
      </c>
    </row>
    <row r="3251" customFormat="false" ht="15" hidden="false" customHeight="false" outlineLevel="0" collapsed="false">
      <c r="A3251" s="3" t="s">
        <v>3641</v>
      </c>
      <c r="B3251" s="3" t="s">
        <v>283</v>
      </c>
      <c r="C3251" s="3" t="s">
        <v>396</v>
      </c>
      <c r="D3251" s="3" t="s">
        <v>692</v>
      </c>
      <c r="E3251" s="3" t="s">
        <v>385</v>
      </c>
      <c r="F3251" s="16" t="n">
        <v>1</v>
      </c>
      <c r="G3251" s="15" t="n">
        <v>0</v>
      </c>
      <c r="H3251" s="16" t="n">
        <v>1</v>
      </c>
      <c r="I3251" s="33" t="n">
        <v>4866.96</v>
      </c>
      <c r="J3251" s="33" t="n">
        <v>4866.96</v>
      </c>
    </row>
    <row r="3252" customFormat="false" ht="15" hidden="false" customHeight="false" outlineLevel="0" collapsed="false">
      <c r="A3252" s="3" t="s">
        <v>3642</v>
      </c>
      <c r="B3252" s="3" t="s">
        <v>283</v>
      </c>
      <c r="C3252" s="3" t="s">
        <v>401</v>
      </c>
      <c r="D3252" s="3" t="s">
        <v>418</v>
      </c>
      <c r="E3252" s="3" t="s">
        <v>398</v>
      </c>
      <c r="F3252" s="16" t="n">
        <v>12</v>
      </c>
      <c r="G3252" s="15" t="n">
        <v>0</v>
      </c>
      <c r="H3252" s="16" t="n">
        <v>12</v>
      </c>
      <c r="I3252" s="33" t="n">
        <v>4862.64</v>
      </c>
      <c r="J3252" s="33" t="n">
        <v>4862.64</v>
      </c>
    </row>
    <row r="3253" customFormat="false" ht="15" hidden="false" customHeight="false" outlineLevel="0" collapsed="false">
      <c r="A3253" s="3" t="s">
        <v>3643</v>
      </c>
      <c r="B3253" s="3" t="s">
        <v>283</v>
      </c>
      <c r="C3253" s="3" t="s">
        <v>401</v>
      </c>
      <c r="D3253" s="3" t="s">
        <v>381</v>
      </c>
      <c r="E3253" s="3" t="s">
        <v>385</v>
      </c>
      <c r="F3253" s="16" t="n">
        <v>12</v>
      </c>
      <c r="G3253" s="15" t="n">
        <v>0</v>
      </c>
      <c r="H3253" s="16" t="n">
        <v>8</v>
      </c>
      <c r="I3253" s="33" t="n">
        <v>4862.04</v>
      </c>
      <c r="J3253" s="33" t="n">
        <v>4862.04</v>
      </c>
    </row>
    <row r="3254" customFormat="false" ht="15" hidden="false" customHeight="false" outlineLevel="0" collapsed="false">
      <c r="A3254" s="3" t="s">
        <v>3644</v>
      </c>
      <c r="B3254" s="3" t="s">
        <v>283</v>
      </c>
      <c r="C3254" s="3" t="s">
        <v>401</v>
      </c>
      <c r="D3254" s="3" t="s">
        <v>692</v>
      </c>
      <c r="E3254" s="3" t="s">
        <v>385</v>
      </c>
      <c r="F3254" s="16" t="n">
        <v>1</v>
      </c>
      <c r="G3254" s="15" t="n">
        <v>0</v>
      </c>
      <c r="H3254" s="16" t="n">
        <v>1</v>
      </c>
      <c r="I3254" s="33" t="n">
        <v>4850.52</v>
      </c>
      <c r="J3254" s="33" t="n">
        <v>4850.52</v>
      </c>
    </row>
    <row r="3255" customFormat="false" ht="15" hidden="false" customHeight="false" outlineLevel="0" collapsed="false">
      <c r="A3255" s="3" t="s">
        <v>3645</v>
      </c>
      <c r="B3255" s="3" t="s">
        <v>283</v>
      </c>
      <c r="C3255" s="3" t="s">
        <v>396</v>
      </c>
      <c r="D3255" s="3" t="s">
        <v>418</v>
      </c>
      <c r="E3255" s="3" t="s">
        <v>385</v>
      </c>
      <c r="F3255" s="16" t="n">
        <v>1</v>
      </c>
      <c r="G3255" s="15" t="n">
        <v>0</v>
      </c>
      <c r="H3255" s="16" t="n">
        <v>1</v>
      </c>
      <c r="I3255" s="33" t="n">
        <v>4846.8</v>
      </c>
      <c r="J3255" s="33" t="n">
        <v>4846.8</v>
      </c>
    </row>
    <row r="3256" customFormat="false" ht="15" hidden="false" customHeight="false" outlineLevel="0" collapsed="false">
      <c r="A3256" s="3" t="s">
        <v>3646</v>
      </c>
      <c r="B3256" s="3" t="s">
        <v>283</v>
      </c>
      <c r="C3256" s="3" t="s">
        <v>401</v>
      </c>
      <c r="D3256" s="3" t="s">
        <v>692</v>
      </c>
      <c r="E3256" s="3" t="s">
        <v>398</v>
      </c>
      <c r="F3256" s="16" t="n">
        <v>1</v>
      </c>
      <c r="G3256" s="15" t="n">
        <v>0</v>
      </c>
      <c r="H3256" s="16" t="n">
        <v>1</v>
      </c>
      <c r="I3256" s="33" t="n">
        <v>4841.76</v>
      </c>
      <c r="J3256" s="33" t="n">
        <v>4841.76</v>
      </c>
    </row>
    <row r="3257" customFormat="false" ht="15" hidden="false" customHeight="false" outlineLevel="0" collapsed="false">
      <c r="A3257" s="3" t="s">
        <v>3647</v>
      </c>
      <c r="B3257" s="3" t="s">
        <v>283</v>
      </c>
      <c r="C3257" s="3" t="s">
        <v>403</v>
      </c>
      <c r="D3257" s="3" t="s">
        <v>392</v>
      </c>
      <c r="E3257" s="3" t="s">
        <v>385</v>
      </c>
      <c r="F3257" s="16" t="n">
        <v>1</v>
      </c>
      <c r="G3257" s="15" t="n">
        <v>0</v>
      </c>
      <c r="H3257" s="16" t="n">
        <v>1</v>
      </c>
      <c r="I3257" s="33" t="n">
        <v>4814.04</v>
      </c>
      <c r="J3257" s="33" t="n">
        <v>4814.04</v>
      </c>
    </row>
    <row r="3258" customFormat="false" ht="15" hidden="false" customHeight="false" outlineLevel="0" collapsed="false">
      <c r="A3258" s="3" t="s">
        <v>3648</v>
      </c>
      <c r="B3258" s="3" t="s">
        <v>283</v>
      </c>
      <c r="C3258" s="3" t="s">
        <v>384</v>
      </c>
      <c r="D3258" s="3" t="s">
        <v>692</v>
      </c>
      <c r="E3258" s="3" t="s">
        <v>398</v>
      </c>
      <c r="F3258" s="16" t="n">
        <v>12</v>
      </c>
      <c r="G3258" s="15" t="n">
        <v>0</v>
      </c>
      <c r="H3258" s="16" t="n">
        <v>9</v>
      </c>
      <c r="I3258" s="33" t="n">
        <v>4806.48</v>
      </c>
      <c r="J3258" s="33" t="n">
        <v>4806.48</v>
      </c>
    </row>
    <row r="3259" customFormat="false" ht="15" hidden="false" customHeight="false" outlineLevel="0" collapsed="false">
      <c r="A3259" s="3" t="s">
        <v>3649</v>
      </c>
      <c r="B3259" s="3" t="s">
        <v>283</v>
      </c>
      <c r="C3259" s="3" t="s">
        <v>403</v>
      </c>
      <c r="D3259" s="3" t="s">
        <v>388</v>
      </c>
      <c r="E3259" s="3" t="s">
        <v>398</v>
      </c>
      <c r="F3259" s="16" t="n">
        <v>1</v>
      </c>
      <c r="G3259" s="15" t="n">
        <v>0.2</v>
      </c>
      <c r="H3259" s="16" t="n">
        <v>1</v>
      </c>
      <c r="I3259" s="33" t="n">
        <v>4806.12</v>
      </c>
      <c r="J3259" s="33" t="n">
        <v>6007.68</v>
      </c>
    </row>
    <row r="3260" customFormat="false" ht="15" hidden="false" customHeight="false" outlineLevel="0" collapsed="false">
      <c r="A3260" s="3" t="s">
        <v>3650</v>
      </c>
      <c r="B3260" s="3" t="s">
        <v>283</v>
      </c>
      <c r="C3260" s="3" t="s">
        <v>396</v>
      </c>
      <c r="D3260" s="3" t="s">
        <v>381</v>
      </c>
      <c r="E3260" s="3" t="s">
        <v>398</v>
      </c>
      <c r="F3260" s="16" t="n">
        <v>12</v>
      </c>
      <c r="G3260" s="15" t="n">
        <v>0.1</v>
      </c>
      <c r="H3260" s="16" t="n">
        <v>6</v>
      </c>
      <c r="I3260" s="33" t="n">
        <v>4800.36</v>
      </c>
      <c r="J3260" s="33" t="n">
        <v>5333.76</v>
      </c>
    </row>
    <row r="3261" customFormat="false" ht="15" hidden="false" customHeight="false" outlineLevel="0" collapsed="false">
      <c r="A3261" s="3" t="s">
        <v>3651</v>
      </c>
      <c r="B3261" s="3" t="s">
        <v>283</v>
      </c>
      <c r="C3261" s="3" t="s">
        <v>396</v>
      </c>
      <c r="D3261" s="3" t="s">
        <v>418</v>
      </c>
      <c r="E3261" s="3" t="s">
        <v>398</v>
      </c>
      <c r="F3261" s="16" t="n">
        <v>1</v>
      </c>
      <c r="G3261" s="15" t="n">
        <v>0</v>
      </c>
      <c r="H3261" s="16" t="n">
        <v>1</v>
      </c>
      <c r="I3261" s="33" t="n">
        <v>4795.92</v>
      </c>
      <c r="J3261" s="33" t="n">
        <v>4795.92</v>
      </c>
    </row>
    <row r="3262" customFormat="false" ht="15" hidden="false" customHeight="false" outlineLevel="0" collapsed="false">
      <c r="A3262" s="3" t="s">
        <v>3652</v>
      </c>
      <c r="B3262" s="3" t="s">
        <v>283</v>
      </c>
      <c r="C3262" s="3" t="s">
        <v>405</v>
      </c>
      <c r="D3262" s="3" t="s">
        <v>388</v>
      </c>
      <c r="E3262" s="3" t="s">
        <v>398</v>
      </c>
      <c r="F3262" s="16" t="n">
        <v>1</v>
      </c>
      <c r="G3262" s="15" t="n">
        <v>0</v>
      </c>
      <c r="H3262" s="16" t="n">
        <v>1</v>
      </c>
      <c r="I3262" s="33" t="n">
        <v>4788.12</v>
      </c>
      <c r="J3262" s="33" t="n">
        <v>4788.12</v>
      </c>
    </row>
    <row r="3263" customFormat="false" ht="15" hidden="false" customHeight="false" outlineLevel="0" collapsed="false">
      <c r="A3263" s="3" t="s">
        <v>3653</v>
      </c>
      <c r="B3263" s="3" t="s">
        <v>283</v>
      </c>
      <c r="C3263" s="3" t="s">
        <v>403</v>
      </c>
      <c r="D3263" s="3" t="s">
        <v>418</v>
      </c>
      <c r="E3263" s="3" t="s">
        <v>398</v>
      </c>
      <c r="F3263" s="16" t="n">
        <v>1</v>
      </c>
      <c r="G3263" s="15" t="n">
        <v>0</v>
      </c>
      <c r="H3263" s="16" t="n">
        <v>1</v>
      </c>
      <c r="I3263" s="33" t="n">
        <v>4783.92</v>
      </c>
      <c r="J3263" s="33" t="n">
        <v>4783.92</v>
      </c>
    </row>
    <row r="3264" customFormat="false" ht="15" hidden="false" customHeight="false" outlineLevel="0" collapsed="false">
      <c r="A3264" s="3" t="s">
        <v>3654</v>
      </c>
      <c r="B3264" s="3" t="s">
        <v>283</v>
      </c>
      <c r="C3264" s="3" t="s">
        <v>403</v>
      </c>
      <c r="D3264" s="3" t="s">
        <v>692</v>
      </c>
      <c r="E3264" s="3" t="s">
        <v>398</v>
      </c>
      <c r="F3264" s="16" t="n">
        <v>1</v>
      </c>
      <c r="G3264" s="15" t="n">
        <v>0</v>
      </c>
      <c r="H3264" s="16" t="n">
        <v>1</v>
      </c>
      <c r="I3264" s="33" t="n">
        <v>4782.24</v>
      </c>
      <c r="J3264" s="33" t="n">
        <v>4782.24</v>
      </c>
    </row>
    <row r="3265" customFormat="false" ht="15" hidden="false" customHeight="false" outlineLevel="0" collapsed="false">
      <c r="A3265" s="3" t="s">
        <v>3655</v>
      </c>
      <c r="B3265" s="3" t="s">
        <v>283</v>
      </c>
      <c r="C3265" s="3" t="s">
        <v>387</v>
      </c>
      <c r="D3265" s="3" t="s">
        <v>692</v>
      </c>
      <c r="E3265" s="3" t="s">
        <v>398</v>
      </c>
      <c r="F3265" s="16" t="n">
        <v>12</v>
      </c>
      <c r="G3265" s="15" t="n">
        <v>0</v>
      </c>
      <c r="H3265" s="16" t="n">
        <v>7</v>
      </c>
      <c r="I3265" s="33" t="n">
        <v>4779.6</v>
      </c>
      <c r="J3265" s="33" t="n">
        <v>4779.6</v>
      </c>
    </row>
    <row r="3266" customFormat="false" ht="15" hidden="false" customHeight="false" outlineLevel="0" collapsed="false">
      <c r="A3266" s="3" t="s">
        <v>3656</v>
      </c>
      <c r="B3266" s="3" t="s">
        <v>283</v>
      </c>
      <c r="C3266" s="3" t="s">
        <v>387</v>
      </c>
      <c r="D3266" s="3" t="s">
        <v>692</v>
      </c>
      <c r="E3266" s="3" t="s">
        <v>398</v>
      </c>
      <c r="F3266" s="16" t="n">
        <v>1</v>
      </c>
      <c r="G3266" s="15" t="n">
        <v>0</v>
      </c>
      <c r="H3266" s="16" t="n">
        <v>1</v>
      </c>
      <c r="I3266" s="33" t="n">
        <v>4775.76</v>
      </c>
      <c r="J3266" s="33" t="n">
        <v>4775.76</v>
      </c>
    </row>
    <row r="3267" customFormat="false" ht="15" hidden="false" customHeight="false" outlineLevel="0" collapsed="false">
      <c r="A3267" s="3" t="s">
        <v>3657</v>
      </c>
      <c r="B3267" s="3" t="s">
        <v>283</v>
      </c>
      <c r="C3267" s="3" t="s">
        <v>403</v>
      </c>
      <c r="D3267" s="3" t="s">
        <v>418</v>
      </c>
      <c r="E3267" s="3" t="s">
        <v>398</v>
      </c>
      <c r="F3267" s="16" t="n">
        <v>12</v>
      </c>
      <c r="G3267" s="15" t="n">
        <v>0</v>
      </c>
      <c r="H3267" s="16" t="n">
        <v>12</v>
      </c>
      <c r="I3267" s="33" t="n">
        <v>4764.72</v>
      </c>
      <c r="J3267" s="33" t="n">
        <v>4764.72</v>
      </c>
    </row>
    <row r="3268" customFormat="false" ht="15" hidden="false" customHeight="false" outlineLevel="0" collapsed="false">
      <c r="A3268" s="3" t="s">
        <v>3658</v>
      </c>
      <c r="B3268" s="3" t="s">
        <v>283</v>
      </c>
      <c r="C3268" s="3" t="s">
        <v>405</v>
      </c>
      <c r="D3268" s="3" t="s">
        <v>692</v>
      </c>
      <c r="E3268" s="3" t="s">
        <v>398</v>
      </c>
      <c r="F3268" s="16" t="n">
        <v>1</v>
      </c>
      <c r="G3268" s="15" t="n">
        <v>0.1</v>
      </c>
      <c r="H3268" s="16" t="n">
        <v>1</v>
      </c>
      <c r="I3268" s="33" t="n">
        <v>4758.48</v>
      </c>
      <c r="J3268" s="33" t="n">
        <v>5287.2</v>
      </c>
    </row>
    <row r="3269" customFormat="false" ht="15" hidden="false" customHeight="false" outlineLevel="0" collapsed="false">
      <c r="A3269" s="3" t="s">
        <v>3659</v>
      </c>
      <c r="B3269" s="3" t="s">
        <v>283</v>
      </c>
      <c r="C3269" s="3" t="s">
        <v>380</v>
      </c>
      <c r="D3269" s="3" t="s">
        <v>392</v>
      </c>
      <c r="E3269" s="3" t="s">
        <v>385</v>
      </c>
      <c r="F3269" s="16" t="n">
        <v>1</v>
      </c>
      <c r="G3269" s="15" t="n">
        <v>0</v>
      </c>
      <c r="H3269" s="16" t="n">
        <v>1</v>
      </c>
      <c r="I3269" s="33" t="n">
        <v>4741.2</v>
      </c>
      <c r="J3269" s="33" t="n">
        <v>4741.2</v>
      </c>
    </row>
    <row r="3270" customFormat="false" ht="15" hidden="false" customHeight="false" outlineLevel="0" collapsed="false">
      <c r="A3270" s="3" t="s">
        <v>3660</v>
      </c>
      <c r="B3270" s="3" t="s">
        <v>283</v>
      </c>
      <c r="C3270" s="3" t="s">
        <v>384</v>
      </c>
      <c r="D3270" s="3" t="s">
        <v>392</v>
      </c>
      <c r="E3270" s="3" t="s">
        <v>398</v>
      </c>
      <c r="F3270" s="16" t="n">
        <v>12</v>
      </c>
      <c r="G3270" s="15" t="n">
        <v>0.1</v>
      </c>
      <c r="H3270" s="16" t="n">
        <v>2</v>
      </c>
      <c r="I3270" s="33" t="n">
        <v>4737.12</v>
      </c>
      <c r="J3270" s="33" t="n">
        <v>5263.44</v>
      </c>
    </row>
    <row r="3271" customFormat="false" ht="15" hidden="false" customHeight="false" outlineLevel="0" collapsed="false">
      <c r="A3271" s="3" t="s">
        <v>3661</v>
      </c>
      <c r="B3271" s="3" t="s">
        <v>283</v>
      </c>
      <c r="C3271" s="3" t="s">
        <v>403</v>
      </c>
      <c r="D3271" s="3" t="s">
        <v>392</v>
      </c>
      <c r="E3271" s="3" t="s">
        <v>382</v>
      </c>
      <c r="F3271" s="16" t="n">
        <v>12</v>
      </c>
      <c r="G3271" s="15" t="n">
        <v>0</v>
      </c>
      <c r="H3271" s="16" t="n">
        <v>1</v>
      </c>
      <c r="I3271" s="33" t="n">
        <v>4732.2</v>
      </c>
      <c r="J3271" s="33" t="n">
        <v>4732.2</v>
      </c>
    </row>
    <row r="3272" customFormat="false" ht="15" hidden="false" customHeight="false" outlineLevel="0" collapsed="false">
      <c r="A3272" s="3" t="s">
        <v>3662</v>
      </c>
      <c r="B3272" s="3" t="s">
        <v>283</v>
      </c>
      <c r="C3272" s="3" t="s">
        <v>384</v>
      </c>
      <c r="D3272" s="3" t="s">
        <v>692</v>
      </c>
      <c r="E3272" s="3" t="s">
        <v>398</v>
      </c>
      <c r="F3272" s="16" t="n">
        <v>12</v>
      </c>
      <c r="G3272" s="15" t="n">
        <v>0</v>
      </c>
      <c r="H3272" s="16" t="n">
        <v>6</v>
      </c>
      <c r="I3272" s="33" t="n">
        <v>4731.84</v>
      </c>
      <c r="J3272" s="33" t="n">
        <v>4731.84</v>
      </c>
    </row>
    <row r="3273" customFormat="false" ht="15" hidden="false" customHeight="false" outlineLevel="0" collapsed="false">
      <c r="A3273" s="3" t="s">
        <v>3663</v>
      </c>
      <c r="B3273" s="3" t="s">
        <v>283</v>
      </c>
      <c r="C3273" s="3" t="s">
        <v>403</v>
      </c>
      <c r="D3273" s="3" t="s">
        <v>418</v>
      </c>
      <c r="E3273" s="3" t="s">
        <v>385</v>
      </c>
      <c r="F3273" s="16" t="n">
        <v>1</v>
      </c>
      <c r="G3273" s="15" t="n">
        <v>0</v>
      </c>
      <c r="H3273" s="16" t="n">
        <v>1</v>
      </c>
      <c r="I3273" s="33" t="n">
        <v>4729.44</v>
      </c>
      <c r="J3273" s="33" t="n">
        <v>4729.44</v>
      </c>
    </row>
    <row r="3274" customFormat="false" ht="15" hidden="false" customHeight="false" outlineLevel="0" collapsed="false">
      <c r="A3274" s="3" t="s">
        <v>3664</v>
      </c>
      <c r="B3274" s="3" t="s">
        <v>283</v>
      </c>
      <c r="C3274" s="3" t="s">
        <v>401</v>
      </c>
      <c r="D3274" s="3" t="s">
        <v>692</v>
      </c>
      <c r="E3274" s="3" t="s">
        <v>385</v>
      </c>
      <c r="F3274" s="16" t="n">
        <v>12</v>
      </c>
      <c r="G3274" s="15" t="n">
        <v>0</v>
      </c>
      <c r="H3274" s="16" t="n">
        <v>11</v>
      </c>
      <c r="I3274" s="33" t="n">
        <v>4728.6</v>
      </c>
      <c r="J3274" s="33" t="n">
        <v>4728.6</v>
      </c>
    </row>
    <row r="3275" customFormat="false" ht="15" hidden="false" customHeight="false" outlineLevel="0" collapsed="false">
      <c r="A3275" s="3" t="s">
        <v>3665</v>
      </c>
      <c r="B3275" s="3" t="s">
        <v>283</v>
      </c>
      <c r="C3275" s="3" t="s">
        <v>396</v>
      </c>
      <c r="D3275" s="3" t="s">
        <v>692</v>
      </c>
      <c r="E3275" s="3" t="s">
        <v>398</v>
      </c>
      <c r="F3275" s="16" t="n">
        <v>12</v>
      </c>
      <c r="G3275" s="15" t="n">
        <v>0</v>
      </c>
      <c r="H3275" s="16" t="n">
        <v>9</v>
      </c>
      <c r="I3275" s="33" t="n">
        <v>4720.08</v>
      </c>
      <c r="J3275" s="33" t="n">
        <v>4720.08</v>
      </c>
    </row>
    <row r="3276" customFormat="false" ht="15" hidden="false" customHeight="false" outlineLevel="0" collapsed="false">
      <c r="A3276" s="3" t="s">
        <v>3666</v>
      </c>
      <c r="B3276" s="3" t="s">
        <v>283</v>
      </c>
      <c r="C3276" s="3" t="s">
        <v>401</v>
      </c>
      <c r="D3276" s="3" t="s">
        <v>392</v>
      </c>
      <c r="E3276" s="3" t="s">
        <v>385</v>
      </c>
      <c r="F3276" s="16" t="n">
        <v>1</v>
      </c>
      <c r="G3276" s="15" t="n">
        <v>0</v>
      </c>
      <c r="H3276" s="16" t="n">
        <v>1</v>
      </c>
      <c r="I3276" s="33" t="n">
        <v>4719.48</v>
      </c>
      <c r="J3276" s="33" t="n">
        <v>4719.48</v>
      </c>
    </row>
    <row r="3277" customFormat="false" ht="15" hidden="false" customHeight="false" outlineLevel="0" collapsed="false">
      <c r="A3277" s="3" t="s">
        <v>3667</v>
      </c>
      <c r="B3277" s="3" t="s">
        <v>283</v>
      </c>
      <c r="C3277" s="3" t="s">
        <v>387</v>
      </c>
      <c r="D3277" s="3" t="s">
        <v>692</v>
      </c>
      <c r="E3277" s="3" t="s">
        <v>398</v>
      </c>
      <c r="F3277" s="16" t="n">
        <v>12</v>
      </c>
      <c r="G3277" s="15" t="n">
        <v>0</v>
      </c>
      <c r="H3277" s="16" t="n">
        <v>2</v>
      </c>
      <c r="I3277" s="33" t="n">
        <v>4716.36</v>
      </c>
      <c r="J3277" s="33" t="n">
        <v>4716.36</v>
      </c>
    </row>
    <row r="3278" customFormat="false" ht="15" hidden="false" customHeight="false" outlineLevel="0" collapsed="false">
      <c r="A3278" s="3" t="s">
        <v>3668</v>
      </c>
      <c r="B3278" s="3" t="s">
        <v>283</v>
      </c>
      <c r="C3278" s="3" t="s">
        <v>401</v>
      </c>
      <c r="D3278" s="3" t="s">
        <v>388</v>
      </c>
      <c r="E3278" s="3" t="s">
        <v>382</v>
      </c>
      <c r="F3278" s="16" t="n">
        <v>1</v>
      </c>
      <c r="G3278" s="15" t="n">
        <v>0</v>
      </c>
      <c r="H3278" s="16" t="n">
        <v>1</v>
      </c>
      <c r="I3278" s="33" t="n">
        <v>4715.28</v>
      </c>
      <c r="J3278" s="33" t="n">
        <v>4715.28</v>
      </c>
    </row>
    <row r="3279" customFormat="false" ht="15" hidden="false" customHeight="false" outlineLevel="0" collapsed="false">
      <c r="A3279" s="3" t="s">
        <v>3669</v>
      </c>
      <c r="B3279" s="3" t="s">
        <v>283</v>
      </c>
      <c r="C3279" s="3" t="s">
        <v>403</v>
      </c>
      <c r="D3279" s="3" t="s">
        <v>692</v>
      </c>
      <c r="E3279" s="3" t="s">
        <v>385</v>
      </c>
      <c r="F3279" s="16" t="n">
        <v>1</v>
      </c>
      <c r="G3279" s="15" t="n">
        <v>0</v>
      </c>
      <c r="H3279" s="16" t="n">
        <v>1</v>
      </c>
      <c r="I3279" s="33" t="n">
        <v>4715.04</v>
      </c>
      <c r="J3279" s="33" t="n">
        <v>4715.04</v>
      </c>
    </row>
    <row r="3280" customFormat="false" ht="15" hidden="false" customHeight="false" outlineLevel="0" collapsed="false">
      <c r="A3280" s="3" t="s">
        <v>3670</v>
      </c>
      <c r="B3280" s="3" t="s">
        <v>283</v>
      </c>
      <c r="C3280" s="3" t="s">
        <v>403</v>
      </c>
      <c r="D3280" s="3" t="s">
        <v>692</v>
      </c>
      <c r="E3280" s="3" t="s">
        <v>398</v>
      </c>
      <c r="F3280" s="16" t="n">
        <v>1</v>
      </c>
      <c r="G3280" s="15" t="n">
        <v>0</v>
      </c>
      <c r="H3280" s="16" t="n">
        <v>1</v>
      </c>
      <c r="I3280" s="33" t="n">
        <v>4707.36</v>
      </c>
      <c r="J3280" s="33" t="n">
        <v>4707.36</v>
      </c>
    </row>
    <row r="3281" customFormat="false" ht="15" hidden="false" customHeight="false" outlineLevel="0" collapsed="false">
      <c r="A3281" s="3" t="s">
        <v>3671</v>
      </c>
      <c r="B3281" s="3" t="s">
        <v>283</v>
      </c>
      <c r="C3281" s="3" t="s">
        <v>403</v>
      </c>
      <c r="D3281" s="3" t="s">
        <v>392</v>
      </c>
      <c r="E3281" s="3" t="s">
        <v>382</v>
      </c>
      <c r="F3281" s="16" t="n">
        <v>1</v>
      </c>
      <c r="G3281" s="15" t="n">
        <v>0</v>
      </c>
      <c r="H3281" s="16" t="n">
        <v>1</v>
      </c>
      <c r="I3281" s="33" t="n">
        <v>4706.04</v>
      </c>
      <c r="J3281" s="33" t="n">
        <v>4706.04</v>
      </c>
    </row>
    <row r="3282" customFormat="false" ht="15" hidden="false" customHeight="false" outlineLevel="0" collapsed="false">
      <c r="A3282" s="3" t="s">
        <v>3672</v>
      </c>
      <c r="B3282" s="3" t="s">
        <v>283</v>
      </c>
      <c r="C3282" s="3" t="s">
        <v>405</v>
      </c>
      <c r="D3282" s="3" t="s">
        <v>392</v>
      </c>
      <c r="E3282" s="3" t="s">
        <v>382</v>
      </c>
      <c r="F3282" s="16" t="n">
        <v>1</v>
      </c>
      <c r="G3282" s="15" t="n">
        <v>0.1</v>
      </c>
      <c r="H3282" s="16" t="n">
        <v>1</v>
      </c>
      <c r="I3282" s="33" t="n">
        <v>4695.12</v>
      </c>
      <c r="J3282" s="33" t="n">
        <v>5216.88</v>
      </c>
    </row>
    <row r="3283" customFormat="false" ht="15" hidden="false" customHeight="false" outlineLevel="0" collapsed="false">
      <c r="A3283" s="3" t="s">
        <v>3673</v>
      </c>
      <c r="B3283" s="3" t="s">
        <v>283</v>
      </c>
      <c r="C3283" s="3" t="s">
        <v>401</v>
      </c>
      <c r="D3283" s="3" t="s">
        <v>692</v>
      </c>
      <c r="E3283" s="3" t="s">
        <v>398</v>
      </c>
      <c r="F3283" s="16" t="n">
        <v>1</v>
      </c>
      <c r="G3283" s="15" t="n">
        <v>0.1</v>
      </c>
      <c r="H3283" s="16" t="n">
        <v>1</v>
      </c>
      <c r="I3283" s="33" t="n">
        <v>4692.84</v>
      </c>
      <c r="J3283" s="33" t="n">
        <v>5214.24</v>
      </c>
    </row>
    <row r="3284" customFormat="false" ht="15" hidden="false" customHeight="false" outlineLevel="0" collapsed="false">
      <c r="A3284" s="3" t="s">
        <v>3674</v>
      </c>
      <c r="B3284" s="3" t="s">
        <v>283</v>
      </c>
      <c r="C3284" s="3" t="s">
        <v>380</v>
      </c>
      <c r="D3284" s="3" t="s">
        <v>692</v>
      </c>
      <c r="E3284" s="3" t="s">
        <v>398</v>
      </c>
      <c r="F3284" s="16" t="n">
        <v>12</v>
      </c>
      <c r="G3284" s="15" t="n">
        <v>0</v>
      </c>
      <c r="H3284" s="16" t="n">
        <v>7</v>
      </c>
      <c r="I3284" s="33" t="n">
        <v>4680.48</v>
      </c>
      <c r="J3284" s="33" t="n">
        <v>4680.48</v>
      </c>
    </row>
    <row r="3285" customFormat="false" ht="15" hidden="false" customHeight="false" outlineLevel="0" collapsed="false">
      <c r="A3285" s="3" t="s">
        <v>3675</v>
      </c>
      <c r="B3285" s="3" t="s">
        <v>283</v>
      </c>
      <c r="C3285" s="3" t="s">
        <v>387</v>
      </c>
      <c r="D3285" s="3" t="s">
        <v>418</v>
      </c>
      <c r="E3285" s="3" t="s">
        <v>398</v>
      </c>
      <c r="F3285" s="16" t="n">
        <v>12</v>
      </c>
      <c r="G3285" s="15" t="n">
        <v>0.2</v>
      </c>
      <c r="H3285" s="16" t="n">
        <v>9</v>
      </c>
      <c r="I3285" s="33" t="n">
        <v>4680.24</v>
      </c>
      <c r="J3285" s="33" t="n">
        <v>5850.24</v>
      </c>
    </row>
    <row r="3286" customFormat="false" ht="15" hidden="false" customHeight="false" outlineLevel="0" collapsed="false">
      <c r="A3286" s="3" t="s">
        <v>3676</v>
      </c>
      <c r="B3286" s="3" t="s">
        <v>283</v>
      </c>
      <c r="C3286" s="3" t="s">
        <v>403</v>
      </c>
      <c r="D3286" s="3" t="s">
        <v>381</v>
      </c>
      <c r="E3286" s="3" t="s">
        <v>398</v>
      </c>
      <c r="F3286" s="16" t="n">
        <v>1</v>
      </c>
      <c r="G3286" s="15" t="n">
        <v>0</v>
      </c>
      <c r="H3286" s="16" t="n">
        <v>1</v>
      </c>
      <c r="I3286" s="33" t="n">
        <v>4678.32</v>
      </c>
      <c r="J3286" s="33" t="n">
        <v>4678.32</v>
      </c>
    </row>
    <row r="3287" customFormat="false" ht="15" hidden="false" customHeight="false" outlineLevel="0" collapsed="false">
      <c r="A3287" s="3" t="s">
        <v>3677</v>
      </c>
      <c r="B3287" s="3" t="s">
        <v>283</v>
      </c>
      <c r="C3287" s="3" t="s">
        <v>380</v>
      </c>
      <c r="D3287" s="3" t="s">
        <v>692</v>
      </c>
      <c r="E3287" s="3" t="s">
        <v>398</v>
      </c>
      <c r="F3287" s="16" t="n">
        <v>1</v>
      </c>
      <c r="G3287" s="15" t="n">
        <v>0</v>
      </c>
      <c r="H3287" s="16" t="n">
        <v>1</v>
      </c>
      <c r="I3287" s="33" t="n">
        <v>4675.56</v>
      </c>
      <c r="J3287" s="33" t="n">
        <v>4675.56</v>
      </c>
    </row>
    <row r="3288" customFormat="false" ht="15" hidden="false" customHeight="false" outlineLevel="0" collapsed="false">
      <c r="A3288" s="3" t="s">
        <v>3678</v>
      </c>
      <c r="B3288" s="3" t="s">
        <v>283</v>
      </c>
      <c r="C3288" s="3" t="s">
        <v>396</v>
      </c>
      <c r="D3288" s="3" t="s">
        <v>392</v>
      </c>
      <c r="E3288" s="3" t="s">
        <v>398</v>
      </c>
      <c r="F3288" s="16" t="n">
        <v>12</v>
      </c>
      <c r="G3288" s="15" t="n">
        <v>0</v>
      </c>
      <c r="H3288" s="16" t="n">
        <v>7</v>
      </c>
      <c r="I3288" s="33" t="n">
        <v>4674</v>
      </c>
      <c r="J3288" s="33" t="n">
        <v>4674</v>
      </c>
    </row>
    <row r="3289" customFormat="false" ht="15" hidden="false" customHeight="false" outlineLevel="0" collapsed="false">
      <c r="A3289" s="3" t="s">
        <v>3679</v>
      </c>
      <c r="B3289" s="3" t="s">
        <v>283</v>
      </c>
      <c r="C3289" s="3" t="s">
        <v>384</v>
      </c>
      <c r="D3289" s="3" t="s">
        <v>692</v>
      </c>
      <c r="E3289" s="3" t="s">
        <v>398</v>
      </c>
      <c r="F3289" s="16" t="n">
        <v>1</v>
      </c>
      <c r="G3289" s="15" t="n">
        <v>0.2</v>
      </c>
      <c r="H3289" s="16" t="n">
        <v>1</v>
      </c>
      <c r="I3289" s="33" t="n">
        <v>4663.92</v>
      </c>
      <c r="J3289" s="33" t="n">
        <v>5829.84</v>
      </c>
    </row>
    <row r="3290" customFormat="false" ht="15" hidden="false" customHeight="false" outlineLevel="0" collapsed="false">
      <c r="A3290" s="3" t="s">
        <v>3680</v>
      </c>
      <c r="B3290" s="3" t="s">
        <v>283</v>
      </c>
      <c r="C3290" s="3" t="s">
        <v>405</v>
      </c>
      <c r="D3290" s="3" t="s">
        <v>418</v>
      </c>
      <c r="E3290" s="3" t="s">
        <v>398</v>
      </c>
      <c r="F3290" s="16" t="n">
        <v>12</v>
      </c>
      <c r="G3290" s="15" t="n">
        <v>0</v>
      </c>
      <c r="H3290" s="16" t="n">
        <v>8</v>
      </c>
      <c r="I3290" s="33" t="n">
        <v>4663.32</v>
      </c>
      <c r="J3290" s="33" t="n">
        <v>4663.32</v>
      </c>
    </row>
    <row r="3291" customFormat="false" ht="15" hidden="false" customHeight="false" outlineLevel="0" collapsed="false">
      <c r="A3291" s="3" t="s">
        <v>3681</v>
      </c>
      <c r="B3291" s="3" t="s">
        <v>283</v>
      </c>
      <c r="C3291" s="3" t="s">
        <v>401</v>
      </c>
      <c r="D3291" s="3" t="s">
        <v>418</v>
      </c>
      <c r="E3291" s="3" t="s">
        <v>382</v>
      </c>
      <c r="F3291" s="16" t="n">
        <v>1</v>
      </c>
      <c r="G3291" s="15" t="n">
        <v>0</v>
      </c>
      <c r="H3291" s="16" t="n">
        <v>1</v>
      </c>
      <c r="I3291" s="33" t="n">
        <v>4663.2</v>
      </c>
      <c r="J3291" s="33" t="n">
        <v>4663.2</v>
      </c>
    </row>
    <row r="3292" customFormat="false" ht="15" hidden="false" customHeight="false" outlineLevel="0" collapsed="false">
      <c r="A3292" s="3" t="s">
        <v>3682</v>
      </c>
      <c r="B3292" s="3" t="s">
        <v>283</v>
      </c>
      <c r="C3292" s="3" t="s">
        <v>401</v>
      </c>
      <c r="D3292" s="3" t="s">
        <v>692</v>
      </c>
      <c r="E3292" s="3" t="s">
        <v>398</v>
      </c>
      <c r="F3292" s="16" t="n">
        <v>1</v>
      </c>
      <c r="G3292" s="15" t="n">
        <v>0</v>
      </c>
      <c r="H3292" s="16" t="n">
        <v>1</v>
      </c>
      <c r="I3292" s="33" t="n">
        <v>4660.92</v>
      </c>
      <c r="J3292" s="33" t="n">
        <v>4660.92</v>
      </c>
    </row>
    <row r="3293" customFormat="false" ht="15" hidden="false" customHeight="false" outlineLevel="0" collapsed="false">
      <c r="A3293" s="3" t="s">
        <v>3683</v>
      </c>
      <c r="B3293" s="3" t="s">
        <v>283</v>
      </c>
      <c r="C3293" s="3" t="s">
        <v>380</v>
      </c>
      <c r="D3293" s="3" t="s">
        <v>692</v>
      </c>
      <c r="E3293" s="3" t="s">
        <v>385</v>
      </c>
      <c r="F3293" s="16" t="n">
        <v>1</v>
      </c>
      <c r="G3293" s="15" t="n">
        <v>0</v>
      </c>
      <c r="H3293" s="16" t="n">
        <v>1</v>
      </c>
      <c r="I3293" s="33" t="n">
        <v>4650.84</v>
      </c>
      <c r="J3293" s="33" t="n">
        <v>4650.84</v>
      </c>
    </row>
    <row r="3294" customFormat="false" ht="15" hidden="false" customHeight="false" outlineLevel="0" collapsed="false">
      <c r="A3294" s="3" t="s">
        <v>3684</v>
      </c>
      <c r="B3294" s="3" t="s">
        <v>283</v>
      </c>
      <c r="C3294" s="3" t="s">
        <v>387</v>
      </c>
      <c r="D3294" s="3" t="s">
        <v>392</v>
      </c>
      <c r="E3294" s="3" t="s">
        <v>398</v>
      </c>
      <c r="F3294" s="16" t="n">
        <v>12</v>
      </c>
      <c r="G3294" s="15" t="n">
        <v>0.4</v>
      </c>
      <c r="H3294" s="16" t="n">
        <v>1</v>
      </c>
      <c r="I3294" s="33" t="n">
        <v>4646.64</v>
      </c>
      <c r="J3294" s="33" t="n">
        <v>7744.44</v>
      </c>
    </row>
    <row r="3295" customFormat="false" ht="15" hidden="false" customHeight="false" outlineLevel="0" collapsed="false">
      <c r="A3295" s="3" t="s">
        <v>3685</v>
      </c>
      <c r="B3295" s="3" t="s">
        <v>283</v>
      </c>
      <c r="C3295" s="3" t="s">
        <v>380</v>
      </c>
      <c r="D3295" s="3" t="s">
        <v>418</v>
      </c>
      <c r="E3295" s="3" t="s">
        <v>385</v>
      </c>
      <c r="F3295" s="16" t="n">
        <v>12</v>
      </c>
      <c r="G3295" s="15" t="n">
        <v>0.2</v>
      </c>
      <c r="H3295" s="16" t="n">
        <v>4</v>
      </c>
      <c r="I3295" s="33" t="n">
        <v>4645.32</v>
      </c>
      <c r="J3295" s="33" t="n">
        <v>5806.68</v>
      </c>
    </row>
    <row r="3296" customFormat="false" ht="15" hidden="false" customHeight="false" outlineLevel="0" collapsed="false">
      <c r="A3296" s="3" t="s">
        <v>3686</v>
      </c>
      <c r="B3296" s="3" t="s">
        <v>283</v>
      </c>
      <c r="C3296" s="3" t="s">
        <v>396</v>
      </c>
      <c r="D3296" s="3" t="s">
        <v>381</v>
      </c>
      <c r="E3296" s="3" t="s">
        <v>398</v>
      </c>
      <c r="F3296" s="16" t="n">
        <v>12</v>
      </c>
      <c r="G3296" s="15" t="n">
        <v>0</v>
      </c>
      <c r="H3296" s="16" t="n">
        <v>7</v>
      </c>
      <c r="I3296" s="33" t="n">
        <v>4643.28</v>
      </c>
      <c r="J3296" s="33" t="n">
        <v>4643.28</v>
      </c>
    </row>
    <row r="3297" customFormat="false" ht="15" hidden="false" customHeight="false" outlineLevel="0" collapsed="false">
      <c r="A3297" s="3" t="s">
        <v>3687</v>
      </c>
      <c r="B3297" s="3" t="s">
        <v>283</v>
      </c>
      <c r="C3297" s="3" t="s">
        <v>401</v>
      </c>
      <c r="D3297" s="3" t="s">
        <v>418</v>
      </c>
      <c r="E3297" s="3" t="s">
        <v>382</v>
      </c>
      <c r="F3297" s="16" t="n">
        <v>1</v>
      </c>
      <c r="G3297" s="15" t="n">
        <v>0</v>
      </c>
      <c r="H3297" s="16" t="n">
        <v>1</v>
      </c>
      <c r="I3297" s="33" t="n">
        <v>4640.88</v>
      </c>
      <c r="J3297" s="33" t="n">
        <v>4640.88</v>
      </c>
    </row>
    <row r="3298" customFormat="false" ht="15" hidden="false" customHeight="false" outlineLevel="0" collapsed="false">
      <c r="A3298" s="3" t="s">
        <v>3688</v>
      </c>
      <c r="B3298" s="3" t="s">
        <v>283</v>
      </c>
      <c r="C3298" s="3" t="s">
        <v>401</v>
      </c>
      <c r="D3298" s="3" t="s">
        <v>388</v>
      </c>
      <c r="E3298" s="3" t="s">
        <v>398</v>
      </c>
      <c r="F3298" s="16" t="n">
        <v>1</v>
      </c>
      <c r="G3298" s="15" t="n">
        <v>0</v>
      </c>
      <c r="H3298" s="16" t="n">
        <v>1</v>
      </c>
      <c r="I3298" s="33" t="n">
        <v>4640.64</v>
      </c>
      <c r="J3298" s="33" t="n">
        <v>4640.64</v>
      </c>
    </row>
    <row r="3299" customFormat="false" ht="15" hidden="false" customHeight="false" outlineLevel="0" collapsed="false">
      <c r="A3299" s="3" t="s">
        <v>3689</v>
      </c>
      <c r="B3299" s="3" t="s">
        <v>283</v>
      </c>
      <c r="C3299" s="3" t="s">
        <v>387</v>
      </c>
      <c r="D3299" s="3" t="s">
        <v>392</v>
      </c>
      <c r="E3299" s="3" t="s">
        <v>398</v>
      </c>
      <c r="F3299" s="16" t="n">
        <v>1</v>
      </c>
      <c r="G3299" s="15" t="n">
        <v>0</v>
      </c>
      <c r="H3299" s="16" t="n">
        <v>1</v>
      </c>
      <c r="I3299" s="33" t="n">
        <v>4640.4</v>
      </c>
      <c r="J3299" s="33" t="n">
        <v>4640.4</v>
      </c>
    </row>
    <row r="3300" customFormat="false" ht="15" hidden="false" customHeight="false" outlineLevel="0" collapsed="false">
      <c r="A3300" s="3" t="s">
        <v>3690</v>
      </c>
      <c r="B3300" s="3" t="s">
        <v>283</v>
      </c>
      <c r="C3300" s="3" t="s">
        <v>403</v>
      </c>
      <c r="D3300" s="3" t="s">
        <v>418</v>
      </c>
      <c r="E3300" s="3" t="s">
        <v>385</v>
      </c>
      <c r="F3300" s="16" t="n">
        <v>1</v>
      </c>
      <c r="G3300" s="15" t="n">
        <v>0.05</v>
      </c>
      <c r="H3300" s="16" t="n">
        <v>1</v>
      </c>
      <c r="I3300" s="33" t="n">
        <v>4636.56</v>
      </c>
      <c r="J3300" s="33" t="n">
        <v>4880.64</v>
      </c>
    </row>
    <row r="3301" customFormat="false" ht="15" hidden="false" customHeight="false" outlineLevel="0" collapsed="false">
      <c r="A3301" s="3" t="s">
        <v>3691</v>
      </c>
      <c r="B3301" s="3" t="s">
        <v>283</v>
      </c>
      <c r="C3301" s="3" t="s">
        <v>401</v>
      </c>
      <c r="D3301" s="3" t="s">
        <v>692</v>
      </c>
      <c r="E3301" s="3" t="s">
        <v>398</v>
      </c>
      <c r="F3301" s="16" t="n">
        <v>1</v>
      </c>
      <c r="G3301" s="15" t="n">
        <v>0.1</v>
      </c>
      <c r="H3301" s="16" t="n">
        <v>1</v>
      </c>
      <c r="I3301" s="33" t="n">
        <v>4628.28</v>
      </c>
      <c r="J3301" s="33" t="n">
        <v>5142.6</v>
      </c>
    </row>
    <row r="3302" customFormat="false" ht="15" hidden="false" customHeight="false" outlineLevel="0" collapsed="false">
      <c r="A3302" s="3" t="s">
        <v>3692</v>
      </c>
      <c r="B3302" s="3" t="s">
        <v>283</v>
      </c>
      <c r="C3302" s="3" t="s">
        <v>403</v>
      </c>
      <c r="D3302" s="3" t="s">
        <v>418</v>
      </c>
      <c r="E3302" s="3" t="s">
        <v>398</v>
      </c>
      <c r="F3302" s="16" t="n">
        <v>1</v>
      </c>
      <c r="G3302" s="15" t="n">
        <v>0</v>
      </c>
      <c r="H3302" s="16" t="n">
        <v>1</v>
      </c>
      <c r="I3302" s="33" t="n">
        <v>4623.72</v>
      </c>
      <c r="J3302" s="33" t="n">
        <v>4623.72</v>
      </c>
    </row>
    <row r="3303" customFormat="false" ht="15" hidden="false" customHeight="false" outlineLevel="0" collapsed="false">
      <c r="A3303" s="3" t="s">
        <v>3693</v>
      </c>
      <c r="B3303" s="3" t="s">
        <v>283</v>
      </c>
      <c r="C3303" s="3" t="s">
        <v>403</v>
      </c>
      <c r="D3303" s="3" t="s">
        <v>692</v>
      </c>
      <c r="E3303" s="3" t="s">
        <v>398</v>
      </c>
      <c r="F3303" s="16" t="n">
        <v>1</v>
      </c>
      <c r="G3303" s="15" t="n">
        <v>0</v>
      </c>
      <c r="H3303" s="16" t="n">
        <v>1</v>
      </c>
      <c r="I3303" s="33" t="n">
        <v>4618.92</v>
      </c>
      <c r="J3303" s="33" t="n">
        <v>4618.92</v>
      </c>
    </row>
    <row r="3304" customFormat="false" ht="15" hidden="false" customHeight="false" outlineLevel="0" collapsed="false">
      <c r="A3304" s="3" t="s">
        <v>3694</v>
      </c>
      <c r="B3304" s="3" t="s">
        <v>283</v>
      </c>
      <c r="C3304" s="3" t="s">
        <v>405</v>
      </c>
      <c r="D3304" s="3" t="s">
        <v>418</v>
      </c>
      <c r="E3304" s="3" t="s">
        <v>385</v>
      </c>
      <c r="F3304" s="16" t="n">
        <v>12</v>
      </c>
      <c r="G3304" s="15" t="n">
        <v>0</v>
      </c>
      <c r="H3304" s="16" t="n">
        <v>6</v>
      </c>
      <c r="I3304" s="33" t="n">
        <v>4613.28</v>
      </c>
      <c r="J3304" s="33" t="n">
        <v>4613.28</v>
      </c>
    </row>
    <row r="3305" customFormat="false" ht="15" hidden="false" customHeight="false" outlineLevel="0" collapsed="false">
      <c r="A3305" s="3" t="s">
        <v>3695</v>
      </c>
      <c r="B3305" s="3" t="s">
        <v>283</v>
      </c>
      <c r="C3305" s="3" t="s">
        <v>405</v>
      </c>
      <c r="D3305" s="3" t="s">
        <v>418</v>
      </c>
      <c r="E3305" s="3" t="s">
        <v>398</v>
      </c>
      <c r="F3305" s="16" t="n">
        <v>12</v>
      </c>
      <c r="G3305" s="15" t="n">
        <v>0</v>
      </c>
      <c r="H3305" s="16" t="n">
        <v>7</v>
      </c>
      <c r="I3305" s="33" t="n">
        <v>4609.08</v>
      </c>
      <c r="J3305" s="33" t="n">
        <v>4609.08</v>
      </c>
    </row>
    <row r="3306" customFormat="false" ht="15" hidden="false" customHeight="false" outlineLevel="0" collapsed="false">
      <c r="A3306" s="3" t="s">
        <v>3696</v>
      </c>
      <c r="B3306" s="3" t="s">
        <v>283</v>
      </c>
      <c r="C3306" s="3" t="s">
        <v>401</v>
      </c>
      <c r="D3306" s="3" t="s">
        <v>381</v>
      </c>
      <c r="E3306" s="3" t="s">
        <v>398</v>
      </c>
      <c r="F3306" s="16" t="n">
        <v>12</v>
      </c>
      <c r="G3306" s="15" t="n">
        <v>0.25</v>
      </c>
      <c r="H3306" s="16" t="n">
        <v>10</v>
      </c>
      <c r="I3306" s="33" t="n">
        <v>4607.88</v>
      </c>
      <c r="J3306" s="33" t="n">
        <v>6143.88</v>
      </c>
    </row>
    <row r="3307" customFormat="false" ht="15" hidden="false" customHeight="false" outlineLevel="0" collapsed="false">
      <c r="A3307" s="3" t="s">
        <v>3697</v>
      </c>
      <c r="B3307" s="3" t="s">
        <v>283</v>
      </c>
      <c r="C3307" s="3" t="s">
        <v>401</v>
      </c>
      <c r="D3307" s="3" t="s">
        <v>692</v>
      </c>
      <c r="E3307" s="3" t="s">
        <v>398</v>
      </c>
      <c r="F3307" s="16" t="n">
        <v>12</v>
      </c>
      <c r="G3307" s="15" t="n">
        <v>0.25</v>
      </c>
      <c r="H3307" s="16" t="n">
        <v>6</v>
      </c>
      <c r="I3307" s="33" t="n">
        <v>4605.84</v>
      </c>
      <c r="J3307" s="33" t="n">
        <v>6141</v>
      </c>
    </row>
    <row r="3308" customFormat="false" ht="15" hidden="false" customHeight="false" outlineLevel="0" collapsed="false">
      <c r="A3308" s="3" t="s">
        <v>3698</v>
      </c>
      <c r="B3308" s="3" t="s">
        <v>283</v>
      </c>
      <c r="C3308" s="3" t="s">
        <v>396</v>
      </c>
      <c r="D3308" s="3" t="s">
        <v>392</v>
      </c>
      <c r="E3308" s="3" t="s">
        <v>385</v>
      </c>
      <c r="F3308" s="16" t="n">
        <v>12</v>
      </c>
      <c r="G3308" s="15" t="n">
        <v>0</v>
      </c>
      <c r="H3308" s="16" t="n">
        <v>4</v>
      </c>
      <c r="I3308" s="33" t="n">
        <v>4601.64</v>
      </c>
      <c r="J3308" s="33" t="n">
        <v>4601.64</v>
      </c>
    </row>
    <row r="3309" customFormat="false" ht="15" hidden="false" customHeight="false" outlineLevel="0" collapsed="false">
      <c r="A3309" s="3" t="s">
        <v>3699</v>
      </c>
      <c r="B3309" s="3" t="s">
        <v>283</v>
      </c>
      <c r="C3309" s="3" t="s">
        <v>401</v>
      </c>
      <c r="D3309" s="3" t="s">
        <v>381</v>
      </c>
      <c r="E3309" s="3" t="s">
        <v>385</v>
      </c>
      <c r="F3309" s="16" t="n">
        <v>1</v>
      </c>
      <c r="G3309" s="15" t="n">
        <v>0.1</v>
      </c>
      <c r="H3309" s="16" t="n">
        <v>1</v>
      </c>
      <c r="I3309" s="33" t="n">
        <v>4584.12</v>
      </c>
      <c r="J3309" s="33" t="n">
        <v>5093.4</v>
      </c>
    </row>
    <row r="3310" customFormat="false" ht="15" hidden="false" customHeight="false" outlineLevel="0" collapsed="false">
      <c r="A3310" s="3" t="s">
        <v>3700</v>
      </c>
      <c r="B3310" s="3" t="s">
        <v>283</v>
      </c>
      <c r="C3310" s="3" t="s">
        <v>396</v>
      </c>
      <c r="D3310" s="3" t="s">
        <v>418</v>
      </c>
      <c r="E3310" s="3" t="s">
        <v>382</v>
      </c>
      <c r="F3310" s="16" t="n">
        <v>1</v>
      </c>
      <c r="G3310" s="15" t="n">
        <v>0.15</v>
      </c>
      <c r="H3310" s="16" t="n">
        <v>1</v>
      </c>
      <c r="I3310" s="33" t="n">
        <v>4581</v>
      </c>
      <c r="J3310" s="33" t="n">
        <v>5389.44</v>
      </c>
    </row>
    <row r="3311" customFormat="false" ht="15" hidden="false" customHeight="false" outlineLevel="0" collapsed="false">
      <c r="A3311" s="3" t="s">
        <v>3701</v>
      </c>
      <c r="B3311" s="3" t="s">
        <v>283</v>
      </c>
      <c r="C3311" s="3" t="s">
        <v>384</v>
      </c>
      <c r="D3311" s="3" t="s">
        <v>692</v>
      </c>
      <c r="E3311" s="3" t="s">
        <v>385</v>
      </c>
      <c r="F3311" s="16" t="n">
        <v>12</v>
      </c>
      <c r="G3311" s="15" t="n">
        <v>0</v>
      </c>
      <c r="H3311" s="16" t="n">
        <v>2</v>
      </c>
      <c r="I3311" s="33" t="n">
        <v>4579.08</v>
      </c>
      <c r="J3311" s="33" t="n">
        <v>4579.08</v>
      </c>
    </row>
    <row r="3312" customFormat="false" ht="15" hidden="false" customHeight="false" outlineLevel="0" collapsed="false">
      <c r="A3312" s="3" t="s">
        <v>3702</v>
      </c>
      <c r="B3312" s="3" t="s">
        <v>283</v>
      </c>
      <c r="C3312" s="3" t="s">
        <v>384</v>
      </c>
      <c r="D3312" s="3" t="s">
        <v>692</v>
      </c>
      <c r="E3312" s="3" t="s">
        <v>398</v>
      </c>
      <c r="F3312" s="16" t="n">
        <v>1</v>
      </c>
      <c r="G3312" s="15" t="n">
        <v>0</v>
      </c>
      <c r="H3312" s="16" t="n">
        <v>1</v>
      </c>
      <c r="I3312" s="33" t="n">
        <v>4575.84</v>
      </c>
      <c r="J3312" s="33" t="n">
        <v>4575.84</v>
      </c>
    </row>
    <row r="3313" customFormat="false" ht="15" hidden="false" customHeight="false" outlineLevel="0" collapsed="false">
      <c r="A3313" s="3" t="s">
        <v>3703</v>
      </c>
      <c r="B3313" s="3" t="s">
        <v>283</v>
      </c>
      <c r="C3313" s="3" t="s">
        <v>401</v>
      </c>
      <c r="D3313" s="3" t="s">
        <v>392</v>
      </c>
      <c r="E3313" s="3" t="s">
        <v>385</v>
      </c>
      <c r="F3313" s="16" t="n">
        <v>1</v>
      </c>
      <c r="G3313" s="15" t="n">
        <v>0.1</v>
      </c>
      <c r="H3313" s="16" t="n">
        <v>1</v>
      </c>
      <c r="I3313" s="33" t="n">
        <v>4575.6</v>
      </c>
      <c r="J3313" s="33" t="n">
        <v>5083.92</v>
      </c>
    </row>
    <row r="3314" customFormat="false" ht="15" hidden="false" customHeight="false" outlineLevel="0" collapsed="false">
      <c r="A3314" s="3" t="s">
        <v>3704</v>
      </c>
      <c r="B3314" s="3" t="s">
        <v>283</v>
      </c>
      <c r="C3314" s="3" t="s">
        <v>380</v>
      </c>
      <c r="D3314" s="3" t="s">
        <v>418</v>
      </c>
      <c r="E3314" s="3" t="s">
        <v>382</v>
      </c>
      <c r="F3314" s="16" t="n">
        <v>12</v>
      </c>
      <c r="G3314" s="15" t="n">
        <v>0.3</v>
      </c>
      <c r="H3314" s="16" t="n">
        <v>4</v>
      </c>
      <c r="I3314" s="33" t="n">
        <v>4574.28</v>
      </c>
      <c r="J3314" s="33" t="n">
        <v>6534.72</v>
      </c>
    </row>
    <row r="3315" customFormat="false" ht="15" hidden="false" customHeight="false" outlineLevel="0" collapsed="false">
      <c r="A3315" s="3" t="s">
        <v>3705</v>
      </c>
      <c r="B3315" s="3" t="s">
        <v>283</v>
      </c>
      <c r="C3315" s="3" t="s">
        <v>403</v>
      </c>
      <c r="D3315" s="3" t="s">
        <v>692</v>
      </c>
      <c r="E3315" s="3" t="s">
        <v>398</v>
      </c>
      <c r="F3315" s="16" t="n">
        <v>12</v>
      </c>
      <c r="G3315" s="15" t="n">
        <v>0.2</v>
      </c>
      <c r="H3315" s="16" t="n">
        <v>7</v>
      </c>
      <c r="I3315" s="33" t="n">
        <v>4568.88</v>
      </c>
      <c r="J3315" s="33" t="n">
        <v>5711.16</v>
      </c>
    </row>
    <row r="3316" customFormat="false" ht="15" hidden="false" customHeight="false" outlineLevel="0" collapsed="false">
      <c r="A3316" s="3" t="s">
        <v>3706</v>
      </c>
      <c r="B3316" s="3" t="s">
        <v>283</v>
      </c>
      <c r="C3316" s="3" t="s">
        <v>401</v>
      </c>
      <c r="D3316" s="3" t="s">
        <v>418</v>
      </c>
      <c r="E3316" s="3" t="s">
        <v>382</v>
      </c>
      <c r="F3316" s="16" t="n">
        <v>1</v>
      </c>
      <c r="G3316" s="15" t="n">
        <v>0</v>
      </c>
      <c r="H3316" s="16" t="n">
        <v>1</v>
      </c>
      <c r="I3316" s="33" t="n">
        <v>4562.64</v>
      </c>
      <c r="J3316" s="33" t="n">
        <v>4562.64</v>
      </c>
    </row>
    <row r="3317" customFormat="false" ht="15" hidden="false" customHeight="false" outlineLevel="0" collapsed="false">
      <c r="A3317" s="3" t="s">
        <v>3707</v>
      </c>
      <c r="B3317" s="3" t="s">
        <v>283</v>
      </c>
      <c r="C3317" s="3" t="s">
        <v>384</v>
      </c>
      <c r="D3317" s="3" t="s">
        <v>388</v>
      </c>
      <c r="E3317" s="3" t="s">
        <v>398</v>
      </c>
      <c r="F3317" s="16" t="n">
        <v>1</v>
      </c>
      <c r="G3317" s="15" t="n">
        <v>0</v>
      </c>
      <c r="H3317" s="16" t="n">
        <v>1</v>
      </c>
      <c r="I3317" s="33" t="n">
        <v>4561.32</v>
      </c>
      <c r="J3317" s="33" t="n">
        <v>4561.32</v>
      </c>
    </row>
    <row r="3318" customFormat="false" ht="15" hidden="false" customHeight="false" outlineLevel="0" collapsed="false">
      <c r="A3318" s="3" t="s">
        <v>3708</v>
      </c>
      <c r="B3318" s="3" t="s">
        <v>283</v>
      </c>
      <c r="C3318" s="3" t="s">
        <v>396</v>
      </c>
      <c r="D3318" s="3" t="s">
        <v>692</v>
      </c>
      <c r="E3318" s="3" t="s">
        <v>398</v>
      </c>
      <c r="F3318" s="16" t="n">
        <v>12</v>
      </c>
      <c r="G3318" s="15" t="n">
        <v>0</v>
      </c>
      <c r="H3318" s="16" t="n">
        <v>11</v>
      </c>
      <c r="I3318" s="33" t="n">
        <v>4559.76</v>
      </c>
      <c r="J3318" s="33" t="n">
        <v>4559.76</v>
      </c>
    </row>
    <row r="3319" customFormat="false" ht="15" hidden="false" customHeight="false" outlineLevel="0" collapsed="false">
      <c r="A3319" s="3" t="s">
        <v>3709</v>
      </c>
      <c r="B3319" s="3" t="s">
        <v>283</v>
      </c>
      <c r="C3319" s="3" t="s">
        <v>387</v>
      </c>
      <c r="D3319" s="3" t="s">
        <v>388</v>
      </c>
      <c r="E3319" s="3" t="s">
        <v>398</v>
      </c>
      <c r="F3319" s="16" t="n">
        <v>1</v>
      </c>
      <c r="G3319" s="15" t="n">
        <v>0</v>
      </c>
      <c r="H3319" s="16" t="n">
        <v>1</v>
      </c>
      <c r="I3319" s="33" t="n">
        <v>4553.16</v>
      </c>
      <c r="J3319" s="33" t="n">
        <v>4553.16</v>
      </c>
    </row>
    <row r="3320" customFormat="false" ht="15" hidden="false" customHeight="false" outlineLevel="0" collapsed="false">
      <c r="A3320" s="3" t="s">
        <v>3710</v>
      </c>
      <c r="B3320" s="3" t="s">
        <v>283</v>
      </c>
      <c r="C3320" s="3" t="s">
        <v>405</v>
      </c>
      <c r="D3320" s="3" t="s">
        <v>388</v>
      </c>
      <c r="E3320" s="3" t="s">
        <v>385</v>
      </c>
      <c r="F3320" s="16" t="n">
        <v>12</v>
      </c>
      <c r="G3320" s="15" t="n">
        <v>0.15</v>
      </c>
      <c r="H3320" s="16" t="n">
        <v>11</v>
      </c>
      <c r="I3320" s="33" t="n">
        <v>4548.6</v>
      </c>
      <c r="J3320" s="33" t="n">
        <v>5351.28</v>
      </c>
    </row>
    <row r="3321" customFormat="false" ht="15" hidden="false" customHeight="false" outlineLevel="0" collapsed="false">
      <c r="A3321" s="3" t="s">
        <v>3711</v>
      </c>
      <c r="B3321" s="3" t="s">
        <v>283</v>
      </c>
      <c r="C3321" s="3" t="s">
        <v>380</v>
      </c>
      <c r="D3321" s="3" t="s">
        <v>388</v>
      </c>
      <c r="E3321" s="3" t="s">
        <v>385</v>
      </c>
      <c r="F3321" s="16" t="n">
        <v>1</v>
      </c>
      <c r="G3321" s="15" t="n">
        <v>0</v>
      </c>
      <c r="H3321" s="16" t="n">
        <v>1</v>
      </c>
      <c r="I3321" s="33" t="n">
        <v>4545.72</v>
      </c>
      <c r="J3321" s="33" t="n">
        <v>4545.72</v>
      </c>
    </row>
    <row r="3322" customFormat="false" ht="15" hidden="false" customHeight="false" outlineLevel="0" collapsed="false">
      <c r="A3322" s="3" t="s">
        <v>3712</v>
      </c>
      <c r="B3322" s="3" t="s">
        <v>283</v>
      </c>
      <c r="C3322" s="3" t="s">
        <v>405</v>
      </c>
      <c r="D3322" s="3" t="s">
        <v>418</v>
      </c>
      <c r="E3322" s="3" t="s">
        <v>385</v>
      </c>
      <c r="F3322" s="16" t="n">
        <v>12</v>
      </c>
      <c r="G3322" s="15" t="n">
        <v>0.2</v>
      </c>
      <c r="H3322" s="16" t="n">
        <v>6</v>
      </c>
      <c r="I3322" s="33" t="n">
        <v>4545.48</v>
      </c>
      <c r="J3322" s="33" t="n">
        <v>5681.88</v>
      </c>
    </row>
    <row r="3323" customFormat="false" ht="15" hidden="false" customHeight="false" outlineLevel="0" collapsed="false">
      <c r="A3323" s="3" t="s">
        <v>3713</v>
      </c>
      <c r="B3323" s="3" t="s">
        <v>283</v>
      </c>
      <c r="C3323" s="3" t="s">
        <v>401</v>
      </c>
      <c r="D3323" s="3" t="s">
        <v>692</v>
      </c>
      <c r="E3323" s="3" t="s">
        <v>382</v>
      </c>
      <c r="F3323" s="16" t="n">
        <v>1</v>
      </c>
      <c r="G3323" s="15" t="n">
        <v>0</v>
      </c>
      <c r="H3323" s="16" t="n">
        <v>1</v>
      </c>
      <c r="I3323" s="33" t="n">
        <v>4544.76</v>
      </c>
      <c r="J3323" s="33" t="n">
        <v>4544.76</v>
      </c>
    </row>
    <row r="3324" customFormat="false" ht="15" hidden="false" customHeight="false" outlineLevel="0" collapsed="false">
      <c r="A3324" s="3" t="s">
        <v>3714</v>
      </c>
      <c r="B3324" s="3" t="s">
        <v>283</v>
      </c>
      <c r="C3324" s="3" t="s">
        <v>387</v>
      </c>
      <c r="D3324" s="3" t="s">
        <v>418</v>
      </c>
      <c r="E3324" s="3" t="s">
        <v>398</v>
      </c>
      <c r="F3324" s="16" t="n">
        <v>1</v>
      </c>
      <c r="G3324" s="15" t="n">
        <v>0.05</v>
      </c>
      <c r="H3324" s="16" t="n">
        <v>1</v>
      </c>
      <c r="I3324" s="33" t="n">
        <v>4539.6</v>
      </c>
      <c r="J3324" s="33" t="n">
        <v>4778.52</v>
      </c>
    </row>
    <row r="3325" customFormat="false" ht="15" hidden="false" customHeight="false" outlineLevel="0" collapsed="false">
      <c r="A3325" s="3" t="s">
        <v>3715</v>
      </c>
      <c r="B3325" s="3" t="s">
        <v>283</v>
      </c>
      <c r="C3325" s="3" t="s">
        <v>384</v>
      </c>
      <c r="D3325" s="3" t="s">
        <v>392</v>
      </c>
      <c r="E3325" s="3" t="s">
        <v>398</v>
      </c>
      <c r="F3325" s="16" t="n">
        <v>12</v>
      </c>
      <c r="G3325" s="15" t="n">
        <v>0</v>
      </c>
      <c r="H3325" s="16" t="n">
        <v>3</v>
      </c>
      <c r="I3325" s="33" t="n">
        <v>4530.36</v>
      </c>
      <c r="J3325" s="33" t="n">
        <v>4530.36</v>
      </c>
    </row>
    <row r="3326" customFormat="false" ht="15" hidden="false" customHeight="false" outlineLevel="0" collapsed="false">
      <c r="A3326" s="3" t="s">
        <v>3716</v>
      </c>
      <c r="B3326" s="3" t="s">
        <v>283</v>
      </c>
      <c r="C3326" s="3" t="s">
        <v>384</v>
      </c>
      <c r="D3326" s="3" t="s">
        <v>381</v>
      </c>
      <c r="E3326" s="3" t="s">
        <v>382</v>
      </c>
      <c r="F3326" s="16" t="n">
        <v>12</v>
      </c>
      <c r="G3326" s="15" t="n">
        <v>0</v>
      </c>
      <c r="H3326" s="16" t="n">
        <v>7</v>
      </c>
      <c r="I3326" s="33" t="n">
        <v>4519.2</v>
      </c>
      <c r="J3326" s="33" t="n">
        <v>4519.2</v>
      </c>
    </row>
    <row r="3327" customFormat="false" ht="15" hidden="false" customHeight="false" outlineLevel="0" collapsed="false">
      <c r="A3327" s="3" t="s">
        <v>3717</v>
      </c>
      <c r="B3327" s="3" t="s">
        <v>283</v>
      </c>
      <c r="C3327" s="3" t="s">
        <v>384</v>
      </c>
      <c r="D3327" s="3" t="s">
        <v>692</v>
      </c>
      <c r="E3327" s="3" t="s">
        <v>398</v>
      </c>
      <c r="F3327" s="16" t="n">
        <v>12</v>
      </c>
      <c r="G3327" s="15" t="n">
        <v>0</v>
      </c>
      <c r="H3327" s="16" t="n">
        <v>2</v>
      </c>
      <c r="I3327" s="33" t="n">
        <v>4513.08</v>
      </c>
      <c r="J3327" s="33" t="n">
        <v>4513.08</v>
      </c>
    </row>
    <row r="3328" customFormat="false" ht="15" hidden="false" customHeight="false" outlineLevel="0" collapsed="false">
      <c r="A3328" s="3" t="s">
        <v>3718</v>
      </c>
      <c r="B3328" s="3" t="s">
        <v>283</v>
      </c>
      <c r="C3328" s="3" t="s">
        <v>405</v>
      </c>
      <c r="D3328" s="3" t="s">
        <v>692</v>
      </c>
      <c r="E3328" s="3" t="s">
        <v>398</v>
      </c>
      <c r="F3328" s="16" t="n">
        <v>1</v>
      </c>
      <c r="G3328" s="15" t="n">
        <v>0</v>
      </c>
      <c r="H3328" s="16" t="n">
        <v>1</v>
      </c>
      <c r="I3328" s="33" t="n">
        <v>4508.64</v>
      </c>
      <c r="J3328" s="33" t="n">
        <v>4508.64</v>
      </c>
    </row>
    <row r="3329" customFormat="false" ht="15" hidden="false" customHeight="false" outlineLevel="0" collapsed="false">
      <c r="A3329" s="3" t="s">
        <v>3719</v>
      </c>
      <c r="B3329" s="3" t="s">
        <v>283</v>
      </c>
      <c r="C3329" s="3" t="s">
        <v>403</v>
      </c>
      <c r="D3329" s="3" t="s">
        <v>392</v>
      </c>
      <c r="E3329" s="3" t="s">
        <v>398</v>
      </c>
      <c r="F3329" s="16" t="n">
        <v>12</v>
      </c>
      <c r="G3329" s="15" t="n">
        <v>0</v>
      </c>
      <c r="H3329" s="16" t="n">
        <v>1</v>
      </c>
      <c r="I3329" s="33" t="n">
        <v>4506.12</v>
      </c>
      <c r="J3329" s="33" t="n">
        <v>4506.12</v>
      </c>
    </row>
    <row r="3330" customFormat="false" ht="15" hidden="false" customHeight="false" outlineLevel="0" collapsed="false">
      <c r="A3330" s="3" t="s">
        <v>3720</v>
      </c>
      <c r="B3330" s="3" t="s">
        <v>283</v>
      </c>
      <c r="C3330" s="3" t="s">
        <v>387</v>
      </c>
      <c r="D3330" s="3" t="s">
        <v>392</v>
      </c>
      <c r="E3330" s="3" t="s">
        <v>398</v>
      </c>
      <c r="F3330" s="16" t="n">
        <v>1</v>
      </c>
      <c r="G3330" s="15" t="n">
        <v>0</v>
      </c>
      <c r="H3330" s="16" t="n">
        <v>1</v>
      </c>
      <c r="I3330" s="33" t="n">
        <v>4502.88</v>
      </c>
      <c r="J3330" s="33" t="n">
        <v>4502.88</v>
      </c>
    </row>
    <row r="3331" customFormat="false" ht="15" hidden="false" customHeight="false" outlineLevel="0" collapsed="false">
      <c r="A3331" s="3" t="s">
        <v>3721</v>
      </c>
      <c r="B3331" s="3" t="s">
        <v>283</v>
      </c>
      <c r="C3331" s="3" t="s">
        <v>396</v>
      </c>
      <c r="D3331" s="3" t="s">
        <v>381</v>
      </c>
      <c r="E3331" s="3" t="s">
        <v>385</v>
      </c>
      <c r="F3331" s="16" t="n">
        <v>12</v>
      </c>
      <c r="G3331" s="15" t="n">
        <v>0</v>
      </c>
      <c r="H3331" s="16" t="n">
        <v>6</v>
      </c>
      <c r="I3331" s="33" t="n">
        <v>4497.24</v>
      </c>
      <c r="J3331" s="33" t="n">
        <v>4497.24</v>
      </c>
    </row>
    <row r="3332" customFormat="false" ht="15" hidden="false" customHeight="false" outlineLevel="0" collapsed="false">
      <c r="A3332" s="3" t="s">
        <v>3722</v>
      </c>
      <c r="B3332" s="3" t="s">
        <v>283</v>
      </c>
      <c r="C3332" s="3" t="s">
        <v>405</v>
      </c>
      <c r="D3332" s="3" t="s">
        <v>418</v>
      </c>
      <c r="E3332" s="3" t="s">
        <v>398</v>
      </c>
      <c r="F3332" s="16" t="n">
        <v>12</v>
      </c>
      <c r="G3332" s="15" t="n">
        <v>0.2</v>
      </c>
      <c r="H3332" s="16" t="n">
        <v>11</v>
      </c>
      <c r="I3332" s="33" t="n">
        <v>4491.6</v>
      </c>
      <c r="J3332" s="33" t="n">
        <v>5614.56</v>
      </c>
    </row>
    <row r="3333" customFormat="false" ht="15" hidden="false" customHeight="false" outlineLevel="0" collapsed="false">
      <c r="A3333" s="3" t="s">
        <v>3723</v>
      </c>
      <c r="B3333" s="3" t="s">
        <v>283</v>
      </c>
      <c r="C3333" s="3" t="s">
        <v>396</v>
      </c>
      <c r="D3333" s="3" t="s">
        <v>692</v>
      </c>
      <c r="E3333" s="3" t="s">
        <v>382</v>
      </c>
      <c r="F3333" s="16" t="n">
        <v>12</v>
      </c>
      <c r="G3333" s="15" t="n">
        <v>0</v>
      </c>
      <c r="H3333" s="16" t="n">
        <v>2</v>
      </c>
      <c r="I3333" s="33" t="n">
        <v>4487.76</v>
      </c>
      <c r="J3333" s="33" t="n">
        <v>4487.76</v>
      </c>
    </row>
    <row r="3334" customFormat="false" ht="15" hidden="false" customHeight="false" outlineLevel="0" collapsed="false">
      <c r="A3334" s="3" t="s">
        <v>3724</v>
      </c>
      <c r="B3334" s="3" t="s">
        <v>283</v>
      </c>
      <c r="C3334" s="3" t="s">
        <v>403</v>
      </c>
      <c r="D3334" s="3" t="s">
        <v>692</v>
      </c>
      <c r="E3334" s="3" t="s">
        <v>398</v>
      </c>
      <c r="F3334" s="16" t="n">
        <v>1</v>
      </c>
      <c r="G3334" s="15" t="n">
        <v>0.1</v>
      </c>
      <c r="H3334" s="16" t="n">
        <v>1</v>
      </c>
      <c r="I3334" s="33" t="n">
        <v>4482.12</v>
      </c>
      <c r="J3334" s="33" t="n">
        <v>4980.12</v>
      </c>
    </row>
    <row r="3335" customFormat="false" ht="15" hidden="false" customHeight="false" outlineLevel="0" collapsed="false">
      <c r="A3335" s="3" t="s">
        <v>3725</v>
      </c>
      <c r="B3335" s="3" t="s">
        <v>283</v>
      </c>
      <c r="C3335" s="3" t="s">
        <v>380</v>
      </c>
      <c r="D3335" s="3" t="s">
        <v>388</v>
      </c>
      <c r="E3335" s="3" t="s">
        <v>385</v>
      </c>
      <c r="F3335" s="16" t="n">
        <v>1</v>
      </c>
      <c r="G3335" s="15" t="n">
        <v>0</v>
      </c>
      <c r="H3335" s="16" t="n">
        <v>1</v>
      </c>
      <c r="I3335" s="33" t="n">
        <v>4479.84</v>
      </c>
      <c r="J3335" s="33" t="n">
        <v>4479.84</v>
      </c>
    </row>
    <row r="3336" customFormat="false" ht="15" hidden="false" customHeight="false" outlineLevel="0" collapsed="false">
      <c r="A3336" s="3" t="s">
        <v>3726</v>
      </c>
      <c r="B3336" s="3" t="s">
        <v>283</v>
      </c>
      <c r="C3336" s="3" t="s">
        <v>403</v>
      </c>
      <c r="D3336" s="3" t="s">
        <v>392</v>
      </c>
      <c r="E3336" s="3" t="s">
        <v>385</v>
      </c>
      <c r="F3336" s="16" t="n">
        <v>1</v>
      </c>
      <c r="G3336" s="15" t="n">
        <v>0</v>
      </c>
      <c r="H3336" s="16" t="n">
        <v>1</v>
      </c>
      <c r="I3336" s="33" t="n">
        <v>4476.84</v>
      </c>
      <c r="J3336" s="33" t="n">
        <v>4476.84</v>
      </c>
    </row>
    <row r="3337" customFormat="false" ht="15" hidden="false" customHeight="false" outlineLevel="0" collapsed="false">
      <c r="A3337" s="3" t="s">
        <v>3727</v>
      </c>
      <c r="B3337" s="3" t="s">
        <v>283</v>
      </c>
      <c r="C3337" s="3" t="s">
        <v>401</v>
      </c>
      <c r="D3337" s="3" t="s">
        <v>418</v>
      </c>
      <c r="E3337" s="3" t="s">
        <v>382</v>
      </c>
      <c r="F3337" s="16" t="n">
        <v>1</v>
      </c>
      <c r="G3337" s="15" t="n">
        <v>0.2</v>
      </c>
      <c r="H3337" s="16" t="n">
        <v>1</v>
      </c>
      <c r="I3337" s="33" t="n">
        <v>4475.16</v>
      </c>
      <c r="J3337" s="33" t="n">
        <v>5593.92</v>
      </c>
    </row>
    <row r="3338" customFormat="false" ht="15" hidden="false" customHeight="false" outlineLevel="0" collapsed="false">
      <c r="A3338" s="3" t="s">
        <v>3728</v>
      </c>
      <c r="B3338" s="3" t="s">
        <v>283</v>
      </c>
      <c r="C3338" s="3" t="s">
        <v>405</v>
      </c>
      <c r="D3338" s="3" t="s">
        <v>692</v>
      </c>
      <c r="E3338" s="3" t="s">
        <v>398</v>
      </c>
      <c r="F3338" s="16" t="n">
        <v>12</v>
      </c>
      <c r="G3338" s="15" t="n">
        <v>0</v>
      </c>
      <c r="H3338" s="16" t="n">
        <v>6</v>
      </c>
      <c r="I3338" s="33" t="n">
        <v>4471.44</v>
      </c>
      <c r="J3338" s="33" t="n">
        <v>4471.44</v>
      </c>
    </row>
    <row r="3339" customFormat="false" ht="15" hidden="false" customHeight="false" outlineLevel="0" collapsed="false">
      <c r="A3339" s="3" t="s">
        <v>3729</v>
      </c>
      <c r="B3339" s="3" t="s">
        <v>283</v>
      </c>
      <c r="C3339" s="3" t="s">
        <v>403</v>
      </c>
      <c r="D3339" s="3" t="s">
        <v>388</v>
      </c>
      <c r="E3339" s="3" t="s">
        <v>385</v>
      </c>
      <c r="F3339" s="16" t="n">
        <v>1</v>
      </c>
      <c r="G3339" s="15" t="n">
        <v>0.1</v>
      </c>
      <c r="H3339" s="16" t="n">
        <v>1</v>
      </c>
      <c r="I3339" s="33" t="n">
        <v>4459.8</v>
      </c>
      <c r="J3339" s="33" t="n">
        <v>4955.4</v>
      </c>
    </row>
    <row r="3340" customFormat="false" ht="15" hidden="false" customHeight="false" outlineLevel="0" collapsed="false">
      <c r="A3340" s="3" t="s">
        <v>3730</v>
      </c>
      <c r="B3340" s="3" t="s">
        <v>283</v>
      </c>
      <c r="C3340" s="3" t="s">
        <v>401</v>
      </c>
      <c r="D3340" s="3" t="s">
        <v>392</v>
      </c>
      <c r="E3340" s="3" t="s">
        <v>398</v>
      </c>
      <c r="F3340" s="16" t="n">
        <v>1</v>
      </c>
      <c r="G3340" s="15" t="n">
        <v>0</v>
      </c>
      <c r="H3340" s="16" t="n">
        <v>1</v>
      </c>
      <c r="I3340" s="33" t="n">
        <v>4454.16</v>
      </c>
      <c r="J3340" s="33" t="n">
        <v>4454.16</v>
      </c>
    </row>
    <row r="3341" customFormat="false" ht="15" hidden="false" customHeight="false" outlineLevel="0" collapsed="false">
      <c r="A3341" s="3" t="s">
        <v>3731</v>
      </c>
      <c r="B3341" s="3" t="s">
        <v>283</v>
      </c>
      <c r="C3341" s="3" t="s">
        <v>387</v>
      </c>
      <c r="D3341" s="3" t="s">
        <v>381</v>
      </c>
      <c r="E3341" s="3" t="s">
        <v>398</v>
      </c>
      <c r="F3341" s="16" t="n">
        <v>1</v>
      </c>
      <c r="G3341" s="15" t="n">
        <v>0.25</v>
      </c>
      <c r="H3341" s="16" t="n">
        <v>1</v>
      </c>
      <c r="I3341" s="33" t="n">
        <v>4446.72</v>
      </c>
      <c r="J3341" s="33" t="n">
        <v>5928.96</v>
      </c>
    </row>
    <row r="3342" customFormat="false" ht="15" hidden="false" customHeight="false" outlineLevel="0" collapsed="false">
      <c r="A3342" s="3" t="s">
        <v>3732</v>
      </c>
      <c r="B3342" s="3" t="s">
        <v>283</v>
      </c>
      <c r="C3342" s="3" t="s">
        <v>387</v>
      </c>
      <c r="D3342" s="3" t="s">
        <v>418</v>
      </c>
      <c r="E3342" s="3" t="s">
        <v>398</v>
      </c>
      <c r="F3342" s="16" t="n">
        <v>1</v>
      </c>
      <c r="G3342" s="15" t="n">
        <v>0.3</v>
      </c>
      <c r="H3342" s="16" t="n">
        <v>1</v>
      </c>
      <c r="I3342" s="33" t="n">
        <v>4432.56</v>
      </c>
      <c r="J3342" s="33" t="n">
        <v>6332.28</v>
      </c>
    </row>
    <row r="3343" customFormat="false" ht="15" hidden="false" customHeight="false" outlineLevel="0" collapsed="false">
      <c r="A3343" s="3" t="s">
        <v>3733</v>
      </c>
      <c r="B3343" s="3" t="s">
        <v>283</v>
      </c>
      <c r="C3343" s="3" t="s">
        <v>403</v>
      </c>
      <c r="D3343" s="3" t="s">
        <v>392</v>
      </c>
      <c r="E3343" s="3" t="s">
        <v>398</v>
      </c>
      <c r="F3343" s="16" t="n">
        <v>12</v>
      </c>
      <c r="G3343" s="15" t="n">
        <v>0</v>
      </c>
      <c r="H3343" s="16" t="n">
        <v>11</v>
      </c>
      <c r="I3343" s="33" t="n">
        <v>4430.16</v>
      </c>
      <c r="J3343" s="33" t="n">
        <v>4430.16</v>
      </c>
    </row>
    <row r="3344" customFormat="false" ht="15" hidden="false" customHeight="false" outlineLevel="0" collapsed="false">
      <c r="A3344" s="3" t="s">
        <v>3734</v>
      </c>
      <c r="B3344" s="3" t="s">
        <v>283</v>
      </c>
      <c r="C3344" s="3" t="s">
        <v>403</v>
      </c>
      <c r="D3344" s="3" t="s">
        <v>388</v>
      </c>
      <c r="E3344" s="3" t="s">
        <v>398</v>
      </c>
      <c r="F3344" s="16" t="n">
        <v>12</v>
      </c>
      <c r="G3344" s="15" t="n">
        <v>0</v>
      </c>
      <c r="H3344" s="16" t="n">
        <v>6</v>
      </c>
      <c r="I3344" s="33" t="n">
        <v>4409.88</v>
      </c>
      <c r="J3344" s="33" t="n">
        <v>4409.88</v>
      </c>
    </row>
    <row r="3345" customFormat="false" ht="15" hidden="false" customHeight="false" outlineLevel="0" collapsed="false">
      <c r="A3345" s="3" t="s">
        <v>3735</v>
      </c>
      <c r="B3345" s="3" t="s">
        <v>283</v>
      </c>
      <c r="C3345" s="3" t="s">
        <v>384</v>
      </c>
      <c r="D3345" s="3" t="s">
        <v>418</v>
      </c>
      <c r="E3345" s="3" t="s">
        <v>398</v>
      </c>
      <c r="F3345" s="16" t="n">
        <v>1</v>
      </c>
      <c r="G3345" s="15" t="n">
        <v>0.1</v>
      </c>
      <c r="H3345" s="16" t="n">
        <v>1</v>
      </c>
      <c r="I3345" s="33" t="n">
        <v>4408.44</v>
      </c>
      <c r="J3345" s="33" t="n">
        <v>4898.28</v>
      </c>
    </row>
    <row r="3346" customFormat="false" ht="15" hidden="false" customHeight="false" outlineLevel="0" collapsed="false">
      <c r="A3346" s="3" t="s">
        <v>3736</v>
      </c>
      <c r="B3346" s="3" t="s">
        <v>283</v>
      </c>
      <c r="C3346" s="3" t="s">
        <v>387</v>
      </c>
      <c r="D3346" s="3" t="s">
        <v>418</v>
      </c>
      <c r="E3346" s="3" t="s">
        <v>398</v>
      </c>
      <c r="F3346" s="16" t="n">
        <v>12</v>
      </c>
      <c r="G3346" s="15" t="n">
        <v>0</v>
      </c>
      <c r="H3346" s="16" t="n">
        <v>1</v>
      </c>
      <c r="I3346" s="33" t="n">
        <v>4396.92</v>
      </c>
      <c r="J3346" s="33" t="n">
        <v>4396.92</v>
      </c>
    </row>
    <row r="3347" customFormat="false" ht="15" hidden="false" customHeight="false" outlineLevel="0" collapsed="false">
      <c r="A3347" s="3" t="s">
        <v>3737</v>
      </c>
      <c r="B3347" s="3" t="s">
        <v>283</v>
      </c>
      <c r="C3347" s="3" t="s">
        <v>405</v>
      </c>
      <c r="D3347" s="3" t="s">
        <v>418</v>
      </c>
      <c r="E3347" s="3" t="s">
        <v>398</v>
      </c>
      <c r="F3347" s="16" t="n">
        <v>12</v>
      </c>
      <c r="G3347" s="15" t="n">
        <v>0.1</v>
      </c>
      <c r="H3347" s="16" t="n">
        <v>3</v>
      </c>
      <c r="I3347" s="33" t="n">
        <v>4395.84</v>
      </c>
      <c r="J3347" s="33" t="n">
        <v>4884.24</v>
      </c>
    </row>
    <row r="3348" customFormat="false" ht="15" hidden="false" customHeight="false" outlineLevel="0" collapsed="false">
      <c r="A3348" s="3" t="s">
        <v>3738</v>
      </c>
      <c r="B3348" s="3" t="s">
        <v>283</v>
      </c>
      <c r="C3348" s="3" t="s">
        <v>396</v>
      </c>
      <c r="D3348" s="3" t="s">
        <v>692</v>
      </c>
      <c r="E3348" s="3" t="s">
        <v>385</v>
      </c>
      <c r="F3348" s="16" t="n">
        <v>12</v>
      </c>
      <c r="G3348" s="15" t="n">
        <v>0</v>
      </c>
      <c r="H3348" s="16" t="n">
        <v>11</v>
      </c>
      <c r="I3348" s="33" t="n">
        <v>4391.88</v>
      </c>
      <c r="J3348" s="33" t="n">
        <v>4391.88</v>
      </c>
    </row>
    <row r="3349" customFormat="false" ht="15" hidden="false" customHeight="false" outlineLevel="0" collapsed="false">
      <c r="A3349" s="3" t="s">
        <v>3739</v>
      </c>
      <c r="B3349" s="3" t="s">
        <v>283</v>
      </c>
      <c r="C3349" s="3" t="s">
        <v>384</v>
      </c>
      <c r="D3349" s="3" t="s">
        <v>692</v>
      </c>
      <c r="E3349" s="3" t="s">
        <v>382</v>
      </c>
      <c r="F3349" s="16" t="n">
        <v>1</v>
      </c>
      <c r="G3349" s="15" t="n">
        <v>0.1</v>
      </c>
      <c r="H3349" s="16" t="n">
        <v>1</v>
      </c>
      <c r="I3349" s="33" t="n">
        <v>4388.04</v>
      </c>
      <c r="J3349" s="33" t="n">
        <v>4875.6</v>
      </c>
    </row>
    <row r="3350" customFormat="false" ht="15" hidden="false" customHeight="false" outlineLevel="0" collapsed="false">
      <c r="A3350" s="3" t="s">
        <v>3740</v>
      </c>
      <c r="B3350" s="3" t="s">
        <v>283</v>
      </c>
      <c r="C3350" s="3" t="s">
        <v>405</v>
      </c>
      <c r="D3350" s="3" t="s">
        <v>418</v>
      </c>
      <c r="E3350" s="3" t="s">
        <v>398</v>
      </c>
      <c r="F3350" s="16" t="n">
        <v>12</v>
      </c>
      <c r="G3350" s="15" t="n">
        <v>0.2</v>
      </c>
      <c r="H3350" s="16" t="n">
        <v>9</v>
      </c>
      <c r="I3350" s="33" t="n">
        <v>4379.28</v>
      </c>
      <c r="J3350" s="33" t="n">
        <v>5474.04</v>
      </c>
    </row>
    <row r="3351" customFormat="false" ht="15" hidden="false" customHeight="false" outlineLevel="0" collapsed="false">
      <c r="A3351" s="3" t="s">
        <v>3741</v>
      </c>
      <c r="B3351" s="3" t="s">
        <v>283</v>
      </c>
      <c r="C3351" s="3" t="s">
        <v>405</v>
      </c>
      <c r="D3351" s="3" t="s">
        <v>381</v>
      </c>
      <c r="E3351" s="3" t="s">
        <v>398</v>
      </c>
      <c r="F3351" s="16" t="n">
        <v>12</v>
      </c>
      <c r="G3351" s="15" t="n">
        <v>0</v>
      </c>
      <c r="H3351" s="16" t="n">
        <v>12</v>
      </c>
      <c r="I3351" s="33" t="n">
        <v>4376.88</v>
      </c>
      <c r="J3351" s="33" t="n">
        <v>4376.88</v>
      </c>
    </row>
    <row r="3352" customFormat="false" ht="15" hidden="false" customHeight="false" outlineLevel="0" collapsed="false">
      <c r="A3352" s="3" t="s">
        <v>3742</v>
      </c>
      <c r="B3352" s="3" t="s">
        <v>283</v>
      </c>
      <c r="C3352" s="3" t="s">
        <v>401</v>
      </c>
      <c r="D3352" s="3" t="s">
        <v>418</v>
      </c>
      <c r="E3352" s="3" t="s">
        <v>398</v>
      </c>
      <c r="F3352" s="16" t="n">
        <v>12</v>
      </c>
      <c r="G3352" s="15" t="n">
        <v>0.1</v>
      </c>
      <c r="H3352" s="16" t="n">
        <v>4</v>
      </c>
      <c r="I3352" s="33" t="n">
        <v>4369.2</v>
      </c>
      <c r="J3352" s="33" t="n">
        <v>4854.72</v>
      </c>
    </row>
    <row r="3353" customFormat="false" ht="15" hidden="false" customHeight="false" outlineLevel="0" collapsed="false">
      <c r="A3353" s="3" t="s">
        <v>3743</v>
      </c>
      <c r="B3353" s="3" t="s">
        <v>283</v>
      </c>
      <c r="C3353" s="3" t="s">
        <v>387</v>
      </c>
      <c r="D3353" s="3" t="s">
        <v>692</v>
      </c>
      <c r="E3353" s="3" t="s">
        <v>398</v>
      </c>
      <c r="F3353" s="16" t="n">
        <v>1</v>
      </c>
      <c r="G3353" s="15" t="n">
        <v>0</v>
      </c>
      <c r="H3353" s="16" t="n">
        <v>1</v>
      </c>
      <c r="I3353" s="33" t="n">
        <v>4332</v>
      </c>
      <c r="J3353" s="33" t="n">
        <v>4332</v>
      </c>
    </row>
    <row r="3354" customFormat="false" ht="15" hidden="false" customHeight="false" outlineLevel="0" collapsed="false">
      <c r="A3354" s="3" t="s">
        <v>3744</v>
      </c>
      <c r="B3354" s="3" t="s">
        <v>283</v>
      </c>
      <c r="C3354" s="3" t="s">
        <v>387</v>
      </c>
      <c r="D3354" s="3" t="s">
        <v>381</v>
      </c>
      <c r="E3354" s="3" t="s">
        <v>382</v>
      </c>
      <c r="F3354" s="16" t="n">
        <v>1</v>
      </c>
      <c r="G3354" s="15" t="n">
        <v>0</v>
      </c>
      <c r="H3354" s="16" t="n">
        <v>1</v>
      </c>
      <c r="I3354" s="33" t="n">
        <v>4330.92</v>
      </c>
      <c r="J3354" s="33" t="n">
        <v>4330.92</v>
      </c>
    </row>
    <row r="3355" customFormat="false" ht="15" hidden="false" customHeight="false" outlineLevel="0" collapsed="false">
      <c r="A3355" s="3" t="s">
        <v>3745</v>
      </c>
      <c r="B3355" s="3" t="s">
        <v>283</v>
      </c>
      <c r="C3355" s="3" t="s">
        <v>396</v>
      </c>
      <c r="D3355" s="3" t="s">
        <v>692</v>
      </c>
      <c r="E3355" s="3" t="s">
        <v>385</v>
      </c>
      <c r="F3355" s="16" t="n">
        <v>1</v>
      </c>
      <c r="G3355" s="15" t="n">
        <v>0</v>
      </c>
      <c r="H3355" s="16" t="n">
        <v>1</v>
      </c>
      <c r="I3355" s="33" t="n">
        <v>4310.16</v>
      </c>
      <c r="J3355" s="33" t="n">
        <v>4310.16</v>
      </c>
    </row>
    <row r="3356" customFormat="false" ht="15" hidden="false" customHeight="false" outlineLevel="0" collapsed="false">
      <c r="A3356" s="3" t="s">
        <v>3746</v>
      </c>
      <c r="B3356" s="3" t="s">
        <v>283</v>
      </c>
      <c r="C3356" s="3" t="s">
        <v>403</v>
      </c>
      <c r="D3356" s="3" t="s">
        <v>388</v>
      </c>
      <c r="E3356" s="3" t="s">
        <v>398</v>
      </c>
      <c r="F3356" s="16" t="n">
        <v>1</v>
      </c>
      <c r="G3356" s="15" t="n">
        <v>0.1</v>
      </c>
      <c r="H3356" s="16" t="n">
        <v>1</v>
      </c>
      <c r="I3356" s="33" t="n">
        <v>4308.48</v>
      </c>
      <c r="J3356" s="33" t="n">
        <v>4787.16</v>
      </c>
    </row>
    <row r="3357" customFormat="false" ht="15" hidden="false" customHeight="false" outlineLevel="0" collapsed="false">
      <c r="A3357" s="3" t="s">
        <v>3747</v>
      </c>
      <c r="B3357" s="3" t="s">
        <v>283</v>
      </c>
      <c r="C3357" s="3" t="s">
        <v>405</v>
      </c>
      <c r="D3357" s="3" t="s">
        <v>418</v>
      </c>
      <c r="E3357" s="3" t="s">
        <v>398</v>
      </c>
      <c r="F3357" s="16" t="n">
        <v>1</v>
      </c>
      <c r="G3357" s="15" t="n">
        <v>0.1</v>
      </c>
      <c r="H3357" s="16" t="n">
        <v>1</v>
      </c>
      <c r="I3357" s="33" t="n">
        <v>4308</v>
      </c>
      <c r="J3357" s="33" t="n">
        <v>4786.68</v>
      </c>
    </row>
    <row r="3358" customFormat="false" ht="15" hidden="false" customHeight="false" outlineLevel="0" collapsed="false">
      <c r="A3358" s="3" t="s">
        <v>3748</v>
      </c>
      <c r="B3358" s="3" t="s">
        <v>283</v>
      </c>
      <c r="C3358" s="3" t="s">
        <v>387</v>
      </c>
      <c r="D3358" s="3" t="s">
        <v>692</v>
      </c>
      <c r="E3358" s="3" t="s">
        <v>385</v>
      </c>
      <c r="F3358" s="16" t="n">
        <v>1</v>
      </c>
      <c r="G3358" s="15" t="n">
        <v>0.25</v>
      </c>
      <c r="H3358" s="16" t="n">
        <v>1</v>
      </c>
      <c r="I3358" s="33" t="n">
        <v>4306.8</v>
      </c>
      <c r="J3358" s="33" t="n">
        <v>5742.48</v>
      </c>
    </row>
    <row r="3359" customFormat="false" ht="15" hidden="false" customHeight="false" outlineLevel="0" collapsed="false">
      <c r="A3359" s="3" t="s">
        <v>3749</v>
      </c>
      <c r="B3359" s="3" t="s">
        <v>283</v>
      </c>
      <c r="C3359" s="3" t="s">
        <v>387</v>
      </c>
      <c r="D3359" s="3" t="s">
        <v>692</v>
      </c>
      <c r="E3359" s="3" t="s">
        <v>385</v>
      </c>
      <c r="F3359" s="16" t="n">
        <v>1</v>
      </c>
      <c r="G3359" s="15" t="n">
        <v>0.15</v>
      </c>
      <c r="H3359" s="16" t="n">
        <v>1</v>
      </c>
      <c r="I3359" s="33" t="n">
        <v>4293.96</v>
      </c>
      <c r="J3359" s="33" t="n">
        <v>5051.76</v>
      </c>
    </row>
    <row r="3360" customFormat="false" ht="15" hidden="false" customHeight="false" outlineLevel="0" collapsed="false">
      <c r="A3360" s="3" t="s">
        <v>3750</v>
      </c>
      <c r="B3360" s="3" t="s">
        <v>283</v>
      </c>
      <c r="C3360" s="3" t="s">
        <v>396</v>
      </c>
      <c r="D3360" s="3" t="s">
        <v>418</v>
      </c>
      <c r="E3360" s="3" t="s">
        <v>398</v>
      </c>
      <c r="F3360" s="16" t="n">
        <v>12</v>
      </c>
      <c r="G3360" s="15" t="n">
        <v>0.3</v>
      </c>
      <c r="H3360" s="16" t="n">
        <v>9</v>
      </c>
      <c r="I3360" s="33" t="n">
        <v>4293.96</v>
      </c>
      <c r="J3360" s="33" t="n">
        <v>6134.28</v>
      </c>
    </row>
    <row r="3361" customFormat="false" ht="15" hidden="false" customHeight="false" outlineLevel="0" collapsed="false">
      <c r="A3361" s="3" t="s">
        <v>3751</v>
      </c>
      <c r="B3361" s="3" t="s">
        <v>283</v>
      </c>
      <c r="C3361" s="3" t="s">
        <v>401</v>
      </c>
      <c r="D3361" s="3" t="s">
        <v>418</v>
      </c>
      <c r="E3361" s="3" t="s">
        <v>398</v>
      </c>
      <c r="F3361" s="16" t="n">
        <v>1</v>
      </c>
      <c r="G3361" s="15" t="n">
        <v>0</v>
      </c>
      <c r="H3361" s="16" t="n">
        <v>1</v>
      </c>
      <c r="I3361" s="33" t="n">
        <v>4289.64</v>
      </c>
      <c r="J3361" s="33" t="n">
        <v>4289.64</v>
      </c>
    </row>
    <row r="3362" customFormat="false" ht="15" hidden="false" customHeight="false" outlineLevel="0" collapsed="false">
      <c r="A3362" s="3" t="s">
        <v>3752</v>
      </c>
      <c r="B3362" s="3" t="s">
        <v>283</v>
      </c>
      <c r="C3362" s="3" t="s">
        <v>405</v>
      </c>
      <c r="D3362" s="3" t="s">
        <v>418</v>
      </c>
      <c r="E3362" s="3" t="s">
        <v>398</v>
      </c>
      <c r="F3362" s="16" t="n">
        <v>12</v>
      </c>
      <c r="G3362" s="15" t="n">
        <v>0</v>
      </c>
      <c r="H3362" s="16" t="n">
        <v>2</v>
      </c>
      <c r="I3362" s="33" t="n">
        <v>4288.8</v>
      </c>
      <c r="J3362" s="33" t="n">
        <v>4288.8</v>
      </c>
    </row>
    <row r="3363" customFormat="false" ht="15" hidden="false" customHeight="false" outlineLevel="0" collapsed="false">
      <c r="A3363" s="3" t="s">
        <v>3753</v>
      </c>
      <c r="B3363" s="3" t="s">
        <v>283</v>
      </c>
      <c r="C3363" s="3" t="s">
        <v>380</v>
      </c>
      <c r="D3363" s="3" t="s">
        <v>418</v>
      </c>
      <c r="E3363" s="3" t="s">
        <v>382</v>
      </c>
      <c r="F3363" s="16" t="n">
        <v>1</v>
      </c>
      <c r="G3363" s="15" t="n">
        <v>0.2</v>
      </c>
      <c r="H3363" s="16" t="n">
        <v>1</v>
      </c>
      <c r="I3363" s="33" t="n">
        <v>4274.04</v>
      </c>
      <c r="J3363" s="33" t="n">
        <v>5342.64</v>
      </c>
    </row>
    <row r="3364" customFormat="false" ht="15" hidden="false" customHeight="false" outlineLevel="0" collapsed="false">
      <c r="A3364" s="3" t="s">
        <v>3754</v>
      </c>
      <c r="B3364" s="3" t="s">
        <v>283</v>
      </c>
      <c r="C3364" s="3" t="s">
        <v>403</v>
      </c>
      <c r="D3364" s="3" t="s">
        <v>692</v>
      </c>
      <c r="E3364" s="3" t="s">
        <v>385</v>
      </c>
      <c r="F3364" s="16" t="n">
        <v>12</v>
      </c>
      <c r="G3364" s="15" t="n">
        <v>0</v>
      </c>
      <c r="H3364" s="16" t="n">
        <v>8</v>
      </c>
      <c r="I3364" s="33" t="n">
        <v>4269.36</v>
      </c>
      <c r="J3364" s="33" t="n">
        <v>4269.36</v>
      </c>
    </row>
    <row r="3365" customFormat="false" ht="15" hidden="false" customHeight="false" outlineLevel="0" collapsed="false">
      <c r="A3365" s="3" t="s">
        <v>3755</v>
      </c>
      <c r="B3365" s="3" t="s">
        <v>283</v>
      </c>
      <c r="C3365" s="3" t="s">
        <v>396</v>
      </c>
      <c r="D3365" s="3" t="s">
        <v>392</v>
      </c>
      <c r="E3365" s="3" t="s">
        <v>398</v>
      </c>
      <c r="F3365" s="16" t="n">
        <v>1</v>
      </c>
      <c r="G3365" s="15" t="n">
        <v>0</v>
      </c>
      <c r="H3365" s="16" t="n">
        <v>1</v>
      </c>
      <c r="I3365" s="33" t="n">
        <v>4265.16</v>
      </c>
      <c r="J3365" s="33" t="n">
        <v>4265.16</v>
      </c>
    </row>
    <row r="3366" customFormat="false" ht="15" hidden="false" customHeight="false" outlineLevel="0" collapsed="false">
      <c r="A3366" s="3" t="s">
        <v>3756</v>
      </c>
      <c r="B3366" s="3" t="s">
        <v>283</v>
      </c>
      <c r="C3366" s="3" t="s">
        <v>396</v>
      </c>
      <c r="D3366" s="3" t="s">
        <v>692</v>
      </c>
      <c r="E3366" s="3" t="s">
        <v>398</v>
      </c>
      <c r="F3366" s="16" t="n">
        <v>1</v>
      </c>
      <c r="G3366" s="15" t="n">
        <v>0</v>
      </c>
      <c r="H3366" s="16" t="n">
        <v>1</v>
      </c>
      <c r="I3366" s="33" t="n">
        <v>4260.36</v>
      </c>
      <c r="J3366" s="33" t="n">
        <v>4260.36</v>
      </c>
    </row>
    <row r="3367" customFormat="false" ht="15" hidden="false" customHeight="false" outlineLevel="0" collapsed="false">
      <c r="A3367" s="3" t="s">
        <v>3757</v>
      </c>
      <c r="B3367" s="3" t="s">
        <v>283</v>
      </c>
      <c r="C3367" s="3" t="s">
        <v>401</v>
      </c>
      <c r="D3367" s="3" t="s">
        <v>418</v>
      </c>
      <c r="E3367" s="3" t="s">
        <v>385</v>
      </c>
      <c r="F3367" s="16" t="n">
        <v>12</v>
      </c>
      <c r="G3367" s="15" t="n">
        <v>0.1</v>
      </c>
      <c r="H3367" s="16" t="n">
        <v>3</v>
      </c>
      <c r="I3367" s="33" t="n">
        <v>4258.44</v>
      </c>
      <c r="J3367" s="33" t="n">
        <v>4731.6</v>
      </c>
    </row>
    <row r="3368" customFormat="false" ht="15" hidden="false" customHeight="false" outlineLevel="0" collapsed="false">
      <c r="A3368" s="3" t="s">
        <v>3758</v>
      </c>
      <c r="B3368" s="3" t="s">
        <v>283</v>
      </c>
      <c r="C3368" s="3" t="s">
        <v>396</v>
      </c>
      <c r="D3368" s="3" t="s">
        <v>381</v>
      </c>
      <c r="E3368" s="3" t="s">
        <v>398</v>
      </c>
      <c r="F3368" s="16" t="n">
        <v>1</v>
      </c>
      <c r="G3368" s="15" t="n">
        <v>0.1</v>
      </c>
      <c r="H3368" s="16" t="n">
        <v>1</v>
      </c>
      <c r="I3368" s="33" t="n">
        <v>4252.08</v>
      </c>
      <c r="J3368" s="33" t="n">
        <v>4724.52</v>
      </c>
    </row>
    <row r="3369" customFormat="false" ht="15" hidden="false" customHeight="false" outlineLevel="0" collapsed="false">
      <c r="A3369" s="3" t="s">
        <v>3759</v>
      </c>
      <c r="B3369" s="3" t="s">
        <v>283</v>
      </c>
      <c r="C3369" s="3" t="s">
        <v>396</v>
      </c>
      <c r="D3369" s="3" t="s">
        <v>392</v>
      </c>
      <c r="E3369" s="3" t="s">
        <v>385</v>
      </c>
      <c r="F3369" s="16" t="n">
        <v>1</v>
      </c>
      <c r="G3369" s="15" t="n">
        <v>0</v>
      </c>
      <c r="H3369" s="16" t="n">
        <v>1</v>
      </c>
      <c r="I3369" s="33" t="n">
        <v>4239.72</v>
      </c>
      <c r="J3369" s="33" t="n">
        <v>4239.72</v>
      </c>
    </row>
    <row r="3370" customFormat="false" ht="15" hidden="false" customHeight="false" outlineLevel="0" collapsed="false">
      <c r="A3370" s="3" t="s">
        <v>3760</v>
      </c>
      <c r="B3370" s="3" t="s">
        <v>283</v>
      </c>
      <c r="C3370" s="3" t="s">
        <v>403</v>
      </c>
      <c r="D3370" s="3" t="s">
        <v>381</v>
      </c>
      <c r="E3370" s="3" t="s">
        <v>385</v>
      </c>
      <c r="F3370" s="16" t="n">
        <v>12</v>
      </c>
      <c r="G3370" s="15" t="n">
        <v>0.3</v>
      </c>
      <c r="H3370" s="16" t="n">
        <v>1</v>
      </c>
      <c r="I3370" s="33" t="n">
        <v>4231.32</v>
      </c>
      <c r="J3370" s="33" t="n">
        <v>6044.76</v>
      </c>
    </row>
    <row r="3371" customFormat="false" ht="15" hidden="false" customHeight="false" outlineLevel="0" collapsed="false">
      <c r="A3371" s="3" t="s">
        <v>3761</v>
      </c>
      <c r="B3371" s="3" t="s">
        <v>283</v>
      </c>
      <c r="C3371" s="3" t="s">
        <v>387</v>
      </c>
      <c r="D3371" s="3" t="s">
        <v>388</v>
      </c>
      <c r="E3371" s="3" t="s">
        <v>398</v>
      </c>
      <c r="F3371" s="16" t="n">
        <v>12</v>
      </c>
      <c r="G3371" s="15" t="n">
        <v>0</v>
      </c>
      <c r="H3371" s="16" t="n">
        <v>9</v>
      </c>
      <c r="I3371" s="33" t="n">
        <v>4219.2</v>
      </c>
      <c r="J3371" s="33" t="n">
        <v>4219.2</v>
      </c>
    </row>
    <row r="3372" customFormat="false" ht="15" hidden="false" customHeight="false" outlineLevel="0" collapsed="false">
      <c r="A3372" s="3" t="s">
        <v>3762</v>
      </c>
      <c r="B3372" s="3" t="s">
        <v>283</v>
      </c>
      <c r="C3372" s="3" t="s">
        <v>401</v>
      </c>
      <c r="D3372" s="3" t="s">
        <v>692</v>
      </c>
      <c r="E3372" s="3" t="s">
        <v>398</v>
      </c>
      <c r="F3372" s="16" t="n">
        <v>12</v>
      </c>
      <c r="G3372" s="15" t="n">
        <v>0</v>
      </c>
      <c r="H3372" s="16" t="n">
        <v>1</v>
      </c>
      <c r="I3372" s="33" t="n">
        <v>4217.76</v>
      </c>
      <c r="J3372" s="33" t="n">
        <v>4217.76</v>
      </c>
    </row>
    <row r="3373" customFormat="false" ht="15" hidden="false" customHeight="false" outlineLevel="0" collapsed="false">
      <c r="A3373" s="3" t="s">
        <v>3763</v>
      </c>
      <c r="B3373" s="3" t="s">
        <v>283</v>
      </c>
      <c r="C3373" s="3" t="s">
        <v>396</v>
      </c>
      <c r="D3373" s="3" t="s">
        <v>418</v>
      </c>
      <c r="E3373" s="3" t="s">
        <v>398</v>
      </c>
      <c r="F3373" s="16" t="n">
        <v>12</v>
      </c>
      <c r="G3373" s="15" t="n">
        <v>0</v>
      </c>
      <c r="H3373" s="16" t="n">
        <v>8</v>
      </c>
      <c r="I3373" s="33" t="n">
        <v>4206.12</v>
      </c>
      <c r="J3373" s="33" t="n">
        <v>4206.12</v>
      </c>
    </row>
    <row r="3374" customFormat="false" ht="15" hidden="false" customHeight="false" outlineLevel="0" collapsed="false">
      <c r="A3374" s="3" t="s">
        <v>3764</v>
      </c>
      <c r="B3374" s="3" t="s">
        <v>283</v>
      </c>
      <c r="C3374" s="3" t="s">
        <v>401</v>
      </c>
      <c r="D3374" s="3" t="s">
        <v>418</v>
      </c>
      <c r="E3374" s="3" t="s">
        <v>398</v>
      </c>
      <c r="F3374" s="16" t="n">
        <v>1</v>
      </c>
      <c r="G3374" s="15" t="n">
        <v>0</v>
      </c>
      <c r="H3374" s="16" t="n">
        <v>1</v>
      </c>
      <c r="I3374" s="33" t="n">
        <v>4201.44</v>
      </c>
      <c r="J3374" s="33" t="n">
        <v>4201.44</v>
      </c>
    </row>
    <row r="3375" customFormat="false" ht="15" hidden="false" customHeight="false" outlineLevel="0" collapsed="false">
      <c r="A3375" s="3" t="s">
        <v>3765</v>
      </c>
      <c r="B3375" s="3" t="s">
        <v>283</v>
      </c>
      <c r="C3375" s="3" t="s">
        <v>380</v>
      </c>
      <c r="D3375" s="3" t="s">
        <v>692</v>
      </c>
      <c r="E3375" s="3" t="s">
        <v>382</v>
      </c>
      <c r="F3375" s="16" t="n">
        <v>12</v>
      </c>
      <c r="G3375" s="15" t="n">
        <v>0</v>
      </c>
      <c r="H3375" s="16" t="n">
        <v>10</v>
      </c>
      <c r="I3375" s="33" t="n">
        <v>4196.52</v>
      </c>
      <c r="J3375" s="33" t="n">
        <v>4196.52</v>
      </c>
    </row>
    <row r="3376" customFormat="false" ht="15" hidden="false" customHeight="false" outlineLevel="0" collapsed="false">
      <c r="A3376" s="3" t="s">
        <v>3766</v>
      </c>
      <c r="B3376" s="3" t="s">
        <v>283</v>
      </c>
      <c r="C3376" s="3" t="s">
        <v>401</v>
      </c>
      <c r="D3376" s="3" t="s">
        <v>392</v>
      </c>
      <c r="E3376" s="3" t="s">
        <v>385</v>
      </c>
      <c r="F3376" s="16" t="n">
        <v>1</v>
      </c>
      <c r="G3376" s="15" t="n">
        <v>0</v>
      </c>
      <c r="H3376" s="16" t="n">
        <v>1</v>
      </c>
      <c r="I3376" s="33" t="n">
        <v>4195.92</v>
      </c>
      <c r="J3376" s="33" t="n">
        <v>4195.92</v>
      </c>
    </row>
    <row r="3377" customFormat="false" ht="15" hidden="false" customHeight="false" outlineLevel="0" collapsed="false">
      <c r="A3377" s="3" t="s">
        <v>3767</v>
      </c>
      <c r="B3377" s="3" t="s">
        <v>283</v>
      </c>
      <c r="C3377" s="3" t="s">
        <v>380</v>
      </c>
      <c r="D3377" s="3" t="s">
        <v>392</v>
      </c>
      <c r="E3377" s="3" t="s">
        <v>398</v>
      </c>
      <c r="F3377" s="16" t="n">
        <v>1</v>
      </c>
      <c r="G3377" s="15" t="n">
        <v>0.1</v>
      </c>
      <c r="H3377" s="16" t="n">
        <v>1</v>
      </c>
      <c r="I3377" s="33" t="n">
        <v>4194.96</v>
      </c>
      <c r="J3377" s="33" t="n">
        <v>4661.04</v>
      </c>
    </row>
    <row r="3378" customFormat="false" ht="15" hidden="false" customHeight="false" outlineLevel="0" collapsed="false">
      <c r="A3378" s="3" t="s">
        <v>3768</v>
      </c>
      <c r="B3378" s="3" t="s">
        <v>283</v>
      </c>
      <c r="C3378" s="3" t="s">
        <v>403</v>
      </c>
      <c r="D3378" s="3" t="s">
        <v>692</v>
      </c>
      <c r="E3378" s="3" t="s">
        <v>398</v>
      </c>
      <c r="F3378" s="16" t="n">
        <v>1</v>
      </c>
      <c r="G3378" s="15" t="n">
        <v>0</v>
      </c>
      <c r="H3378" s="16" t="n">
        <v>1</v>
      </c>
      <c r="I3378" s="33" t="n">
        <v>4187.52</v>
      </c>
      <c r="J3378" s="33" t="n">
        <v>4187.52</v>
      </c>
    </row>
    <row r="3379" customFormat="false" ht="15" hidden="false" customHeight="false" outlineLevel="0" collapsed="false">
      <c r="A3379" s="3" t="s">
        <v>3769</v>
      </c>
      <c r="B3379" s="3" t="s">
        <v>283</v>
      </c>
      <c r="C3379" s="3" t="s">
        <v>403</v>
      </c>
      <c r="D3379" s="3" t="s">
        <v>418</v>
      </c>
      <c r="E3379" s="3" t="s">
        <v>382</v>
      </c>
      <c r="F3379" s="16" t="n">
        <v>1</v>
      </c>
      <c r="G3379" s="15" t="n">
        <v>0</v>
      </c>
      <c r="H3379" s="16" t="n">
        <v>1</v>
      </c>
      <c r="I3379" s="33" t="n">
        <v>4183.8</v>
      </c>
      <c r="J3379" s="33" t="n">
        <v>4183.8</v>
      </c>
    </row>
    <row r="3380" customFormat="false" ht="15" hidden="false" customHeight="false" outlineLevel="0" collapsed="false">
      <c r="A3380" s="3" t="s">
        <v>3770</v>
      </c>
      <c r="B3380" s="3" t="s">
        <v>283</v>
      </c>
      <c r="C3380" s="3" t="s">
        <v>403</v>
      </c>
      <c r="D3380" s="3" t="s">
        <v>418</v>
      </c>
      <c r="E3380" s="3" t="s">
        <v>385</v>
      </c>
      <c r="F3380" s="16" t="n">
        <v>1</v>
      </c>
      <c r="G3380" s="15" t="n">
        <v>0.15</v>
      </c>
      <c r="H3380" s="16" t="n">
        <v>1</v>
      </c>
      <c r="I3380" s="33" t="n">
        <v>4182.24</v>
      </c>
      <c r="J3380" s="33" t="n">
        <v>4920.24</v>
      </c>
    </row>
    <row r="3381" customFormat="false" ht="15" hidden="false" customHeight="false" outlineLevel="0" collapsed="false">
      <c r="A3381" s="3" t="s">
        <v>3771</v>
      </c>
      <c r="B3381" s="3" t="s">
        <v>283</v>
      </c>
      <c r="C3381" s="3" t="s">
        <v>401</v>
      </c>
      <c r="D3381" s="3" t="s">
        <v>381</v>
      </c>
      <c r="E3381" s="3" t="s">
        <v>382</v>
      </c>
      <c r="F3381" s="16" t="n">
        <v>1</v>
      </c>
      <c r="G3381" s="15" t="n">
        <v>0.15</v>
      </c>
      <c r="H3381" s="16" t="n">
        <v>1</v>
      </c>
      <c r="I3381" s="33" t="n">
        <v>4180.2</v>
      </c>
      <c r="J3381" s="33" t="n">
        <v>4917.84</v>
      </c>
    </row>
    <row r="3382" customFormat="false" ht="15" hidden="false" customHeight="false" outlineLevel="0" collapsed="false">
      <c r="A3382" s="3" t="s">
        <v>3772</v>
      </c>
      <c r="B3382" s="3" t="s">
        <v>283</v>
      </c>
      <c r="C3382" s="3" t="s">
        <v>396</v>
      </c>
      <c r="D3382" s="3" t="s">
        <v>392</v>
      </c>
      <c r="E3382" s="3" t="s">
        <v>385</v>
      </c>
      <c r="F3382" s="16" t="n">
        <v>1</v>
      </c>
      <c r="G3382" s="15" t="n">
        <v>0</v>
      </c>
      <c r="H3382" s="16" t="n">
        <v>1</v>
      </c>
      <c r="I3382" s="33" t="n">
        <v>4179.6</v>
      </c>
      <c r="J3382" s="33" t="n">
        <v>4179.6</v>
      </c>
    </row>
    <row r="3383" customFormat="false" ht="15" hidden="false" customHeight="false" outlineLevel="0" collapsed="false">
      <c r="A3383" s="3" t="s">
        <v>3773</v>
      </c>
      <c r="B3383" s="3" t="s">
        <v>283</v>
      </c>
      <c r="C3383" s="3" t="s">
        <v>403</v>
      </c>
      <c r="D3383" s="3" t="s">
        <v>692</v>
      </c>
      <c r="E3383" s="3" t="s">
        <v>385</v>
      </c>
      <c r="F3383" s="16" t="n">
        <v>1</v>
      </c>
      <c r="G3383" s="15" t="n">
        <v>0.1</v>
      </c>
      <c r="H3383" s="16" t="n">
        <v>1</v>
      </c>
      <c r="I3383" s="33" t="n">
        <v>4176.36</v>
      </c>
      <c r="J3383" s="33" t="n">
        <v>4640.4</v>
      </c>
    </row>
    <row r="3384" customFormat="false" ht="15" hidden="false" customHeight="false" outlineLevel="0" collapsed="false">
      <c r="A3384" s="3" t="s">
        <v>3774</v>
      </c>
      <c r="B3384" s="3" t="s">
        <v>283</v>
      </c>
      <c r="C3384" s="3" t="s">
        <v>401</v>
      </c>
      <c r="D3384" s="3" t="s">
        <v>392</v>
      </c>
      <c r="E3384" s="3" t="s">
        <v>385</v>
      </c>
      <c r="F3384" s="16" t="n">
        <v>1</v>
      </c>
      <c r="G3384" s="15" t="n">
        <v>0</v>
      </c>
      <c r="H3384" s="16" t="n">
        <v>1</v>
      </c>
      <c r="I3384" s="33" t="n">
        <v>4175.88</v>
      </c>
      <c r="J3384" s="33" t="n">
        <v>4175.88</v>
      </c>
    </row>
    <row r="3385" customFormat="false" ht="15" hidden="false" customHeight="false" outlineLevel="0" collapsed="false">
      <c r="A3385" s="3" t="s">
        <v>3775</v>
      </c>
      <c r="B3385" s="3" t="s">
        <v>283</v>
      </c>
      <c r="C3385" s="3" t="s">
        <v>403</v>
      </c>
      <c r="D3385" s="3" t="s">
        <v>418</v>
      </c>
      <c r="E3385" s="3" t="s">
        <v>398</v>
      </c>
      <c r="F3385" s="16" t="n">
        <v>12</v>
      </c>
      <c r="G3385" s="15" t="n">
        <v>0</v>
      </c>
      <c r="H3385" s="16" t="n">
        <v>3</v>
      </c>
      <c r="I3385" s="33" t="n">
        <v>4175.88</v>
      </c>
      <c r="J3385" s="33" t="n">
        <v>4175.88</v>
      </c>
    </row>
    <row r="3386" customFormat="false" ht="15" hidden="false" customHeight="false" outlineLevel="0" collapsed="false">
      <c r="A3386" s="3" t="s">
        <v>3776</v>
      </c>
      <c r="B3386" s="3" t="s">
        <v>283</v>
      </c>
      <c r="C3386" s="3" t="s">
        <v>403</v>
      </c>
      <c r="D3386" s="3" t="s">
        <v>418</v>
      </c>
      <c r="E3386" s="3" t="s">
        <v>398</v>
      </c>
      <c r="F3386" s="16" t="n">
        <v>12</v>
      </c>
      <c r="G3386" s="15" t="n">
        <v>0.1</v>
      </c>
      <c r="H3386" s="16" t="n">
        <v>7</v>
      </c>
      <c r="I3386" s="33" t="n">
        <v>4171.8</v>
      </c>
      <c r="J3386" s="33" t="n">
        <v>4635.36</v>
      </c>
    </row>
    <row r="3387" customFormat="false" ht="15" hidden="false" customHeight="false" outlineLevel="0" collapsed="false">
      <c r="A3387" s="3" t="s">
        <v>3777</v>
      </c>
      <c r="B3387" s="3" t="s">
        <v>283</v>
      </c>
      <c r="C3387" s="3" t="s">
        <v>384</v>
      </c>
      <c r="D3387" s="3" t="s">
        <v>692</v>
      </c>
      <c r="E3387" s="3" t="s">
        <v>398</v>
      </c>
      <c r="F3387" s="16" t="n">
        <v>1</v>
      </c>
      <c r="G3387" s="15" t="n">
        <v>0</v>
      </c>
      <c r="H3387" s="16" t="n">
        <v>1</v>
      </c>
      <c r="I3387" s="33" t="n">
        <v>4168.68</v>
      </c>
      <c r="J3387" s="33" t="n">
        <v>4168.68</v>
      </c>
    </row>
    <row r="3388" customFormat="false" ht="15" hidden="false" customHeight="false" outlineLevel="0" collapsed="false">
      <c r="A3388" s="3" t="s">
        <v>3778</v>
      </c>
      <c r="B3388" s="3" t="s">
        <v>283</v>
      </c>
      <c r="C3388" s="3" t="s">
        <v>396</v>
      </c>
      <c r="D3388" s="3" t="s">
        <v>418</v>
      </c>
      <c r="E3388" s="3" t="s">
        <v>398</v>
      </c>
      <c r="F3388" s="16" t="n">
        <v>1</v>
      </c>
      <c r="G3388" s="15" t="n">
        <v>0</v>
      </c>
      <c r="H3388" s="16" t="n">
        <v>1</v>
      </c>
      <c r="I3388" s="33" t="n">
        <v>4165.56</v>
      </c>
      <c r="J3388" s="33" t="n">
        <v>4165.56</v>
      </c>
    </row>
    <row r="3389" customFormat="false" ht="15" hidden="false" customHeight="false" outlineLevel="0" collapsed="false">
      <c r="A3389" s="3" t="s">
        <v>3779</v>
      </c>
      <c r="B3389" s="3" t="s">
        <v>283</v>
      </c>
      <c r="C3389" s="3" t="s">
        <v>403</v>
      </c>
      <c r="D3389" s="3" t="s">
        <v>692</v>
      </c>
      <c r="E3389" s="3" t="s">
        <v>398</v>
      </c>
      <c r="F3389" s="16" t="n">
        <v>12</v>
      </c>
      <c r="G3389" s="15" t="n">
        <v>0</v>
      </c>
      <c r="H3389" s="16" t="n">
        <v>2</v>
      </c>
      <c r="I3389" s="33" t="n">
        <v>4137.24</v>
      </c>
      <c r="J3389" s="33" t="n">
        <v>4137.24</v>
      </c>
    </row>
    <row r="3390" customFormat="false" ht="15" hidden="false" customHeight="false" outlineLevel="0" collapsed="false">
      <c r="A3390" s="3" t="s">
        <v>3780</v>
      </c>
      <c r="B3390" s="3" t="s">
        <v>283</v>
      </c>
      <c r="C3390" s="3" t="s">
        <v>384</v>
      </c>
      <c r="D3390" s="3" t="s">
        <v>692</v>
      </c>
      <c r="E3390" s="3" t="s">
        <v>398</v>
      </c>
      <c r="F3390" s="16" t="n">
        <v>1</v>
      </c>
      <c r="G3390" s="15" t="n">
        <v>0</v>
      </c>
      <c r="H3390" s="16" t="n">
        <v>1</v>
      </c>
      <c r="I3390" s="33" t="n">
        <v>4125</v>
      </c>
      <c r="J3390" s="33" t="n">
        <v>4125</v>
      </c>
    </row>
    <row r="3391" customFormat="false" ht="15" hidden="false" customHeight="false" outlineLevel="0" collapsed="false">
      <c r="A3391" s="3" t="s">
        <v>3781</v>
      </c>
      <c r="B3391" s="3" t="s">
        <v>283</v>
      </c>
      <c r="C3391" s="3" t="s">
        <v>405</v>
      </c>
      <c r="D3391" s="3" t="s">
        <v>392</v>
      </c>
      <c r="E3391" s="3" t="s">
        <v>398</v>
      </c>
      <c r="F3391" s="16" t="n">
        <v>12</v>
      </c>
      <c r="G3391" s="15" t="n">
        <v>0.1</v>
      </c>
      <c r="H3391" s="16" t="n">
        <v>9</v>
      </c>
      <c r="I3391" s="33" t="n">
        <v>4108.44</v>
      </c>
      <c r="J3391" s="33" t="n">
        <v>4564.92</v>
      </c>
    </row>
    <row r="3392" customFormat="false" ht="15" hidden="false" customHeight="false" outlineLevel="0" collapsed="false">
      <c r="A3392" s="3" t="s">
        <v>3782</v>
      </c>
      <c r="B3392" s="3" t="s">
        <v>283</v>
      </c>
      <c r="C3392" s="3" t="s">
        <v>403</v>
      </c>
      <c r="D3392" s="3" t="s">
        <v>418</v>
      </c>
      <c r="E3392" s="3" t="s">
        <v>398</v>
      </c>
      <c r="F3392" s="16" t="n">
        <v>1</v>
      </c>
      <c r="G3392" s="15" t="n">
        <v>0</v>
      </c>
      <c r="H3392" s="16" t="n">
        <v>1</v>
      </c>
      <c r="I3392" s="33" t="n">
        <v>4100.76</v>
      </c>
      <c r="J3392" s="33" t="n">
        <v>4100.76</v>
      </c>
    </row>
    <row r="3393" customFormat="false" ht="15" hidden="false" customHeight="false" outlineLevel="0" collapsed="false">
      <c r="A3393" s="3" t="s">
        <v>3783</v>
      </c>
      <c r="B3393" s="3" t="s">
        <v>283</v>
      </c>
      <c r="C3393" s="3" t="s">
        <v>403</v>
      </c>
      <c r="D3393" s="3" t="s">
        <v>418</v>
      </c>
      <c r="E3393" s="3" t="s">
        <v>385</v>
      </c>
      <c r="F3393" s="16" t="n">
        <v>12</v>
      </c>
      <c r="G3393" s="15" t="n">
        <v>0.3</v>
      </c>
      <c r="H3393" s="16" t="n">
        <v>2</v>
      </c>
      <c r="I3393" s="33" t="n">
        <v>4095.36</v>
      </c>
      <c r="J3393" s="33" t="n">
        <v>5850.6</v>
      </c>
    </row>
    <row r="3394" customFormat="false" ht="15" hidden="false" customHeight="false" outlineLevel="0" collapsed="false">
      <c r="A3394" s="3" t="s">
        <v>3784</v>
      </c>
      <c r="B3394" s="3" t="s">
        <v>283</v>
      </c>
      <c r="C3394" s="3" t="s">
        <v>396</v>
      </c>
      <c r="D3394" s="3" t="s">
        <v>392</v>
      </c>
      <c r="E3394" s="3" t="s">
        <v>398</v>
      </c>
      <c r="F3394" s="16" t="n">
        <v>12</v>
      </c>
      <c r="G3394" s="15" t="n">
        <v>0</v>
      </c>
      <c r="H3394" s="16" t="n">
        <v>7</v>
      </c>
      <c r="I3394" s="33" t="n">
        <v>4095.36</v>
      </c>
      <c r="J3394" s="33" t="n">
        <v>4095.36</v>
      </c>
    </row>
    <row r="3395" customFormat="false" ht="15" hidden="false" customHeight="false" outlineLevel="0" collapsed="false">
      <c r="A3395" s="3" t="s">
        <v>3785</v>
      </c>
      <c r="B3395" s="3" t="s">
        <v>283</v>
      </c>
      <c r="C3395" s="3" t="s">
        <v>384</v>
      </c>
      <c r="D3395" s="3" t="s">
        <v>692</v>
      </c>
      <c r="E3395" s="3" t="s">
        <v>398</v>
      </c>
      <c r="F3395" s="16" t="n">
        <v>1</v>
      </c>
      <c r="G3395" s="15" t="n">
        <v>0</v>
      </c>
      <c r="H3395" s="16" t="n">
        <v>1</v>
      </c>
      <c r="I3395" s="33" t="n">
        <v>4086.84</v>
      </c>
      <c r="J3395" s="33" t="n">
        <v>4086.84</v>
      </c>
    </row>
    <row r="3396" customFormat="false" ht="15" hidden="false" customHeight="false" outlineLevel="0" collapsed="false">
      <c r="A3396" s="3" t="s">
        <v>3786</v>
      </c>
      <c r="B3396" s="3" t="s">
        <v>283</v>
      </c>
      <c r="C3396" s="3" t="s">
        <v>387</v>
      </c>
      <c r="D3396" s="3" t="s">
        <v>418</v>
      </c>
      <c r="E3396" s="3" t="s">
        <v>398</v>
      </c>
      <c r="F3396" s="16" t="n">
        <v>12</v>
      </c>
      <c r="G3396" s="15" t="n">
        <v>0.35</v>
      </c>
      <c r="H3396" s="16" t="n">
        <v>11</v>
      </c>
      <c r="I3396" s="33" t="n">
        <v>4086.84</v>
      </c>
      <c r="J3396" s="33" t="n">
        <v>6287.52</v>
      </c>
    </row>
    <row r="3397" customFormat="false" ht="15" hidden="false" customHeight="false" outlineLevel="0" collapsed="false">
      <c r="A3397" s="3" t="s">
        <v>3787</v>
      </c>
      <c r="B3397" s="3" t="s">
        <v>283</v>
      </c>
      <c r="C3397" s="3" t="s">
        <v>403</v>
      </c>
      <c r="D3397" s="3" t="s">
        <v>392</v>
      </c>
      <c r="E3397" s="3" t="s">
        <v>385</v>
      </c>
      <c r="F3397" s="16" t="n">
        <v>1</v>
      </c>
      <c r="G3397" s="15" t="n">
        <v>0.3</v>
      </c>
      <c r="H3397" s="16" t="n">
        <v>1</v>
      </c>
      <c r="I3397" s="33" t="n">
        <v>4084.56</v>
      </c>
      <c r="J3397" s="33" t="n">
        <v>5835.12</v>
      </c>
    </row>
    <row r="3398" customFormat="false" ht="15" hidden="false" customHeight="false" outlineLevel="0" collapsed="false">
      <c r="A3398" s="3" t="s">
        <v>3788</v>
      </c>
      <c r="B3398" s="3" t="s">
        <v>283</v>
      </c>
      <c r="C3398" s="3" t="s">
        <v>403</v>
      </c>
      <c r="D3398" s="3" t="s">
        <v>418</v>
      </c>
      <c r="E3398" s="3" t="s">
        <v>382</v>
      </c>
      <c r="F3398" s="16" t="n">
        <v>1</v>
      </c>
      <c r="G3398" s="15" t="n">
        <v>0</v>
      </c>
      <c r="H3398" s="16" t="n">
        <v>1</v>
      </c>
      <c r="I3398" s="33" t="n">
        <v>4076.4</v>
      </c>
      <c r="J3398" s="33" t="n">
        <v>4076.4</v>
      </c>
    </row>
    <row r="3399" customFormat="false" ht="15" hidden="false" customHeight="false" outlineLevel="0" collapsed="false">
      <c r="A3399" s="3" t="s">
        <v>3789</v>
      </c>
      <c r="B3399" s="3" t="s">
        <v>283</v>
      </c>
      <c r="C3399" s="3" t="s">
        <v>401</v>
      </c>
      <c r="D3399" s="3" t="s">
        <v>418</v>
      </c>
      <c r="E3399" s="3" t="s">
        <v>398</v>
      </c>
      <c r="F3399" s="16" t="n">
        <v>1</v>
      </c>
      <c r="G3399" s="15" t="n">
        <v>0.1</v>
      </c>
      <c r="H3399" s="16" t="n">
        <v>1</v>
      </c>
      <c r="I3399" s="33" t="n">
        <v>4072.44</v>
      </c>
      <c r="J3399" s="33" t="n">
        <v>4524.96</v>
      </c>
    </row>
    <row r="3400" customFormat="false" ht="15" hidden="false" customHeight="false" outlineLevel="0" collapsed="false">
      <c r="A3400" s="3" t="s">
        <v>3790</v>
      </c>
      <c r="B3400" s="3" t="s">
        <v>283</v>
      </c>
      <c r="C3400" s="3" t="s">
        <v>380</v>
      </c>
      <c r="D3400" s="3" t="s">
        <v>692</v>
      </c>
      <c r="E3400" s="3" t="s">
        <v>398</v>
      </c>
      <c r="F3400" s="16" t="n">
        <v>1</v>
      </c>
      <c r="G3400" s="15" t="n">
        <v>0.1</v>
      </c>
      <c r="H3400" s="16" t="n">
        <v>1</v>
      </c>
      <c r="I3400" s="33" t="n">
        <v>4065.24</v>
      </c>
      <c r="J3400" s="33" t="n">
        <v>4516.92</v>
      </c>
    </row>
    <row r="3401" customFormat="false" ht="15" hidden="false" customHeight="false" outlineLevel="0" collapsed="false">
      <c r="A3401" s="3" t="s">
        <v>3791</v>
      </c>
      <c r="B3401" s="3" t="s">
        <v>283</v>
      </c>
      <c r="C3401" s="3" t="s">
        <v>405</v>
      </c>
      <c r="D3401" s="3" t="s">
        <v>392</v>
      </c>
      <c r="E3401" s="3" t="s">
        <v>398</v>
      </c>
      <c r="F3401" s="16" t="n">
        <v>12</v>
      </c>
      <c r="G3401" s="15" t="n">
        <v>0</v>
      </c>
      <c r="H3401" s="16" t="n">
        <v>8</v>
      </c>
      <c r="I3401" s="33" t="n">
        <v>4063.2</v>
      </c>
      <c r="J3401" s="33" t="n">
        <v>4063.2</v>
      </c>
    </row>
    <row r="3402" customFormat="false" ht="15" hidden="false" customHeight="false" outlineLevel="0" collapsed="false">
      <c r="A3402" s="3" t="s">
        <v>3792</v>
      </c>
      <c r="B3402" s="3" t="s">
        <v>283</v>
      </c>
      <c r="C3402" s="3" t="s">
        <v>401</v>
      </c>
      <c r="D3402" s="3" t="s">
        <v>418</v>
      </c>
      <c r="E3402" s="3" t="s">
        <v>398</v>
      </c>
      <c r="F3402" s="16" t="n">
        <v>1</v>
      </c>
      <c r="G3402" s="15" t="n">
        <v>0</v>
      </c>
      <c r="H3402" s="16" t="n">
        <v>1</v>
      </c>
      <c r="I3402" s="33" t="n">
        <v>4063.08</v>
      </c>
      <c r="J3402" s="33" t="n">
        <v>4063.08</v>
      </c>
    </row>
    <row r="3403" customFormat="false" ht="15" hidden="false" customHeight="false" outlineLevel="0" collapsed="false">
      <c r="A3403" s="3" t="s">
        <v>3793</v>
      </c>
      <c r="B3403" s="3" t="s">
        <v>283</v>
      </c>
      <c r="C3403" s="3" t="s">
        <v>387</v>
      </c>
      <c r="D3403" s="3" t="s">
        <v>388</v>
      </c>
      <c r="E3403" s="3" t="s">
        <v>385</v>
      </c>
      <c r="F3403" s="16" t="n">
        <v>12</v>
      </c>
      <c r="G3403" s="15" t="n">
        <v>0</v>
      </c>
      <c r="H3403" s="16" t="n">
        <v>3</v>
      </c>
      <c r="I3403" s="33" t="n">
        <v>4057.32</v>
      </c>
      <c r="J3403" s="33" t="n">
        <v>4057.32</v>
      </c>
    </row>
    <row r="3404" customFormat="false" ht="15" hidden="false" customHeight="false" outlineLevel="0" collapsed="false">
      <c r="A3404" s="3" t="s">
        <v>3794</v>
      </c>
      <c r="B3404" s="3" t="s">
        <v>283</v>
      </c>
      <c r="C3404" s="3" t="s">
        <v>384</v>
      </c>
      <c r="D3404" s="3" t="s">
        <v>392</v>
      </c>
      <c r="E3404" s="3" t="s">
        <v>385</v>
      </c>
      <c r="F3404" s="16" t="n">
        <v>1</v>
      </c>
      <c r="G3404" s="15" t="n">
        <v>0.15</v>
      </c>
      <c r="H3404" s="16" t="n">
        <v>1</v>
      </c>
      <c r="I3404" s="33" t="n">
        <v>4054.2</v>
      </c>
      <c r="J3404" s="33" t="n">
        <v>4769.64</v>
      </c>
    </row>
    <row r="3405" customFormat="false" ht="15" hidden="false" customHeight="false" outlineLevel="0" collapsed="false">
      <c r="A3405" s="3" t="s">
        <v>3795</v>
      </c>
      <c r="B3405" s="3" t="s">
        <v>283</v>
      </c>
      <c r="C3405" s="3" t="s">
        <v>403</v>
      </c>
      <c r="D3405" s="3" t="s">
        <v>418</v>
      </c>
      <c r="E3405" s="3" t="s">
        <v>398</v>
      </c>
      <c r="F3405" s="16" t="n">
        <v>1</v>
      </c>
      <c r="G3405" s="15" t="n">
        <v>0</v>
      </c>
      <c r="H3405" s="16" t="n">
        <v>1</v>
      </c>
      <c r="I3405" s="33" t="n">
        <v>4051.68</v>
      </c>
      <c r="J3405" s="33" t="n">
        <v>4051.68</v>
      </c>
    </row>
    <row r="3406" customFormat="false" ht="15" hidden="false" customHeight="false" outlineLevel="0" collapsed="false">
      <c r="A3406" s="3" t="s">
        <v>3796</v>
      </c>
      <c r="B3406" s="3" t="s">
        <v>283</v>
      </c>
      <c r="C3406" s="3" t="s">
        <v>387</v>
      </c>
      <c r="D3406" s="3" t="s">
        <v>692</v>
      </c>
      <c r="E3406" s="3" t="s">
        <v>398</v>
      </c>
      <c r="F3406" s="16" t="n">
        <v>12</v>
      </c>
      <c r="G3406" s="15" t="n">
        <v>0</v>
      </c>
      <c r="H3406" s="16" t="n">
        <v>2</v>
      </c>
      <c r="I3406" s="33" t="n">
        <v>4051.56</v>
      </c>
      <c r="J3406" s="33" t="n">
        <v>4051.56</v>
      </c>
    </row>
    <row r="3407" customFormat="false" ht="15" hidden="false" customHeight="false" outlineLevel="0" collapsed="false">
      <c r="A3407" s="3" t="s">
        <v>3797</v>
      </c>
      <c r="B3407" s="3" t="s">
        <v>283</v>
      </c>
      <c r="C3407" s="3" t="s">
        <v>387</v>
      </c>
      <c r="D3407" s="3" t="s">
        <v>392</v>
      </c>
      <c r="E3407" s="3" t="s">
        <v>398</v>
      </c>
      <c r="F3407" s="16" t="n">
        <v>1</v>
      </c>
      <c r="G3407" s="15" t="n">
        <v>0</v>
      </c>
      <c r="H3407" s="16" t="n">
        <v>1</v>
      </c>
      <c r="I3407" s="33" t="n">
        <v>4049.52</v>
      </c>
      <c r="J3407" s="33" t="n">
        <v>4049.52</v>
      </c>
    </row>
    <row r="3408" customFormat="false" ht="15" hidden="false" customHeight="false" outlineLevel="0" collapsed="false">
      <c r="A3408" s="3" t="s">
        <v>3798</v>
      </c>
      <c r="B3408" s="3" t="s">
        <v>283</v>
      </c>
      <c r="C3408" s="3" t="s">
        <v>401</v>
      </c>
      <c r="D3408" s="3" t="s">
        <v>692</v>
      </c>
      <c r="E3408" s="3" t="s">
        <v>398</v>
      </c>
      <c r="F3408" s="16" t="n">
        <v>12</v>
      </c>
      <c r="G3408" s="15" t="n">
        <v>0</v>
      </c>
      <c r="H3408" s="16" t="n">
        <v>8</v>
      </c>
      <c r="I3408" s="33" t="n">
        <v>4048.92</v>
      </c>
      <c r="J3408" s="33" t="n">
        <v>4048.92</v>
      </c>
    </row>
    <row r="3409" customFormat="false" ht="15" hidden="false" customHeight="false" outlineLevel="0" collapsed="false">
      <c r="A3409" s="3" t="s">
        <v>3799</v>
      </c>
      <c r="B3409" s="3" t="s">
        <v>283</v>
      </c>
      <c r="C3409" s="3" t="s">
        <v>403</v>
      </c>
      <c r="D3409" s="3" t="s">
        <v>418</v>
      </c>
      <c r="E3409" s="3" t="s">
        <v>398</v>
      </c>
      <c r="F3409" s="16" t="n">
        <v>12</v>
      </c>
      <c r="G3409" s="15" t="n">
        <v>0.3</v>
      </c>
      <c r="H3409" s="16" t="n">
        <v>10</v>
      </c>
      <c r="I3409" s="33" t="n">
        <v>4046.28</v>
      </c>
      <c r="J3409" s="33" t="n">
        <v>5780.4</v>
      </c>
    </row>
    <row r="3410" customFormat="false" ht="15" hidden="false" customHeight="false" outlineLevel="0" collapsed="false">
      <c r="A3410" s="3" t="s">
        <v>3800</v>
      </c>
      <c r="B3410" s="3" t="s">
        <v>283</v>
      </c>
      <c r="C3410" s="3" t="s">
        <v>401</v>
      </c>
      <c r="D3410" s="3" t="s">
        <v>392</v>
      </c>
      <c r="E3410" s="3" t="s">
        <v>382</v>
      </c>
      <c r="F3410" s="16" t="n">
        <v>1</v>
      </c>
      <c r="G3410" s="15" t="n">
        <v>0</v>
      </c>
      <c r="H3410" s="16" t="n">
        <v>1</v>
      </c>
      <c r="I3410" s="33" t="n">
        <v>4013.52</v>
      </c>
      <c r="J3410" s="33" t="n">
        <v>4013.52</v>
      </c>
    </row>
    <row r="3411" customFormat="false" ht="15" hidden="false" customHeight="false" outlineLevel="0" collapsed="false">
      <c r="A3411" s="3" t="s">
        <v>3801</v>
      </c>
      <c r="B3411" s="3" t="s">
        <v>283</v>
      </c>
      <c r="C3411" s="3" t="s">
        <v>396</v>
      </c>
      <c r="D3411" s="3" t="s">
        <v>692</v>
      </c>
      <c r="E3411" s="3" t="s">
        <v>398</v>
      </c>
      <c r="F3411" s="16" t="n">
        <v>12</v>
      </c>
      <c r="G3411" s="15" t="n">
        <v>0</v>
      </c>
      <c r="H3411" s="16" t="n">
        <v>5</v>
      </c>
      <c r="I3411" s="33" t="n">
        <v>4009.92</v>
      </c>
      <c r="J3411" s="33" t="n">
        <v>4009.92</v>
      </c>
    </row>
    <row r="3412" customFormat="false" ht="15" hidden="false" customHeight="false" outlineLevel="0" collapsed="false">
      <c r="A3412" s="3" t="s">
        <v>3802</v>
      </c>
      <c r="B3412" s="3" t="s">
        <v>283</v>
      </c>
      <c r="C3412" s="3" t="s">
        <v>380</v>
      </c>
      <c r="D3412" s="3" t="s">
        <v>692</v>
      </c>
      <c r="E3412" s="3" t="s">
        <v>382</v>
      </c>
      <c r="F3412" s="16" t="n">
        <v>12</v>
      </c>
      <c r="G3412" s="15" t="n">
        <v>0</v>
      </c>
      <c r="H3412" s="16" t="n">
        <v>8</v>
      </c>
      <c r="I3412" s="33" t="n">
        <v>4002.84</v>
      </c>
      <c r="J3412" s="33" t="n">
        <v>4002.84</v>
      </c>
    </row>
    <row r="3413" customFormat="false" ht="15" hidden="false" customHeight="false" outlineLevel="0" collapsed="false">
      <c r="A3413" s="3" t="s">
        <v>3803</v>
      </c>
      <c r="B3413" s="3" t="s">
        <v>283</v>
      </c>
      <c r="C3413" s="3" t="s">
        <v>396</v>
      </c>
      <c r="D3413" s="3" t="s">
        <v>692</v>
      </c>
      <c r="E3413" s="3" t="s">
        <v>385</v>
      </c>
      <c r="F3413" s="16" t="n">
        <v>1</v>
      </c>
      <c r="G3413" s="15" t="n">
        <v>0.2</v>
      </c>
      <c r="H3413" s="16" t="n">
        <v>1</v>
      </c>
      <c r="I3413" s="33" t="n">
        <v>3994.8</v>
      </c>
      <c r="J3413" s="33" t="n">
        <v>4993.56</v>
      </c>
    </row>
    <row r="3414" customFormat="false" ht="15" hidden="false" customHeight="false" outlineLevel="0" collapsed="false">
      <c r="A3414" s="3" t="s">
        <v>3804</v>
      </c>
      <c r="B3414" s="3" t="s">
        <v>283</v>
      </c>
      <c r="C3414" s="3" t="s">
        <v>396</v>
      </c>
      <c r="D3414" s="3" t="s">
        <v>692</v>
      </c>
      <c r="E3414" s="3" t="s">
        <v>385</v>
      </c>
      <c r="F3414" s="16" t="n">
        <v>12</v>
      </c>
      <c r="G3414" s="15" t="n">
        <v>0</v>
      </c>
      <c r="H3414" s="16" t="n">
        <v>7</v>
      </c>
      <c r="I3414" s="33" t="n">
        <v>3976.8</v>
      </c>
      <c r="J3414" s="33" t="n">
        <v>3976.8</v>
      </c>
    </row>
    <row r="3415" customFormat="false" ht="15" hidden="false" customHeight="false" outlineLevel="0" collapsed="false">
      <c r="A3415" s="3" t="s">
        <v>3805</v>
      </c>
      <c r="B3415" s="3" t="s">
        <v>283</v>
      </c>
      <c r="C3415" s="3" t="s">
        <v>396</v>
      </c>
      <c r="D3415" s="3" t="s">
        <v>692</v>
      </c>
      <c r="E3415" s="3" t="s">
        <v>398</v>
      </c>
      <c r="F3415" s="16" t="n">
        <v>12</v>
      </c>
      <c r="G3415" s="15" t="n">
        <v>0</v>
      </c>
      <c r="H3415" s="16" t="n">
        <v>2</v>
      </c>
      <c r="I3415" s="33" t="n">
        <v>3973.08</v>
      </c>
      <c r="J3415" s="33" t="n">
        <v>3973.08</v>
      </c>
    </row>
    <row r="3416" customFormat="false" ht="15" hidden="false" customHeight="false" outlineLevel="0" collapsed="false">
      <c r="A3416" s="3" t="s">
        <v>3806</v>
      </c>
      <c r="B3416" s="3" t="s">
        <v>283</v>
      </c>
      <c r="C3416" s="3" t="s">
        <v>405</v>
      </c>
      <c r="D3416" s="3" t="s">
        <v>418</v>
      </c>
      <c r="E3416" s="3" t="s">
        <v>398</v>
      </c>
      <c r="F3416" s="16" t="n">
        <v>12</v>
      </c>
      <c r="G3416" s="15" t="n">
        <v>0</v>
      </c>
      <c r="H3416" s="16" t="n">
        <v>8</v>
      </c>
      <c r="I3416" s="33" t="n">
        <v>3951.84</v>
      </c>
      <c r="J3416" s="33" t="n">
        <v>3951.84</v>
      </c>
    </row>
    <row r="3417" customFormat="false" ht="15" hidden="false" customHeight="false" outlineLevel="0" collapsed="false">
      <c r="A3417" s="3" t="s">
        <v>3807</v>
      </c>
      <c r="B3417" s="3" t="s">
        <v>283</v>
      </c>
      <c r="C3417" s="3" t="s">
        <v>380</v>
      </c>
      <c r="D3417" s="3" t="s">
        <v>392</v>
      </c>
      <c r="E3417" s="3" t="s">
        <v>398</v>
      </c>
      <c r="F3417" s="16" t="n">
        <v>1</v>
      </c>
      <c r="G3417" s="15" t="n">
        <v>0</v>
      </c>
      <c r="H3417" s="16" t="n">
        <v>1</v>
      </c>
      <c r="I3417" s="33" t="n">
        <v>3939.72</v>
      </c>
      <c r="J3417" s="33" t="n">
        <v>3939.72</v>
      </c>
    </row>
    <row r="3418" customFormat="false" ht="15" hidden="false" customHeight="false" outlineLevel="0" collapsed="false">
      <c r="A3418" s="3" t="s">
        <v>3808</v>
      </c>
      <c r="B3418" s="3" t="s">
        <v>283</v>
      </c>
      <c r="C3418" s="3" t="s">
        <v>405</v>
      </c>
      <c r="D3418" s="3" t="s">
        <v>392</v>
      </c>
      <c r="E3418" s="3" t="s">
        <v>398</v>
      </c>
      <c r="F3418" s="16" t="n">
        <v>1</v>
      </c>
      <c r="G3418" s="15" t="n">
        <v>0</v>
      </c>
      <c r="H3418" s="16" t="n">
        <v>1</v>
      </c>
      <c r="I3418" s="33" t="n">
        <v>3921.72</v>
      </c>
      <c r="J3418" s="33" t="n">
        <v>3921.72</v>
      </c>
    </row>
    <row r="3419" customFormat="false" ht="15" hidden="false" customHeight="false" outlineLevel="0" collapsed="false">
      <c r="A3419" s="3" t="s">
        <v>3809</v>
      </c>
      <c r="B3419" s="3" t="s">
        <v>283</v>
      </c>
      <c r="C3419" s="3" t="s">
        <v>405</v>
      </c>
      <c r="D3419" s="3" t="s">
        <v>392</v>
      </c>
      <c r="E3419" s="3" t="s">
        <v>398</v>
      </c>
      <c r="F3419" s="16" t="n">
        <v>1</v>
      </c>
      <c r="G3419" s="15" t="n">
        <v>0</v>
      </c>
      <c r="H3419" s="16" t="n">
        <v>1</v>
      </c>
      <c r="I3419" s="33" t="n">
        <v>3919.32</v>
      </c>
      <c r="J3419" s="33" t="n">
        <v>3919.32</v>
      </c>
    </row>
    <row r="3420" customFormat="false" ht="15" hidden="false" customHeight="false" outlineLevel="0" collapsed="false">
      <c r="A3420" s="3" t="s">
        <v>3810</v>
      </c>
      <c r="B3420" s="3" t="s">
        <v>283</v>
      </c>
      <c r="C3420" s="3" t="s">
        <v>380</v>
      </c>
      <c r="D3420" s="3" t="s">
        <v>392</v>
      </c>
      <c r="E3420" s="3" t="s">
        <v>398</v>
      </c>
      <c r="F3420" s="16" t="n">
        <v>1</v>
      </c>
      <c r="G3420" s="15" t="n">
        <v>0</v>
      </c>
      <c r="H3420" s="16" t="n">
        <v>1</v>
      </c>
      <c r="I3420" s="33" t="n">
        <v>3911.52</v>
      </c>
      <c r="J3420" s="33" t="n">
        <v>3911.52</v>
      </c>
    </row>
    <row r="3421" customFormat="false" ht="15" hidden="false" customHeight="false" outlineLevel="0" collapsed="false">
      <c r="A3421" s="3" t="s">
        <v>3811</v>
      </c>
      <c r="B3421" s="3" t="s">
        <v>283</v>
      </c>
      <c r="C3421" s="3" t="s">
        <v>396</v>
      </c>
      <c r="D3421" s="3" t="s">
        <v>418</v>
      </c>
      <c r="E3421" s="3" t="s">
        <v>385</v>
      </c>
      <c r="F3421" s="16" t="n">
        <v>12</v>
      </c>
      <c r="G3421" s="15" t="n">
        <v>0.2</v>
      </c>
      <c r="H3421" s="16" t="n">
        <v>9</v>
      </c>
      <c r="I3421" s="33" t="n">
        <v>3894.36</v>
      </c>
      <c r="J3421" s="33" t="n">
        <v>4868.04</v>
      </c>
    </row>
    <row r="3422" customFormat="false" ht="15" hidden="false" customHeight="false" outlineLevel="0" collapsed="false">
      <c r="A3422" s="3" t="s">
        <v>3812</v>
      </c>
      <c r="B3422" s="3" t="s">
        <v>283</v>
      </c>
      <c r="C3422" s="3" t="s">
        <v>401</v>
      </c>
      <c r="D3422" s="3" t="s">
        <v>692</v>
      </c>
      <c r="E3422" s="3" t="s">
        <v>398</v>
      </c>
      <c r="F3422" s="16" t="n">
        <v>12</v>
      </c>
      <c r="G3422" s="15" t="n">
        <v>0</v>
      </c>
      <c r="H3422" s="16" t="n">
        <v>2</v>
      </c>
      <c r="I3422" s="33" t="n">
        <v>3883.68</v>
      </c>
      <c r="J3422" s="33" t="n">
        <v>3883.68</v>
      </c>
    </row>
    <row r="3423" customFormat="false" ht="15" hidden="false" customHeight="false" outlineLevel="0" collapsed="false">
      <c r="A3423" s="3" t="s">
        <v>3813</v>
      </c>
      <c r="B3423" s="3" t="s">
        <v>283</v>
      </c>
      <c r="C3423" s="3" t="s">
        <v>405</v>
      </c>
      <c r="D3423" s="3" t="s">
        <v>388</v>
      </c>
      <c r="E3423" s="3" t="s">
        <v>385</v>
      </c>
      <c r="F3423" s="16" t="n">
        <v>12</v>
      </c>
      <c r="G3423" s="15" t="n">
        <v>0</v>
      </c>
      <c r="H3423" s="16" t="n">
        <v>10</v>
      </c>
      <c r="I3423" s="33" t="n">
        <v>3881.52</v>
      </c>
      <c r="J3423" s="33" t="n">
        <v>3881.52</v>
      </c>
    </row>
    <row r="3424" customFormat="false" ht="15" hidden="false" customHeight="false" outlineLevel="0" collapsed="false">
      <c r="A3424" s="3" t="s">
        <v>3814</v>
      </c>
      <c r="B3424" s="3" t="s">
        <v>283</v>
      </c>
      <c r="C3424" s="3" t="s">
        <v>396</v>
      </c>
      <c r="D3424" s="3" t="s">
        <v>692</v>
      </c>
      <c r="E3424" s="3" t="s">
        <v>398</v>
      </c>
      <c r="F3424" s="16" t="n">
        <v>12</v>
      </c>
      <c r="G3424" s="15" t="n">
        <v>0</v>
      </c>
      <c r="H3424" s="16" t="n">
        <v>3</v>
      </c>
      <c r="I3424" s="33" t="n">
        <v>3865.92</v>
      </c>
      <c r="J3424" s="33" t="n">
        <v>3865.92</v>
      </c>
    </row>
    <row r="3425" customFormat="false" ht="15" hidden="false" customHeight="false" outlineLevel="0" collapsed="false">
      <c r="A3425" s="3" t="s">
        <v>3815</v>
      </c>
      <c r="B3425" s="3" t="s">
        <v>283</v>
      </c>
      <c r="C3425" s="3" t="s">
        <v>401</v>
      </c>
      <c r="D3425" s="3" t="s">
        <v>388</v>
      </c>
      <c r="E3425" s="3" t="s">
        <v>385</v>
      </c>
      <c r="F3425" s="16" t="n">
        <v>12</v>
      </c>
      <c r="G3425" s="15" t="n">
        <v>0</v>
      </c>
      <c r="H3425" s="16" t="n">
        <v>10</v>
      </c>
      <c r="I3425" s="33" t="n">
        <v>3865.92</v>
      </c>
      <c r="J3425" s="33" t="n">
        <v>3865.92</v>
      </c>
    </row>
    <row r="3426" customFormat="false" ht="15" hidden="false" customHeight="false" outlineLevel="0" collapsed="false">
      <c r="A3426" s="3" t="s">
        <v>3816</v>
      </c>
      <c r="B3426" s="3" t="s">
        <v>283</v>
      </c>
      <c r="C3426" s="3" t="s">
        <v>403</v>
      </c>
      <c r="D3426" s="3" t="s">
        <v>392</v>
      </c>
      <c r="E3426" s="3" t="s">
        <v>398</v>
      </c>
      <c r="F3426" s="16" t="n">
        <v>1</v>
      </c>
      <c r="G3426" s="15" t="n">
        <v>0</v>
      </c>
      <c r="H3426" s="16" t="n">
        <v>1</v>
      </c>
      <c r="I3426" s="33" t="n">
        <v>3858.84</v>
      </c>
      <c r="J3426" s="33" t="n">
        <v>3858.84</v>
      </c>
    </row>
    <row r="3427" customFormat="false" ht="15" hidden="false" customHeight="false" outlineLevel="0" collapsed="false">
      <c r="A3427" s="3" t="s">
        <v>3817</v>
      </c>
      <c r="B3427" s="3" t="s">
        <v>283</v>
      </c>
      <c r="C3427" s="3" t="s">
        <v>384</v>
      </c>
      <c r="D3427" s="3" t="s">
        <v>418</v>
      </c>
      <c r="E3427" s="3" t="s">
        <v>398</v>
      </c>
      <c r="F3427" s="16" t="n">
        <v>12</v>
      </c>
      <c r="G3427" s="15" t="n">
        <v>0.025</v>
      </c>
      <c r="H3427" s="16" t="n">
        <v>7</v>
      </c>
      <c r="I3427" s="33" t="n">
        <v>3847.44</v>
      </c>
      <c r="J3427" s="33" t="n">
        <v>3946.08</v>
      </c>
    </row>
    <row r="3428" customFormat="false" ht="15" hidden="false" customHeight="false" outlineLevel="0" collapsed="false">
      <c r="A3428" s="3" t="s">
        <v>3818</v>
      </c>
      <c r="B3428" s="3" t="s">
        <v>283</v>
      </c>
      <c r="C3428" s="3" t="s">
        <v>405</v>
      </c>
      <c r="D3428" s="3" t="s">
        <v>418</v>
      </c>
      <c r="E3428" s="3" t="s">
        <v>398</v>
      </c>
      <c r="F3428" s="16" t="n">
        <v>12</v>
      </c>
      <c r="G3428" s="15" t="n">
        <v>0</v>
      </c>
      <c r="H3428" s="16" t="n">
        <v>5</v>
      </c>
      <c r="I3428" s="33" t="n">
        <v>3843.84</v>
      </c>
      <c r="J3428" s="33" t="n">
        <v>3843.84</v>
      </c>
    </row>
    <row r="3429" customFormat="false" ht="15" hidden="false" customHeight="false" outlineLevel="0" collapsed="false">
      <c r="A3429" s="3" t="s">
        <v>3819</v>
      </c>
      <c r="B3429" s="3" t="s">
        <v>283</v>
      </c>
      <c r="C3429" s="3" t="s">
        <v>401</v>
      </c>
      <c r="D3429" s="3" t="s">
        <v>418</v>
      </c>
      <c r="E3429" s="3" t="s">
        <v>398</v>
      </c>
      <c r="F3429" s="16" t="n">
        <v>12</v>
      </c>
      <c r="G3429" s="15" t="n">
        <v>0.15</v>
      </c>
      <c r="H3429" s="16" t="n">
        <v>7</v>
      </c>
      <c r="I3429" s="33" t="n">
        <v>3834.48</v>
      </c>
      <c r="J3429" s="33" t="n">
        <v>4511.16</v>
      </c>
    </row>
    <row r="3430" customFormat="false" ht="15" hidden="false" customHeight="false" outlineLevel="0" collapsed="false">
      <c r="A3430" s="3" t="s">
        <v>3820</v>
      </c>
      <c r="B3430" s="3" t="s">
        <v>283</v>
      </c>
      <c r="C3430" s="3" t="s">
        <v>384</v>
      </c>
      <c r="D3430" s="3" t="s">
        <v>692</v>
      </c>
      <c r="E3430" s="3" t="s">
        <v>398</v>
      </c>
      <c r="F3430" s="16" t="n">
        <v>12</v>
      </c>
      <c r="G3430" s="15" t="n">
        <v>0</v>
      </c>
      <c r="H3430" s="16" t="n">
        <v>5</v>
      </c>
      <c r="I3430" s="33" t="n">
        <v>3825.24</v>
      </c>
      <c r="J3430" s="33" t="n">
        <v>3825.24</v>
      </c>
    </row>
    <row r="3431" customFormat="false" ht="15" hidden="false" customHeight="false" outlineLevel="0" collapsed="false">
      <c r="A3431" s="3" t="s">
        <v>3821</v>
      </c>
      <c r="B3431" s="3" t="s">
        <v>283</v>
      </c>
      <c r="C3431" s="3" t="s">
        <v>396</v>
      </c>
      <c r="D3431" s="3" t="s">
        <v>392</v>
      </c>
      <c r="E3431" s="3" t="s">
        <v>398</v>
      </c>
      <c r="F3431" s="16" t="n">
        <v>1</v>
      </c>
      <c r="G3431" s="15" t="n">
        <v>0</v>
      </c>
      <c r="H3431" s="16" t="n">
        <v>1</v>
      </c>
      <c r="I3431" s="33" t="n">
        <v>3822.84</v>
      </c>
      <c r="J3431" s="33" t="n">
        <v>3822.84</v>
      </c>
    </row>
    <row r="3432" customFormat="false" ht="15" hidden="false" customHeight="false" outlineLevel="0" collapsed="false">
      <c r="A3432" s="3" t="s">
        <v>3822</v>
      </c>
      <c r="B3432" s="3" t="s">
        <v>283</v>
      </c>
      <c r="C3432" s="3" t="s">
        <v>384</v>
      </c>
      <c r="D3432" s="3" t="s">
        <v>692</v>
      </c>
      <c r="E3432" s="3" t="s">
        <v>398</v>
      </c>
      <c r="F3432" s="16" t="n">
        <v>12</v>
      </c>
      <c r="G3432" s="15" t="n">
        <v>0</v>
      </c>
      <c r="H3432" s="16" t="n">
        <v>6</v>
      </c>
      <c r="I3432" s="33" t="n">
        <v>3813.48</v>
      </c>
      <c r="J3432" s="33" t="n">
        <v>3813.48</v>
      </c>
    </row>
    <row r="3433" customFormat="false" ht="15" hidden="false" customHeight="false" outlineLevel="0" collapsed="false">
      <c r="A3433" s="3" t="s">
        <v>3823</v>
      </c>
      <c r="B3433" s="3" t="s">
        <v>283</v>
      </c>
      <c r="C3433" s="3" t="s">
        <v>380</v>
      </c>
      <c r="D3433" s="3" t="s">
        <v>692</v>
      </c>
      <c r="E3433" s="3" t="s">
        <v>398</v>
      </c>
      <c r="F3433" s="16" t="n">
        <v>1</v>
      </c>
      <c r="G3433" s="15" t="n">
        <v>0</v>
      </c>
      <c r="H3433" s="16" t="n">
        <v>1</v>
      </c>
      <c r="I3433" s="33" t="n">
        <v>3808.08</v>
      </c>
      <c r="J3433" s="33" t="n">
        <v>3808.08</v>
      </c>
    </row>
    <row r="3434" customFormat="false" ht="15" hidden="false" customHeight="false" outlineLevel="0" collapsed="false">
      <c r="A3434" s="3" t="s">
        <v>3824</v>
      </c>
      <c r="B3434" s="3" t="s">
        <v>283</v>
      </c>
      <c r="C3434" s="3" t="s">
        <v>396</v>
      </c>
      <c r="D3434" s="3" t="s">
        <v>418</v>
      </c>
      <c r="E3434" s="3" t="s">
        <v>398</v>
      </c>
      <c r="F3434" s="16" t="n">
        <v>12</v>
      </c>
      <c r="G3434" s="15" t="n">
        <v>0</v>
      </c>
      <c r="H3434" s="16" t="n">
        <v>12</v>
      </c>
      <c r="I3434" s="33" t="n">
        <v>3805.44</v>
      </c>
      <c r="J3434" s="33" t="n">
        <v>3805.44</v>
      </c>
    </row>
    <row r="3435" customFormat="false" ht="15" hidden="false" customHeight="false" outlineLevel="0" collapsed="false">
      <c r="A3435" s="3" t="s">
        <v>3825</v>
      </c>
      <c r="B3435" s="3" t="s">
        <v>283</v>
      </c>
      <c r="C3435" s="3" t="s">
        <v>396</v>
      </c>
      <c r="D3435" s="3" t="s">
        <v>381</v>
      </c>
      <c r="E3435" s="3" t="s">
        <v>398</v>
      </c>
      <c r="F3435" s="16" t="n">
        <v>12</v>
      </c>
      <c r="G3435" s="15" t="n">
        <v>0</v>
      </c>
      <c r="H3435" s="16" t="n">
        <v>4</v>
      </c>
      <c r="I3435" s="33" t="n">
        <v>3764.16</v>
      </c>
      <c r="J3435" s="33" t="n">
        <v>3764.16</v>
      </c>
    </row>
    <row r="3436" customFormat="false" ht="15" hidden="false" customHeight="false" outlineLevel="0" collapsed="false">
      <c r="A3436" s="3" t="s">
        <v>3826</v>
      </c>
      <c r="B3436" s="3" t="s">
        <v>283</v>
      </c>
      <c r="C3436" s="3" t="s">
        <v>384</v>
      </c>
      <c r="D3436" s="3" t="s">
        <v>418</v>
      </c>
      <c r="E3436" s="3" t="s">
        <v>398</v>
      </c>
      <c r="F3436" s="16" t="n">
        <v>1</v>
      </c>
      <c r="G3436" s="15" t="n">
        <v>0.15</v>
      </c>
      <c r="H3436" s="16" t="n">
        <v>1</v>
      </c>
      <c r="I3436" s="33" t="n">
        <v>3762.48</v>
      </c>
      <c r="J3436" s="33" t="n">
        <v>4426.44</v>
      </c>
    </row>
    <row r="3437" customFormat="false" ht="15" hidden="false" customHeight="false" outlineLevel="0" collapsed="false">
      <c r="A3437" s="3" t="s">
        <v>3827</v>
      </c>
      <c r="B3437" s="3" t="s">
        <v>283</v>
      </c>
      <c r="C3437" s="3" t="s">
        <v>380</v>
      </c>
      <c r="D3437" s="3" t="s">
        <v>392</v>
      </c>
      <c r="E3437" s="3" t="s">
        <v>398</v>
      </c>
      <c r="F3437" s="16" t="n">
        <v>1</v>
      </c>
      <c r="G3437" s="15" t="n">
        <v>0</v>
      </c>
      <c r="H3437" s="16" t="n">
        <v>1</v>
      </c>
      <c r="I3437" s="33" t="n">
        <v>3752.4</v>
      </c>
      <c r="J3437" s="33" t="n">
        <v>3752.4</v>
      </c>
    </row>
    <row r="3438" customFormat="false" ht="15" hidden="false" customHeight="false" outlineLevel="0" collapsed="false">
      <c r="A3438" s="3" t="s">
        <v>3828</v>
      </c>
      <c r="B3438" s="3" t="s">
        <v>283</v>
      </c>
      <c r="C3438" s="3" t="s">
        <v>403</v>
      </c>
      <c r="D3438" s="3" t="s">
        <v>692</v>
      </c>
      <c r="E3438" s="3" t="s">
        <v>385</v>
      </c>
      <c r="F3438" s="16" t="n">
        <v>1</v>
      </c>
      <c r="G3438" s="15" t="n">
        <v>0.3</v>
      </c>
      <c r="H3438" s="16" t="n">
        <v>1</v>
      </c>
      <c r="I3438" s="33" t="n">
        <v>3750.36</v>
      </c>
      <c r="J3438" s="33" t="n">
        <v>5357.76</v>
      </c>
    </row>
    <row r="3439" customFormat="false" ht="15" hidden="false" customHeight="false" outlineLevel="0" collapsed="false">
      <c r="A3439" s="3" t="s">
        <v>3829</v>
      </c>
      <c r="B3439" s="3" t="s">
        <v>283</v>
      </c>
      <c r="C3439" s="3" t="s">
        <v>396</v>
      </c>
      <c r="D3439" s="3" t="s">
        <v>418</v>
      </c>
      <c r="E3439" s="3" t="s">
        <v>398</v>
      </c>
      <c r="F3439" s="16" t="n">
        <v>12</v>
      </c>
      <c r="G3439" s="15" t="n">
        <v>0.1</v>
      </c>
      <c r="H3439" s="16" t="n">
        <v>7</v>
      </c>
      <c r="I3439" s="33" t="n">
        <v>3743.28</v>
      </c>
      <c r="J3439" s="33" t="n">
        <v>4159.2</v>
      </c>
    </row>
    <row r="3440" customFormat="false" ht="15" hidden="false" customHeight="false" outlineLevel="0" collapsed="false">
      <c r="A3440" s="3" t="s">
        <v>3830</v>
      </c>
      <c r="B3440" s="3" t="s">
        <v>283</v>
      </c>
      <c r="C3440" s="3" t="s">
        <v>403</v>
      </c>
      <c r="D3440" s="3" t="s">
        <v>692</v>
      </c>
      <c r="E3440" s="3" t="s">
        <v>398</v>
      </c>
      <c r="F3440" s="16" t="n">
        <v>12</v>
      </c>
      <c r="G3440" s="15" t="n">
        <v>0</v>
      </c>
      <c r="H3440" s="16" t="n">
        <v>2</v>
      </c>
      <c r="I3440" s="33" t="n">
        <v>3738.24</v>
      </c>
      <c r="J3440" s="33" t="n">
        <v>3738.24</v>
      </c>
    </row>
    <row r="3441" customFormat="false" ht="15" hidden="false" customHeight="false" outlineLevel="0" collapsed="false">
      <c r="A3441" s="3" t="s">
        <v>3831</v>
      </c>
      <c r="B3441" s="3" t="s">
        <v>283</v>
      </c>
      <c r="C3441" s="3" t="s">
        <v>401</v>
      </c>
      <c r="D3441" s="3" t="s">
        <v>418</v>
      </c>
      <c r="E3441" s="3" t="s">
        <v>382</v>
      </c>
      <c r="F3441" s="16" t="n">
        <v>12</v>
      </c>
      <c r="G3441" s="15" t="n">
        <v>0.1</v>
      </c>
      <c r="H3441" s="16" t="n">
        <v>5</v>
      </c>
      <c r="I3441" s="33" t="n">
        <v>3714.6</v>
      </c>
      <c r="J3441" s="33" t="n">
        <v>4127.28</v>
      </c>
    </row>
    <row r="3442" customFormat="false" ht="15" hidden="false" customHeight="false" outlineLevel="0" collapsed="false">
      <c r="A3442" s="3" t="s">
        <v>3832</v>
      </c>
      <c r="B3442" s="3" t="s">
        <v>283</v>
      </c>
      <c r="C3442" s="3" t="s">
        <v>387</v>
      </c>
      <c r="D3442" s="3" t="s">
        <v>418</v>
      </c>
      <c r="E3442" s="3" t="s">
        <v>385</v>
      </c>
      <c r="F3442" s="16" t="n">
        <v>12</v>
      </c>
      <c r="G3442" s="15" t="n">
        <v>0.2</v>
      </c>
      <c r="H3442" s="16" t="n">
        <v>1</v>
      </c>
      <c r="I3442" s="33" t="n">
        <v>3694.56</v>
      </c>
      <c r="J3442" s="33" t="n">
        <v>4618.2</v>
      </c>
    </row>
    <row r="3443" customFormat="false" ht="15" hidden="false" customHeight="false" outlineLevel="0" collapsed="false">
      <c r="A3443" s="3" t="s">
        <v>3833</v>
      </c>
      <c r="B3443" s="3" t="s">
        <v>283</v>
      </c>
      <c r="C3443" s="3" t="s">
        <v>396</v>
      </c>
      <c r="D3443" s="3" t="s">
        <v>418</v>
      </c>
      <c r="E3443" s="3" t="s">
        <v>398</v>
      </c>
      <c r="F3443" s="16" t="n">
        <v>1</v>
      </c>
      <c r="G3443" s="15" t="n">
        <v>0</v>
      </c>
      <c r="H3443" s="16" t="n">
        <v>1</v>
      </c>
      <c r="I3443" s="33" t="n">
        <v>3686.28</v>
      </c>
      <c r="J3443" s="33" t="n">
        <v>3686.28</v>
      </c>
    </row>
    <row r="3444" customFormat="false" ht="15" hidden="false" customHeight="false" outlineLevel="0" collapsed="false">
      <c r="A3444" s="3" t="s">
        <v>3834</v>
      </c>
      <c r="B3444" s="3" t="s">
        <v>283</v>
      </c>
      <c r="C3444" s="3" t="s">
        <v>403</v>
      </c>
      <c r="D3444" s="3" t="s">
        <v>392</v>
      </c>
      <c r="E3444" s="3" t="s">
        <v>385</v>
      </c>
      <c r="F3444" s="16" t="n">
        <v>1</v>
      </c>
      <c r="G3444" s="15" t="n">
        <v>0</v>
      </c>
      <c r="H3444" s="16" t="n">
        <v>1</v>
      </c>
      <c r="I3444" s="33" t="n">
        <v>3669.48</v>
      </c>
      <c r="J3444" s="33" t="n">
        <v>3669.48</v>
      </c>
    </row>
    <row r="3445" customFormat="false" ht="15" hidden="false" customHeight="false" outlineLevel="0" collapsed="false">
      <c r="A3445" s="3" t="s">
        <v>3835</v>
      </c>
      <c r="B3445" s="3" t="s">
        <v>283</v>
      </c>
      <c r="C3445" s="3" t="s">
        <v>403</v>
      </c>
      <c r="D3445" s="3" t="s">
        <v>418</v>
      </c>
      <c r="E3445" s="3" t="s">
        <v>398</v>
      </c>
      <c r="F3445" s="16" t="n">
        <v>1</v>
      </c>
      <c r="G3445" s="15" t="n">
        <v>0.2</v>
      </c>
      <c r="H3445" s="16" t="n">
        <v>1</v>
      </c>
      <c r="I3445" s="33" t="n">
        <v>3664.32</v>
      </c>
      <c r="J3445" s="33" t="n">
        <v>4580.4</v>
      </c>
    </row>
    <row r="3446" customFormat="false" ht="15" hidden="false" customHeight="false" outlineLevel="0" collapsed="false">
      <c r="A3446" s="3" t="s">
        <v>3836</v>
      </c>
      <c r="B3446" s="3" t="s">
        <v>283</v>
      </c>
      <c r="C3446" s="3" t="s">
        <v>401</v>
      </c>
      <c r="D3446" s="3" t="s">
        <v>692</v>
      </c>
      <c r="E3446" s="3" t="s">
        <v>385</v>
      </c>
      <c r="F3446" s="16" t="n">
        <v>12</v>
      </c>
      <c r="G3446" s="15" t="n">
        <v>0.4</v>
      </c>
      <c r="H3446" s="16" t="n">
        <v>10</v>
      </c>
      <c r="I3446" s="33" t="n">
        <v>3663.96</v>
      </c>
      <c r="J3446" s="33" t="n">
        <v>6106.68</v>
      </c>
    </row>
    <row r="3447" customFormat="false" ht="15" hidden="false" customHeight="false" outlineLevel="0" collapsed="false">
      <c r="A3447" s="3" t="s">
        <v>3837</v>
      </c>
      <c r="B3447" s="3" t="s">
        <v>283</v>
      </c>
      <c r="C3447" s="3" t="s">
        <v>396</v>
      </c>
      <c r="D3447" s="3" t="s">
        <v>388</v>
      </c>
      <c r="E3447" s="3" t="s">
        <v>398</v>
      </c>
      <c r="F3447" s="16" t="n">
        <v>1</v>
      </c>
      <c r="G3447" s="15" t="n">
        <v>0</v>
      </c>
      <c r="H3447" s="16" t="n">
        <v>1</v>
      </c>
      <c r="I3447" s="33" t="n">
        <v>3658.56</v>
      </c>
      <c r="J3447" s="33" t="n">
        <v>3658.56</v>
      </c>
    </row>
    <row r="3448" customFormat="false" ht="15" hidden="false" customHeight="false" outlineLevel="0" collapsed="false">
      <c r="A3448" s="3" t="s">
        <v>3838</v>
      </c>
      <c r="B3448" s="3" t="s">
        <v>283</v>
      </c>
      <c r="C3448" s="3" t="s">
        <v>387</v>
      </c>
      <c r="D3448" s="3" t="s">
        <v>418</v>
      </c>
      <c r="E3448" s="3" t="s">
        <v>385</v>
      </c>
      <c r="F3448" s="16" t="n">
        <v>1</v>
      </c>
      <c r="G3448" s="15" t="n">
        <v>0.35</v>
      </c>
      <c r="H3448" s="16" t="n">
        <v>1</v>
      </c>
      <c r="I3448" s="33" t="n">
        <v>3647.04</v>
      </c>
      <c r="J3448" s="33" t="n">
        <v>5610.84</v>
      </c>
    </row>
    <row r="3449" customFormat="false" ht="15" hidden="false" customHeight="false" outlineLevel="0" collapsed="false">
      <c r="A3449" s="3" t="s">
        <v>3839</v>
      </c>
      <c r="B3449" s="3" t="s">
        <v>283</v>
      </c>
      <c r="C3449" s="3" t="s">
        <v>387</v>
      </c>
      <c r="D3449" s="3" t="s">
        <v>418</v>
      </c>
      <c r="E3449" s="3" t="s">
        <v>385</v>
      </c>
      <c r="F3449" s="16" t="n">
        <v>1</v>
      </c>
      <c r="G3449" s="15" t="n">
        <v>0</v>
      </c>
      <c r="H3449" s="16" t="n">
        <v>1</v>
      </c>
      <c r="I3449" s="33" t="n">
        <v>3630.96</v>
      </c>
      <c r="J3449" s="33" t="n">
        <v>3630.96</v>
      </c>
    </row>
    <row r="3450" customFormat="false" ht="15" hidden="false" customHeight="false" outlineLevel="0" collapsed="false">
      <c r="A3450" s="3" t="s">
        <v>3840</v>
      </c>
      <c r="B3450" s="3" t="s">
        <v>283</v>
      </c>
      <c r="C3450" s="3" t="s">
        <v>396</v>
      </c>
      <c r="D3450" s="3" t="s">
        <v>692</v>
      </c>
      <c r="E3450" s="3" t="s">
        <v>398</v>
      </c>
      <c r="F3450" s="16" t="n">
        <v>1</v>
      </c>
      <c r="G3450" s="15" t="n">
        <v>0</v>
      </c>
      <c r="H3450" s="16" t="n">
        <v>1</v>
      </c>
      <c r="I3450" s="33" t="n">
        <v>3629.52</v>
      </c>
      <c r="J3450" s="33" t="n">
        <v>3629.52</v>
      </c>
    </row>
    <row r="3451" customFormat="false" ht="15" hidden="false" customHeight="false" outlineLevel="0" collapsed="false">
      <c r="A3451" s="3" t="s">
        <v>3841</v>
      </c>
      <c r="B3451" s="3" t="s">
        <v>283</v>
      </c>
      <c r="C3451" s="3" t="s">
        <v>396</v>
      </c>
      <c r="D3451" s="3" t="s">
        <v>418</v>
      </c>
      <c r="E3451" s="3" t="s">
        <v>382</v>
      </c>
      <c r="F3451" s="16" t="n">
        <v>1</v>
      </c>
      <c r="G3451" s="15" t="n">
        <v>0</v>
      </c>
      <c r="H3451" s="16" t="n">
        <v>1</v>
      </c>
      <c r="I3451" s="33" t="n">
        <v>3624.96</v>
      </c>
      <c r="J3451" s="33" t="n">
        <v>3624.96</v>
      </c>
    </row>
    <row r="3452" customFormat="false" ht="15" hidden="false" customHeight="false" outlineLevel="0" collapsed="false">
      <c r="A3452" s="3" t="s">
        <v>3842</v>
      </c>
      <c r="B3452" s="3" t="s">
        <v>283</v>
      </c>
      <c r="C3452" s="3" t="s">
        <v>403</v>
      </c>
      <c r="D3452" s="3" t="s">
        <v>692</v>
      </c>
      <c r="E3452" s="3" t="s">
        <v>382</v>
      </c>
      <c r="F3452" s="16" t="n">
        <v>12</v>
      </c>
      <c r="G3452" s="15" t="n">
        <v>0</v>
      </c>
      <c r="H3452" s="16" t="n">
        <v>8</v>
      </c>
      <c r="I3452" s="33" t="n">
        <v>3623.88</v>
      </c>
      <c r="J3452" s="33" t="n">
        <v>3623.88</v>
      </c>
    </row>
    <row r="3453" customFormat="false" ht="15" hidden="false" customHeight="false" outlineLevel="0" collapsed="false">
      <c r="A3453" s="3" t="s">
        <v>3843</v>
      </c>
      <c r="B3453" s="3" t="s">
        <v>283</v>
      </c>
      <c r="C3453" s="3" t="s">
        <v>403</v>
      </c>
      <c r="D3453" s="3" t="s">
        <v>692</v>
      </c>
      <c r="E3453" s="3" t="s">
        <v>398</v>
      </c>
      <c r="F3453" s="16" t="n">
        <v>12</v>
      </c>
      <c r="G3453" s="15" t="n">
        <v>0</v>
      </c>
      <c r="H3453" s="16" t="n">
        <v>12</v>
      </c>
      <c r="I3453" s="33" t="n">
        <v>3622.8</v>
      </c>
      <c r="J3453" s="33" t="n">
        <v>3622.8</v>
      </c>
    </row>
    <row r="3454" customFormat="false" ht="15" hidden="false" customHeight="false" outlineLevel="0" collapsed="false">
      <c r="A3454" s="3" t="s">
        <v>3844</v>
      </c>
      <c r="B3454" s="3" t="s">
        <v>283</v>
      </c>
      <c r="C3454" s="3" t="s">
        <v>384</v>
      </c>
      <c r="D3454" s="3" t="s">
        <v>692</v>
      </c>
      <c r="E3454" s="3" t="s">
        <v>382</v>
      </c>
      <c r="F3454" s="16" t="n">
        <v>12</v>
      </c>
      <c r="G3454" s="15" t="n">
        <v>0.25</v>
      </c>
      <c r="H3454" s="16" t="n">
        <v>7</v>
      </c>
      <c r="I3454" s="33" t="n">
        <v>3619.44</v>
      </c>
      <c r="J3454" s="33" t="n">
        <v>4826.04</v>
      </c>
    </row>
    <row r="3455" customFormat="false" ht="15" hidden="false" customHeight="false" outlineLevel="0" collapsed="false">
      <c r="A3455" s="3" t="s">
        <v>3845</v>
      </c>
      <c r="B3455" s="3" t="s">
        <v>283</v>
      </c>
      <c r="C3455" s="3" t="s">
        <v>396</v>
      </c>
      <c r="D3455" s="3" t="s">
        <v>692</v>
      </c>
      <c r="E3455" s="3" t="s">
        <v>398</v>
      </c>
      <c r="F3455" s="16" t="n">
        <v>12</v>
      </c>
      <c r="G3455" s="15" t="n">
        <v>0</v>
      </c>
      <c r="H3455" s="16" t="n">
        <v>6</v>
      </c>
      <c r="I3455" s="33" t="n">
        <v>3607.32</v>
      </c>
      <c r="J3455" s="33" t="n">
        <v>3607.32</v>
      </c>
    </row>
    <row r="3456" customFormat="false" ht="15" hidden="false" customHeight="false" outlineLevel="0" collapsed="false">
      <c r="A3456" s="3" t="s">
        <v>3846</v>
      </c>
      <c r="B3456" s="3" t="s">
        <v>283</v>
      </c>
      <c r="C3456" s="3" t="s">
        <v>405</v>
      </c>
      <c r="D3456" s="3" t="s">
        <v>381</v>
      </c>
      <c r="E3456" s="3" t="s">
        <v>398</v>
      </c>
      <c r="F3456" s="16" t="n">
        <v>1</v>
      </c>
      <c r="G3456" s="15" t="n">
        <v>0.25</v>
      </c>
      <c r="H3456" s="16" t="n">
        <v>1</v>
      </c>
      <c r="I3456" s="33" t="n">
        <v>3605.64</v>
      </c>
      <c r="J3456" s="33" t="n">
        <v>4807.44</v>
      </c>
    </row>
    <row r="3457" customFormat="false" ht="15" hidden="false" customHeight="false" outlineLevel="0" collapsed="false">
      <c r="A3457" s="3" t="s">
        <v>3847</v>
      </c>
      <c r="B3457" s="3" t="s">
        <v>283</v>
      </c>
      <c r="C3457" s="3" t="s">
        <v>380</v>
      </c>
      <c r="D3457" s="3" t="s">
        <v>392</v>
      </c>
      <c r="E3457" s="3" t="s">
        <v>398</v>
      </c>
      <c r="F3457" s="16" t="n">
        <v>1</v>
      </c>
      <c r="G3457" s="15" t="n">
        <v>0</v>
      </c>
      <c r="H3457" s="16" t="n">
        <v>1</v>
      </c>
      <c r="I3457" s="33" t="n">
        <v>3603.84</v>
      </c>
      <c r="J3457" s="33" t="n">
        <v>3603.84</v>
      </c>
    </row>
    <row r="3458" customFormat="false" ht="15" hidden="false" customHeight="false" outlineLevel="0" collapsed="false">
      <c r="A3458" s="3" t="s">
        <v>3848</v>
      </c>
      <c r="B3458" s="3" t="s">
        <v>283</v>
      </c>
      <c r="C3458" s="3" t="s">
        <v>403</v>
      </c>
      <c r="D3458" s="3" t="s">
        <v>381</v>
      </c>
      <c r="E3458" s="3" t="s">
        <v>398</v>
      </c>
      <c r="F3458" s="16" t="n">
        <v>1</v>
      </c>
      <c r="G3458" s="15" t="n">
        <v>0.35</v>
      </c>
      <c r="H3458" s="16" t="n">
        <v>1</v>
      </c>
      <c r="I3458" s="33" t="n">
        <v>3602.52</v>
      </c>
      <c r="J3458" s="33" t="n">
        <v>5542.32</v>
      </c>
    </row>
    <row r="3459" customFormat="false" ht="15" hidden="false" customHeight="false" outlineLevel="0" collapsed="false">
      <c r="A3459" s="3" t="s">
        <v>3849</v>
      </c>
      <c r="B3459" s="3" t="s">
        <v>283</v>
      </c>
      <c r="C3459" s="3" t="s">
        <v>387</v>
      </c>
      <c r="D3459" s="3" t="s">
        <v>418</v>
      </c>
      <c r="E3459" s="3" t="s">
        <v>398</v>
      </c>
      <c r="F3459" s="16" t="n">
        <v>1</v>
      </c>
      <c r="G3459" s="15" t="n">
        <v>0</v>
      </c>
      <c r="H3459" s="16" t="n">
        <v>1</v>
      </c>
      <c r="I3459" s="33" t="n">
        <v>3598.8</v>
      </c>
      <c r="J3459" s="33" t="n">
        <v>3598.8</v>
      </c>
    </row>
    <row r="3460" customFormat="false" ht="15" hidden="false" customHeight="false" outlineLevel="0" collapsed="false">
      <c r="A3460" s="3" t="s">
        <v>3850</v>
      </c>
      <c r="B3460" s="3" t="s">
        <v>283</v>
      </c>
      <c r="C3460" s="3" t="s">
        <v>380</v>
      </c>
      <c r="D3460" s="3" t="s">
        <v>392</v>
      </c>
      <c r="E3460" s="3" t="s">
        <v>385</v>
      </c>
      <c r="F3460" s="16" t="n">
        <v>1</v>
      </c>
      <c r="G3460" s="15" t="n">
        <v>0</v>
      </c>
      <c r="H3460" s="16" t="n">
        <v>1</v>
      </c>
      <c r="I3460" s="33" t="n">
        <v>3588.6</v>
      </c>
      <c r="J3460" s="33" t="n">
        <v>3588.6</v>
      </c>
    </row>
    <row r="3461" customFormat="false" ht="15" hidden="false" customHeight="false" outlineLevel="0" collapsed="false">
      <c r="A3461" s="3" t="s">
        <v>3851</v>
      </c>
      <c r="B3461" s="3" t="s">
        <v>283</v>
      </c>
      <c r="C3461" s="3" t="s">
        <v>384</v>
      </c>
      <c r="D3461" s="3" t="s">
        <v>692</v>
      </c>
      <c r="E3461" s="3" t="s">
        <v>382</v>
      </c>
      <c r="F3461" s="16" t="n">
        <v>12</v>
      </c>
      <c r="G3461" s="15" t="n">
        <v>0</v>
      </c>
      <c r="H3461" s="16" t="n">
        <v>10</v>
      </c>
      <c r="I3461" s="33" t="n">
        <v>3581.76</v>
      </c>
      <c r="J3461" s="33" t="n">
        <v>3581.76</v>
      </c>
    </row>
    <row r="3462" customFormat="false" ht="15" hidden="false" customHeight="false" outlineLevel="0" collapsed="false">
      <c r="A3462" s="3" t="s">
        <v>3852</v>
      </c>
      <c r="B3462" s="3" t="s">
        <v>283</v>
      </c>
      <c r="C3462" s="3" t="s">
        <v>403</v>
      </c>
      <c r="D3462" s="3" t="s">
        <v>418</v>
      </c>
      <c r="E3462" s="3" t="s">
        <v>398</v>
      </c>
      <c r="F3462" s="16" t="n">
        <v>1</v>
      </c>
      <c r="G3462" s="15" t="n">
        <v>0.15</v>
      </c>
      <c r="H3462" s="16" t="n">
        <v>1</v>
      </c>
      <c r="I3462" s="33" t="n">
        <v>3572.52</v>
      </c>
      <c r="J3462" s="33" t="n">
        <v>4202.88</v>
      </c>
    </row>
    <row r="3463" customFormat="false" ht="15" hidden="false" customHeight="false" outlineLevel="0" collapsed="false">
      <c r="A3463" s="3" t="s">
        <v>3853</v>
      </c>
      <c r="B3463" s="3" t="s">
        <v>283</v>
      </c>
      <c r="C3463" s="3" t="s">
        <v>401</v>
      </c>
      <c r="D3463" s="3" t="s">
        <v>381</v>
      </c>
      <c r="E3463" s="3" t="s">
        <v>398</v>
      </c>
      <c r="F3463" s="16" t="n">
        <v>12</v>
      </c>
      <c r="G3463" s="15" t="n">
        <v>0.3</v>
      </c>
      <c r="H3463" s="16" t="n">
        <v>5</v>
      </c>
      <c r="I3463" s="33" t="n">
        <v>3560.4</v>
      </c>
      <c r="J3463" s="33" t="n">
        <v>5086.2</v>
      </c>
    </row>
    <row r="3464" customFormat="false" ht="15" hidden="false" customHeight="false" outlineLevel="0" collapsed="false">
      <c r="A3464" s="3" t="s">
        <v>3854</v>
      </c>
      <c r="B3464" s="3" t="s">
        <v>283</v>
      </c>
      <c r="C3464" s="3" t="s">
        <v>403</v>
      </c>
      <c r="D3464" s="3" t="s">
        <v>418</v>
      </c>
      <c r="E3464" s="3" t="s">
        <v>398</v>
      </c>
      <c r="F3464" s="16" t="n">
        <v>1</v>
      </c>
      <c r="G3464" s="15" t="n">
        <v>0.025</v>
      </c>
      <c r="H3464" s="16" t="n">
        <v>1</v>
      </c>
      <c r="I3464" s="33" t="n">
        <v>3557.52</v>
      </c>
      <c r="J3464" s="33" t="n">
        <v>3648.72</v>
      </c>
    </row>
    <row r="3465" customFormat="false" ht="15" hidden="false" customHeight="false" outlineLevel="0" collapsed="false">
      <c r="A3465" s="3" t="s">
        <v>3855</v>
      </c>
      <c r="B3465" s="3" t="s">
        <v>283</v>
      </c>
      <c r="C3465" s="3" t="s">
        <v>401</v>
      </c>
      <c r="D3465" s="3" t="s">
        <v>388</v>
      </c>
      <c r="E3465" s="3" t="s">
        <v>398</v>
      </c>
      <c r="F3465" s="16" t="n">
        <v>1</v>
      </c>
      <c r="G3465" s="15" t="n">
        <v>0.4</v>
      </c>
      <c r="H3465" s="16" t="n">
        <v>1</v>
      </c>
      <c r="I3465" s="33" t="n">
        <v>3556.44</v>
      </c>
      <c r="J3465" s="33" t="n">
        <v>5927.4</v>
      </c>
    </row>
    <row r="3466" customFormat="false" ht="15" hidden="false" customHeight="false" outlineLevel="0" collapsed="false">
      <c r="A3466" s="3" t="s">
        <v>3856</v>
      </c>
      <c r="B3466" s="3" t="s">
        <v>283</v>
      </c>
      <c r="C3466" s="3" t="s">
        <v>384</v>
      </c>
      <c r="D3466" s="3" t="s">
        <v>392</v>
      </c>
      <c r="E3466" s="3" t="s">
        <v>385</v>
      </c>
      <c r="F3466" s="16" t="n">
        <v>12</v>
      </c>
      <c r="G3466" s="15" t="n">
        <v>0</v>
      </c>
      <c r="H3466" s="16" t="n">
        <v>5</v>
      </c>
      <c r="I3466" s="33" t="n">
        <v>3554.76</v>
      </c>
      <c r="J3466" s="33" t="n">
        <v>3554.76</v>
      </c>
    </row>
    <row r="3467" customFormat="false" ht="15" hidden="false" customHeight="false" outlineLevel="0" collapsed="false">
      <c r="A3467" s="3" t="s">
        <v>3857</v>
      </c>
      <c r="B3467" s="3" t="s">
        <v>283</v>
      </c>
      <c r="C3467" s="3" t="s">
        <v>401</v>
      </c>
      <c r="D3467" s="3" t="s">
        <v>392</v>
      </c>
      <c r="E3467" s="3" t="s">
        <v>398</v>
      </c>
      <c r="F3467" s="16" t="n">
        <v>1</v>
      </c>
      <c r="G3467" s="15" t="n">
        <v>0.3</v>
      </c>
      <c r="H3467" s="16" t="n">
        <v>1</v>
      </c>
      <c r="I3467" s="33" t="n">
        <v>3554.16</v>
      </c>
      <c r="J3467" s="33" t="n">
        <v>5077.32</v>
      </c>
    </row>
    <row r="3468" customFormat="false" ht="15" hidden="false" customHeight="false" outlineLevel="0" collapsed="false">
      <c r="A3468" s="3" t="s">
        <v>3858</v>
      </c>
      <c r="B3468" s="3" t="s">
        <v>283</v>
      </c>
      <c r="C3468" s="3" t="s">
        <v>403</v>
      </c>
      <c r="D3468" s="3" t="s">
        <v>392</v>
      </c>
      <c r="E3468" s="3" t="s">
        <v>398</v>
      </c>
      <c r="F3468" s="16" t="n">
        <v>1</v>
      </c>
      <c r="G3468" s="15" t="n">
        <v>0.15</v>
      </c>
      <c r="H3468" s="16" t="n">
        <v>1</v>
      </c>
      <c r="I3468" s="33" t="n">
        <v>3548.64</v>
      </c>
      <c r="J3468" s="33" t="n">
        <v>4174.92</v>
      </c>
    </row>
    <row r="3469" customFormat="false" ht="15" hidden="false" customHeight="false" outlineLevel="0" collapsed="false">
      <c r="A3469" s="3" t="s">
        <v>3859</v>
      </c>
      <c r="B3469" s="3" t="s">
        <v>283</v>
      </c>
      <c r="C3469" s="3" t="s">
        <v>403</v>
      </c>
      <c r="D3469" s="3" t="s">
        <v>418</v>
      </c>
      <c r="E3469" s="3" t="s">
        <v>398</v>
      </c>
      <c r="F3469" s="16" t="n">
        <v>1</v>
      </c>
      <c r="G3469" s="15" t="n">
        <v>0.15</v>
      </c>
      <c r="H3469" s="16" t="n">
        <v>1</v>
      </c>
      <c r="I3469" s="33" t="n">
        <v>3545.76</v>
      </c>
      <c r="J3469" s="33" t="n">
        <v>4171.56</v>
      </c>
    </row>
    <row r="3470" customFormat="false" ht="15" hidden="false" customHeight="false" outlineLevel="0" collapsed="false">
      <c r="A3470" s="3" t="s">
        <v>3860</v>
      </c>
      <c r="B3470" s="3" t="s">
        <v>283</v>
      </c>
      <c r="C3470" s="3" t="s">
        <v>401</v>
      </c>
      <c r="D3470" s="3" t="s">
        <v>692</v>
      </c>
      <c r="E3470" s="3" t="s">
        <v>382</v>
      </c>
      <c r="F3470" s="16" t="n">
        <v>12</v>
      </c>
      <c r="G3470" s="15" t="n">
        <v>0</v>
      </c>
      <c r="H3470" s="16" t="n">
        <v>3</v>
      </c>
      <c r="I3470" s="33" t="n">
        <v>3541.56</v>
      </c>
      <c r="J3470" s="33" t="n">
        <v>3541.56</v>
      </c>
    </row>
    <row r="3471" customFormat="false" ht="15" hidden="false" customHeight="false" outlineLevel="0" collapsed="false">
      <c r="A3471" s="3" t="s">
        <v>3861</v>
      </c>
      <c r="B3471" s="3" t="s">
        <v>283</v>
      </c>
      <c r="C3471" s="3" t="s">
        <v>380</v>
      </c>
      <c r="D3471" s="3" t="s">
        <v>692</v>
      </c>
      <c r="E3471" s="3" t="s">
        <v>398</v>
      </c>
      <c r="F3471" s="16" t="n">
        <v>1</v>
      </c>
      <c r="G3471" s="15" t="n">
        <v>0.1</v>
      </c>
      <c r="H3471" s="16" t="n">
        <v>1</v>
      </c>
      <c r="I3471" s="33" t="n">
        <v>3539.76</v>
      </c>
      <c r="J3471" s="33" t="n">
        <v>3933.12</v>
      </c>
    </row>
    <row r="3472" customFormat="false" ht="15" hidden="false" customHeight="false" outlineLevel="0" collapsed="false">
      <c r="A3472" s="3" t="s">
        <v>3862</v>
      </c>
      <c r="B3472" s="3" t="s">
        <v>283</v>
      </c>
      <c r="C3472" s="3" t="s">
        <v>405</v>
      </c>
      <c r="D3472" s="3" t="s">
        <v>418</v>
      </c>
      <c r="E3472" s="3" t="s">
        <v>382</v>
      </c>
      <c r="F3472" s="16" t="n">
        <v>12</v>
      </c>
      <c r="G3472" s="15" t="n">
        <v>0.25</v>
      </c>
      <c r="H3472" s="16" t="n">
        <v>9</v>
      </c>
      <c r="I3472" s="33" t="n">
        <v>3524.88</v>
      </c>
      <c r="J3472" s="33" t="n">
        <v>4699.8</v>
      </c>
    </row>
    <row r="3473" customFormat="false" ht="15" hidden="false" customHeight="false" outlineLevel="0" collapsed="false">
      <c r="A3473" s="3" t="s">
        <v>3863</v>
      </c>
      <c r="B3473" s="3" t="s">
        <v>283</v>
      </c>
      <c r="C3473" s="3" t="s">
        <v>387</v>
      </c>
      <c r="D3473" s="3" t="s">
        <v>381</v>
      </c>
      <c r="E3473" s="3" t="s">
        <v>382</v>
      </c>
      <c r="F3473" s="16" t="n">
        <v>12</v>
      </c>
      <c r="G3473" s="15" t="n">
        <v>0.2</v>
      </c>
      <c r="H3473" s="16" t="n">
        <v>4</v>
      </c>
      <c r="I3473" s="33" t="n">
        <v>3514.56</v>
      </c>
      <c r="J3473" s="33" t="n">
        <v>4393.2</v>
      </c>
    </row>
    <row r="3474" customFormat="false" ht="15" hidden="false" customHeight="false" outlineLevel="0" collapsed="false">
      <c r="A3474" s="3" t="s">
        <v>3864</v>
      </c>
      <c r="B3474" s="3" t="s">
        <v>283</v>
      </c>
      <c r="C3474" s="3" t="s">
        <v>396</v>
      </c>
      <c r="D3474" s="3" t="s">
        <v>392</v>
      </c>
      <c r="E3474" s="3" t="s">
        <v>398</v>
      </c>
      <c r="F3474" s="16" t="n">
        <v>1</v>
      </c>
      <c r="G3474" s="15" t="n">
        <v>0</v>
      </c>
      <c r="H3474" s="16" t="n">
        <v>1</v>
      </c>
      <c r="I3474" s="33" t="n">
        <v>3507.72</v>
      </c>
      <c r="J3474" s="33" t="n">
        <v>3507.72</v>
      </c>
    </row>
    <row r="3475" customFormat="false" ht="15" hidden="false" customHeight="false" outlineLevel="0" collapsed="false">
      <c r="A3475" s="3" t="s">
        <v>3865</v>
      </c>
      <c r="B3475" s="3" t="s">
        <v>283</v>
      </c>
      <c r="C3475" s="3" t="s">
        <v>405</v>
      </c>
      <c r="D3475" s="3" t="s">
        <v>418</v>
      </c>
      <c r="E3475" s="3" t="s">
        <v>398</v>
      </c>
      <c r="F3475" s="16" t="n">
        <v>1</v>
      </c>
      <c r="G3475" s="15" t="n">
        <v>0.1</v>
      </c>
      <c r="H3475" s="16" t="n">
        <v>1</v>
      </c>
      <c r="I3475" s="33" t="n">
        <v>3461.76</v>
      </c>
      <c r="J3475" s="33" t="n">
        <v>3846.36</v>
      </c>
    </row>
    <row r="3476" customFormat="false" ht="15" hidden="false" customHeight="false" outlineLevel="0" collapsed="false">
      <c r="A3476" s="3" t="s">
        <v>3866</v>
      </c>
      <c r="B3476" s="3" t="s">
        <v>283</v>
      </c>
      <c r="C3476" s="3" t="s">
        <v>384</v>
      </c>
      <c r="D3476" s="3" t="s">
        <v>418</v>
      </c>
      <c r="E3476" s="3" t="s">
        <v>398</v>
      </c>
      <c r="F3476" s="16" t="n">
        <v>12</v>
      </c>
      <c r="G3476" s="15" t="n">
        <v>0.4</v>
      </c>
      <c r="H3476" s="16" t="n">
        <v>1</v>
      </c>
      <c r="I3476" s="33" t="n">
        <v>3451.08</v>
      </c>
      <c r="J3476" s="33" t="n">
        <v>5751.72</v>
      </c>
    </row>
    <row r="3477" customFormat="false" ht="15" hidden="false" customHeight="false" outlineLevel="0" collapsed="false">
      <c r="A3477" s="3" t="s">
        <v>3867</v>
      </c>
      <c r="B3477" s="3" t="s">
        <v>283</v>
      </c>
      <c r="C3477" s="3" t="s">
        <v>403</v>
      </c>
      <c r="D3477" s="3" t="s">
        <v>392</v>
      </c>
      <c r="E3477" s="3" t="s">
        <v>382</v>
      </c>
      <c r="F3477" s="16" t="n">
        <v>1</v>
      </c>
      <c r="G3477" s="15" t="n">
        <v>0</v>
      </c>
      <c r="H3477" s="16" t="n">
        <v>1</v>
      </c>
      <c r="I3477" s="33" t="n">
        <v>3437.16</v>
      </c>
      <c r="J3477" s="33" t="n">
        <v>3437.16</v>
      </c>
    </row>
    <row r="3478" customFormat="false" ht="15" hidden="false" customHeight="false" outlineLevel="0" collapsed="false">
      <c r="A3478" s="3" t="s">
        <v>3868</v>
      </c>
      <c r="B3478" s="3" t="s">
        <v>283</v>
      </c>
      <c r="C3478" s="3" t="s">
        <v>403</v>
      </c>
      <c r="D3478" s="3" t="s">
        <v>692</v>
      </c>
      <c r="E3478" s="3" t="s">
        <v>385</v>
      </c>
      <c r="F3478" s="16" t="n">
        <v>12</v>
      </c>
      <c r="G3478" s="15" t="n">
        <v>0</v>
      </c>
      <c r="H3478" s="16" t="n">
        <v>7</v>
      </c>
      <c r="I3478" s="33" t="n">
        <v>3434.52</v>
      </c>
      <c r="J3478" s="33" t="n">
        <v>3434.52</v>
      </c>
    </row>
    <row r="3479" customFormat="false" ht="15" hidden="false" customHeight="false" outlineLevel="0" collapsed="false">
      <c r="A3479" s="3" t="s">
        <v>3869</v>
      </c>
      <c r="B3479" s="3" t="s">
        <v>283</v>
      </c>
      <c r="C3479" s="3" t="s">
        <v>403</v>
      </c>
      <c r="D3479" s="3" t="s">
        <v>418</v>
      </c>
      <c r="E3479" s="3" t="s">
        <v>385</v>
      </c>
      <c r="F3479" s="16" t="n">
        <v>1</v>
      </c>
      <c r="G3479" s="15" t="n">
        <v>0.1</v>
      </c>
      <c r="H3479" s="16" t="n">
        <v>1</v>
      </c>
      <c r="I3479" s="33" t="n">
        <v>3429.6</v>
      </c>
      <c r="J3479" s="33" t="n">
        <v>3810.72</v>
      </c>
    </row>
    <row r="3480" customFormat="false" ht="15" hidden="false" customHeight="false" outlineLevel="0" collapsed="false">
      <c r="A3480" s="3" t="s">
        <v>3870</v>
      </c>
      <c r="B3480" s="3" t="s">
        <v>283</v>
      </c>
      <c r="C3480" s="3" t="s">
        <v>396</v>
      </c>
      <c r="D3480" s="3" t="s">
        <v>692</v>
      </c>
      <c r="E3480" s="3" t="s">
        <v>398</v>
      </c>
      <c r="F3480" s="16" t="n">
        <v>12</v>
      </c>
      <c r="G3480" s="15" t="n">
        <v>0</v>
      </c>
      <c r="H3480" s="16" t="n">
        <v>9</v>
      </c>
      <c r="I3480" s="33" t="n">
        <v>3428.64</v>
      </c>
      <c r="J3480" s="33" t="n">
        <v>3428.64</v>
      </c>
    </row>
    <row r="3481" customFormat="false" ht="15" hidden="false" customHeight="false" outlineLevel="0" collapsed="false">
      <c r="A3481" s="3" t="s">
        <v>3871</v>
      </c>
      <c r="B3481" s="3" t="s">
        <v>283</v>
      </c>
      <c r="C3481" s="3" t="s">
        <v>384</v>
      </c>
      <c r="D3481" s="3" t="s">
        <v>418</v>
      </c>
      <c r="E3481" s="3" t="s">
        <v>382</v>
      </c>
      <c r="F3481" s="16" t="n">
        <v>1</v>
      </c>
      <c r="G3481" s="15" t="n">
        <v>0</v>
      </c>
      <c r="H3481" s="16" t="n">
        <v>1</v>
      </c>
      <c r="I3481" s="33" t="n">
        <v>3426.24</v>
      </c>
      <c r="J3481" s="33" t="n">
        <v>3426.24</v>
      </c>
    </row>
    <row r="3482" customFormat="false" ht="15" hidden="false" customHeight="false" outlineLevel="0" collapsed="false">
      <c r="A3482" s="3" t="s">
        <v>3872</v>
      </c>
      <c r="B3482" s="3" t="s">
        <v>283</v>
      </c>
      <c r="C3482" s="3" t="s">
        <v>401</v>
      </c>
      <c r="D3482" s="3" t="s">
        <v>418</v>
      </c>
      <c r="E3482" s="3" t="s">
        <v>398</v>
      </c>
      <c r="F3482" s="16" t="n">
        <v>1</v>
      </c>
      <c r="G3482" s="15" t="n">
        <v>0.4</v>
      </c>
      <c r="H3482" s="16" t="n">
        <v>1</v>
      </c>
      <c r="I3482" s="33" t="n">
        <v>3424.8</v>
      </c>
      <c r="J3482" s="33" t="n">
        <v>5708.04</v>
      </c>
    </row>
    <row r="3483" customFormat="false" ht="15" hidden="false" customHeight="false" outlineLevel="0" collapsed="false">
      <c r="A3483" s="3" t="s">
        <v>3873</v>
      </c>
      <c r="B3483" s="3" t="s">
        <v>283</v>
      </c>
      <c r="C3483" s="3" t="s">
        <v>405</v>
      </c>
      <c r="D3483" s="3" t="s">
        <v>388</v>
      </c>
      <c r="E3483" s="3" t="s">
        <v>385</v>
      </c>
      <c r="F3483" s="16" t="n">
        <v>1</v>
      </c>
      <c r="G3483" s="15" t="n">
        <v>0.15</v>
      </c>
      <c r="H3483" s="16" t="n">
        <v>1</v>
      </c>
      <c r="I3483" s="33" t="n">
        <v>3391.32</v>
      </c>
      <c r="J3483" s="33" t="n">
        <v>3989.76</v>
      </c>
    </row>
    <row r="3484" customFormat="false" ht="15" hidden="false" customHeight="false" outlineLevel="0" collapsed="false">
      <c r="A3484" s="3" t="s">
        <v>3874</v>
      </c>
      <c r="B3484" s="3" t="s">
        <v>283</v>
      </c>
      <c r="C3484" s="3" t="s">
        <v>384</v>
      </c>
      <c r="D3484" s="3" t="s">
        <v>392</v>
      </c>
      <c r="E3484" s="3" t="s">
        <v>398</v>
      </c>
      <c r="F3484" s="16" t="n">
        <v>12</v>
      </c>
      <c r="G3484" s="15" t="n">
        <v>0</v>
      </c>
      <c r="H3484" s="16" t="n">
        <v>7</v>
      </c>
      <c r="I3484" s="33" t="n">
        <v>3387.84</v>
      </c>
      <c r="J3484" s="33" t="n">
        <v>3387.84</v>
      </c>
    </row>
    <row r="3485" customFormat="false" ht="15" hidden="false" customHeight="false" outlineLevel="0" collapsed="false">
      <c r="A3485" s="3" t="s">
        <v>3875</v>
      </c>
      <c r="B3485" s="3" t="s">
        <v>283</v>
      </c>
      <c r="C3485" s="3" t="s">
        <v>396</v>
      </c>
      <c r="D3485" s="3" t="s">
        <v>692</v>
      </c>
      <c r="E3485" s="3" t="s">
        <v>382</v>
      </c>
      <c r="F3485" s="16" t="n">
        <v>1</v>
      </c>
      <c r="G3485" s="15" t="n">
        <v>0</v>
      </c>
      <c r="H3485" s="16" t="n">
        <v>1</v>
      </c>
      <c r="I3485" s="33" t="n">
        <v>3354.84</v>
      </c>
      <c r="J3485" s="33" t="n">
        <v>3354.84</v>
      </c>
    </row>
    <row r="3486" customFormat="false" ht="15" hidden="false" customHeight="false" outlineLevel="0" collapsed="false">
      <c r="A3486" s="3" t="s">
        <v>3876</v>
      </c>
      <c r="B3486" s="3" t="s">
        <v>283</v>
      </c>
      <c r="C3486" s="3" t="s">
        <v>403</v>
      </c>
      <c r="D3486" s="3" t="s">
        <v>418</v>
      </c>
      <c r="E3486" s="3" t="s">
        <v>398</v>
      </c>
      <c r="F3486" s="16" t="n">
        <v>12</v>
      </c>
      <c r="G3486" s="15" t="n">
        <v>0.1</v>
      </c>
      <c r="H3486" s="16" t="n">
        <v>7</v>
      </c>
      <c r="I3486" s="33" t="n">
        <v>3335.64</v>
      </c>
      <c r="J3486" s="33" t="n">
        <v>3706.32</v>
      </c>
    </row>
    <row r="3487" customFormat="false" ht="15" hidden="false" customHeight="false" outlineLevel="0" collapsed="false">
      <c r="A3487" s="3" t="s">
        <v>3877</v>
      </c>
      <c r="B3487" s="3" t="s">
        <v>283</v>
      </c>
      <c r="C3487" s="3" t="s">
        <v>403</v>
      </c>
      <c r="D3487" s="3" t="s">
        <v>418</v>
      </c>
      <c r="E3487" s="3" t="s">
        <v>398</v>
      </c>
      <c r="F3487" s="16" t="n">
        <v>1</v>
      </c>
      <c r="G3487" s="15" t="n">
        <v>0.2</v>
      </c>
      <c r="H3487" s="16" t="n">
        <v>1</v>
      </c>
      <c r="I3487" s="33" t="n">
        <v>3325.2</v>
      </c>
      <c r="J3487" s="33" t="n">
        <v>4156.44</v>
      </c>
    </row>
    <row r="3488" customFormat="false" ht="15" hidden="false" customHeight="false" outlineLevel="0" collapsed="false">
      <c r="A3488" s="3" t="s">
        <v>3878</v>
      </c>
      <c r="B3488" s="3" t="s">
        <v>283</v>
      </c>
      <c r="C3488" s="3" t="s">
        <v>384</v>
      </c>
      <c r="D3488" s="3" t="s">
        <v>381</v>
      </c>
      <c r="E3488" s="3" t="s">
        <v>398</v>
      </c>
      <c r="F3488" s="16" t="n">
        <v>12</v>
      </c>
      <c r="G3488" s="15" t="n">
        <v>0.1</v>
      </c>
      <c r="H3488" s="16" t="n">
        <v>11</v>
      </c>
      <c r="I3488" s="33" t="n">
        <v>3288</v>
      </c>
      <c r="J3488" s="33" t="n">
        <v>3653.4</v>
      </c>
    </row>
    <row r="3489" customFormat="false" ht="15" hidden="false" customHeight="false" outlineLevel="0" collapsed="false">
      <c r="A3489" s="3" t="s">
        <v>3879</v>
      </c>
      <c r="B3489" s="3" t="s">
        <v>283</v>
      </c>
      <c r="C3489" s="3" t="s">
        <v>405</v>
      </c>
      <c r="D3489" s="3" t="s">
        <v>692</v>
      </c>
      <c r="E3489" s="3" t="s">
        <v>382</v>
      </c>
      <c r="F3489" s="16" t="n">
        <v>12</v>
      </c>
      <c r="G3489" s="15" t="n">
        <v>0</v>
      </c>
      <c r="H3489" s="16" t="n">
        <v>12</v>
      </c>
      <c r="I3489" s="33" t="n">
        <v>3284.64</v>
      </c>
      <c r="J3489" s="33" t="n">
        <v>3284.64</v>
      </c>
    </row>
    <row r="3490" customFormat="false" ht="15" hidden="false" customHeight="false" outlineLevel="0" collapsed="false">
      <c r="A3490" s="3" t="s">
        <v>3880</v>
      </c>
      <c r="B3490" s="3" t="s">
        <v>283</v>
      </c>
      <c r="C3490" s="3" t="s">
        <v>405</v>
      </c>
      <c r="D3490" s="3" t="s">
        <v>388</v>
      </c>
      <c r="E3490" s="3" t="s">
        <v>382</v>
      </c>
      <c r="F3490" s="16" t="n">
        <v>1</v>
      </c>
      <c r="G3490" s="15" t="n">
        <v>0</v>
      </c>
      <c r="H3490" s="16" t="n">
        <v>1</v>
      </c>
      <c r="I3490" s="33" t="n">
        <v>3266.88</v>
      </c>
      <c r="J3490" s="33" t="n">
        <v>3266.88</v>
      </c>
    </row>
    <row r="3491" customFormat="false" ht="15" hidden="false" customHeight="false" outlineLevel="0" collapsed="false">
      <c r="A3491" s="3" t="s">
        <v>3881</v>
      </c>
      <c r="B3491" s="3" t="s">
        <v>283</v>
      </c>
      <c r="C3491" s="3" t="s">
        <v>396</v>
      </c>
      <c r="D3491" s="3" t="s">
        <v>392</v>
      </c>
      <c r="E3491" s="3" t="s">
        <v>382</v>
      </c>
      <c r="F3491" s="16" t="n">
        <v>1</v>
      </c>
      <c r="G3491" s="15" t="n">
        <v>0</v>
      </c>
      <c r="H3491" s="16" t="n">
        <v>1</v>
      </c>
      <c r="I3491" s="33" t="n">
        <v>3216.12</v>
      </c>
      <c r="J3491" s="33" t="n">
        <v>3216.12</v>
      </c>
    </row>
    <row r="3492" customFormat="false" ht="15" hidden="false" customHeight="false" outlineLevel="0" collapsed="false">
      <c r="A3492" s="3" t="s">
        <v>3882</v>
      </c>
      <c r="B3492" s="3" t="s">
        <v>283</v>
      </c>
      <c r="C3492" s="3" t="s">
        <v>401</v>
      </c>
      <c r="D3492" s="3" t="s">
        <v>418</v>
      </c>
      <c r="E3492" s="3" t="s">
        <v>398</v>
      </c>
      <c r="F3492" s="16" t="n">
        <v>1</v>
      </c>
      <c r="G3492" s="15" t="n">
        <v>0.3</v>
      </c>
      <c r="H3492" s="16" t="n">
        <v>1</v>
      </c>
      <c r="I3492" s="33" t="n">
        <v>3177.36</v>
      </c>
      <c r="J3492" s="33" t="n">
        <v>4539.12</v>
      </c>
    </row>
    <row r="3493" customFormat="false" ht="15" hidden="false" customHeight="false" outlineLevel="0" collapsed="false">
      <c r="A3493" s="3" t="s">
        <v>3883</v>
      </c>
      <c r="B3493" s="3" t="s">
        <v>283</v>
      </c>
      <c r="C3493" s="3" t="s">
        <v>405</v>
      </c>
      <c r="D3493" s="3" t="s">
        <v>381</v>
      </c>
      <c r="E3493" s="3" t="s">
        <v>398</v>
      </c>
      <c r="F3493" s="16" t="n">
        <v>12</v>
      </c>
      <c r="G3493" s="15" t="n">
        <v>0</v>
      </c>
      <c r="H3493" s="16" t="n">
        <v>12</v>
      </c>
      <c r="I3493" s="33" t="n">
        <v>3159.72</v>
      </c>
      <c r="J3493" s="33" t="n">
        <v>3159.72</v>
      </c>
    </row>
    <row r="3494" customFormat="false" ht="15" hidden="false" customHeight="false" outlineLevel="0" collapsed="false">
      <c r="A3494" s="3" t="s">
        <v>3884</v>
      </c>
      <c r="B3494" s="3" t="s">
        <v>283</v>
      </c>
      <c r="C3494" s="3" t="s">
        <v>401</v>
      </c>
      <c r="D3494" s="3" t="s">
        <v>418</v>
      </c>
      <c r="E3494" s="3" t="s">
        <v>385</v>
      </c>
      <c r="F3494" s="16" t="n">
        <v>12</v>
      </c>
      <c r="G3494" s="15" t="n">
        <v>0.15</v>
      </c>
      <c r="H3494" s="16" t="n">
        <v>3</v>
      </c>
      <c r="I3494" s="33" t="n">
        <v>3157.44</v>
      </c>
      <c r="J3494" s="33" t="n">
        <v>3714.72</v>
      </c>
    </row>
    <row r="3495" customFormat="false" ht="15" hidden="false" customHeight="false" outlineLevel="0" collapsed="false">
      <c r="A3495" s="3" t="s">
        <v>3885</v>
      </c>
      <c r="B3495" s="3" t="s">
        <v>283</v>
      </c>
      <c r="C3495" s="3" t="s">
        <v>401</v>
      </c>
      <c r="D3495" s="3" t="s">
        <v>381</v>
      </c>
      <c r="E3495" s="3" t="s">
        <v>398</v>
      </c>
      <c r="F3495" s="16" t="n">
        <v>12</v>
      </c>
      <c r="G3495" s="15" t="n">
        <v>0.25</v>
      </c>
      <c r="H3495" s="16" t="n">
        <v>7</v>
      </c>
      <c r="I3495" s="33" t="n">
        <v>3110.4</v>
      </c>
      <c r="J3495" s="33" t="n">
        <v>4147.2</v>
      </c>
    </row>
    <row r="3496" customFormat="false" ht="15" hidden="false" customHeight="false" outlineLevel="0" collapsed="false">
      <c r="A3496" s="3" t="s">
        <v>3886</v>
      </c>
      <c r="B3496" s="3" t="s">
        <v>283</v>
      </c>
      <c r="C3496" s="3" t="s">
        <v>401</v>
      </c>
      <c r="D3496" s="3" t="s">
        <v>692</v>
      </c>
      <c r="E3496" s="3" t="s">
        <v>398</v>
      </c>
      <c r="F3496" s="16" t="n">
        <v>12</v>
      </c>
      <c r="G3496" s="15" t="n">
        <v>0.1</v>
      </c>
      <c r="H3496" s="16" t="n">
        <v>2</v>
      </c>
      <c r="I3496" s="33" t="n">
        <v>3098.16</v>
      </c>
      <c r="J3496" s="33" t="n">
        <v>3442.44</v>
      </c>
    </row>
    <row r="3497" customFormat="false" ht="15" hidden="false" customHeight="false" outlineLevel="0" collapsed="false">
      <c r="A3497" s="3" t="s">
        <v>3887</v>
      </c>
      <c r="B3497" s="3" t="s">
        <v>283</v>
      </c>
      <c r="C3497" s="3" t="s">
        <v>387</v>
      </c>
      <c r="D3497" s="3" t="s">
        <v>418</v>
      </c>
      <c r="E3497" s="3" t="s">
        <v>398</v>
      </c>
      <c r="F3497" s="16" t="n">
        <v>12</v>
      </c>
      <c r="G3497" s="15" t="n">
        <v>0.2</v>
      </c>
      <c r="H3497" s="16" t="n">
        <v>7</v>
      </c>
      <c r="I3497" s="33" t="n">
        <v>3085.32</v>
      </c>
      <c r="J3497" s="33" t="n">
        <v>3856.68</v>
      </c>
    </row>
    <row r="3498" customFormat="false" ht="15" hidden="false" customHeight="false" outlineLevel="0" collapsed="false">
      <c r="A3498" s="3" t="s">
        <v>3888</v>
      </c>
      <c r="B3498" s="3" t="s">
        <v>283</v>
      </c>
      <c r="C3498" s="3" t="s">
        <v>401</v>
      </c>
      <c r="D3498" s="3" t="s">
        <v>388</v>
      </c>
      <c r="E3498" s="3" t="s">
        <v>382</v>
      </c>
      <c r="F3498" s="16" t="n">
        <v>1</v>
      </c>
      <c r="G3498" s="15" t="n">
        <v>0.15</v>
      </c>
      <c r="H3498" s="16" t="n">
        <v>1</v>
      </c>
      <c r="I3498" s="33" t="n">
        <v>3058.92</v>
      </c>
      <c r="J3498" s="33" t="n">
        <v>3598.68</v>
      </c>
    </row>
    <row r="3499" customFormat="false" ht="15" hidden="false" customHeight="false" outlineLevel="0" collapsed="false">
      <c r="A3499" s="3" t="s">
        <v>3889</v>
      </c>
      <c r="B3499" s="3" t="s">
        <v>283</v>
      </c>
      <c r="C3499" s="3" t="s">
        <v>403</v>
      </c>
      <c r="D3499" s="3" t="s">
        <v>392</v>
      </c>
      <c r="E3499" s="3" t="s">
        <v>398</v>
      </c>
      <c r="F3499" s="16" t="n">
        <v>12</v>
      </c>
      <c r="G3499" s="15" t="n">
        <v>0</v>
      </c>
      <c r="H3499" s="16" t="n">
        <v>6</v>
      </c>
      <c r="I3499" s="33" t="n">
        <v>3048.36</v>
      </c>
      <c r="J3499" s="33" t="n">
        <v>3048.36</v>
      </c>
    </row>
    <row r="3500" customFormat="false" ht="15" hidden="false" customHeight="false" outlineLevel="0" collapsed="false">
      <c r="A3500" s="3" t="s">
        <v>3890</v>
      </c>
      <c r="B3500" s="3" t="s">
        <v>283</v>
      </c>
      <c r="C3500" s="3" t="s">
        <v>403</v>
      </c>
      <c r="D3500" s="3" t="s">
        <v>418</v>
      </c>
      <c r="E3500" s="3" t="s">
        <v>385</v>
      </c>
      <c r="F3500" s="16" t="n">
        <v>1</v>
      </c>
      <c r="G3500" s="15" t="n">
        <v>0.15</v>
      </c>
      <c r="H3500" s="16" t="n">
        <v>1</v>
      </c>
      <c r="I3500" s="33" t="n">
        <v>3026.64</v>
      </c>
      <c r="J3500" s="33" t="n">
        <v>3560.64</v>
      </c>
    </row>
    <row r="3501" customFormat="false" ht="15" hidden="false" customHeight="false" outlineLevel="0" collapsed="false">
      <c r="A3501" s="3" t="s">
        <v>3891</v>
      </c>
      <c r="B3501" s="3" t="s">
        <v>283</v>
      </c>
      <c r="C3501" s="3" t="s">
        <v>384</v>
      </c>
      <c r="D3501" s="3" t="s">
        <v>418</v>
      </c>
      <c r="E3501" s="3" t="s">
        <v>385</v>
      </c>
      <c r="F3501" s="16" t="n">
        <v>1</v>
      </c>
      <c r="G3501" s="15" t="n">
        <v>0.1</v>
      </c>
      <c r="H3501" s="16" t="n">
        <v>1</v>
      </c>
      <c r="I3501" s="33" t="n">
        <v>3002.52</v>
      </c>
      <c r="J3501" s="33" t="n">
        <v>3336.12</v>
      </c>
    </row>
    <row r="3502" customFormat="false" ht="15" hidden="false" customHeight="false" outlineLevel="0" collapsed="false">
      <c r="A3502" s="3" t="s">
        <v>3892</v>
      </c>
      <c r="B3502" s="3" t="s">
        <v>283</v>
      </c>
      <c r="C3502" s="3" t="s">
        <v>405</v>
      </c>
      <c r="D3502" s="3" t="s">
        <v>692</v>
      </c>
      <c r="E3502" s="3" t="s">
        <v>382</v>
      </c>
      <c r="F3502" s="16" t="n">
        <v>1</v>
      </c>
      <c r="G3502" s="15" t="n">
        <v>0.35</v>
      </c>
      <c r="H3502" s="16" t="n">
        <v>1</v>
      </c>
      <c r="I3502" s="33" t="n">
        <v>2957.76</v>
      </c>
      <c r="J3502" s="33" t="n">
        <v>4550.4</v>
      </c>
    </row>
    <row r="3503" customFormat="false" ht="15" hidden="false" customHeight="false" outlineLevel="0" collapsed="false">
      <c r="A3503" s="3" t="s">
        <v>3893</v>
      </c>
      <c r="B3503" s="3" t="s">
        <v>283</v>
      </c>
      <c r="C3503" s="3" t="s">
        <v>380</v>
      </c>
      <c r="D3503" s="3" t="s">
        <v>418</v>
      </c>
      <c r="E3503" s="3" t="s">
        <v>398</v>
      </c>
      <c r="F3503" s="16" t="n">
        <v>12</v>
      </c>
      <c r="G3503" s="15" t="n">
        <v>0.3</v>
      </c>
      <c r="H3503" s="16" t="n">
        <v>3</v>
      </c>
      <c r="I3503" s="33" t="n">
        <v>2867.64</v>
      </c>
      <c r="J3503" s="33" t="n">
        <v>4096.56</v>
      </c>
    </row>
    <row r="3504" customFormat="false" ht="15" hidden="false" customHeight="false" outlineLevel="0" collapsed="false">
      <c r="A3504" s="3" t="s">
        <v>3894</v>
      </c>
      <c r="B3504" s="3" t="s">
        <v>283</v>
      </c>
      <c r="C3504" s="3" t="s">
        <v>401</v>
      </c>
      <c r="D3504" s="3" t="s">
        <v>388</v>
      </c>
      <c r="E3504" s="3" t="s">
        <v>385</v>
      </c>
      <c r="F3504" s="16" t="n">
        <v>12</v>
      </c>
      <c r="G3504" s="15" t="n">
        <v>0.25</v>
      </c>
      <c r="H3504" s="16" t="n">
        <v>5</v>
      </c>
      <c r="I3504" s="33" t="n">
        <v>2773.08</v>
      </c>
      <c r="J3504" s="33" t="n">
        <v>3697.32</v>
      </c>
    </row>
    <row r="3505" customFormat="false" ht="15" hidden="false" customHeight="false" outlineLevel="0" collapsed="false">
      <c r="A3505" s="3" t="s">
        <v>3895</v>
      </c>
      <c r="B3505" s="3" t="s">
        <v>283</v>
      </c>
      <c r="C3505" s="3" t="s">
        <v>401</v>
      </c>
      <c r="D3505" s="3" t="s">
        <v>418</v>
      </c>
      <c r="E3505" s="3" t="s">
        <v>382</v>
      </c>
      <c r="F3505" s="16" t="n">
        <v>1</v>
      </c>
      <c r="G3505" s="15" t="n">
        <v>0.25</v>
      </c>
      <c r="H3505" s="16" t="n">
        <v>1</v>
      </c>
      <c r="I3505" s="33" t="n">
        <v>2674.8</v>
      </c>
      <c r="J3505" s="33" t="n">
        <v>3566.4</v>
      </c>
    </row>
    <row r="3506" customFormat="false" ht="15" hidden="false" customHeight="false" outlineLevel="0" collapsed="false">
      <c r="A3506" s="3" t="s">
        <v>3896</v>
      </c>
      <c r="B3506" s="3" t="s">
        <v>283</v>
      </c>
      <c r="C3506" s="3" t="s">
        <v>380</v>
      </c>
      <c r="D3506" s="3" t="s">
        <v>418</v>
      </c>
      <c r="E3506" s="3" t="s">
        <v>382</v>
      </c>
      <c r="F3506" s="16" t="n">
        <v>1</v>
      </c>
      <c r="G3506" s="15" t="n">
        <v>0</v>
      </c>
      <c r="H3506" s="16" t="n">
        <v>1</v>
      </c>
      <c r="I3506" s="33" t="n">
        <v>2562.36</v>
      </c>
      <c r="J3506" s="33" t="n">
        <v>2562.36</v>
      </c>
    </row>
    <row r="3507" customFormat="false" ht="15" hidden="false" customHeight="false" outlineLevel="0" collapsed="false">
      <c r="A3507" s="3" t="s">
        <v>3897</v>
      </c>
      <c r="B3507" s="3" t="s">
        <v>283</v>
      </c>
      <c r="C3507" s="3" t="s">
        <v>401</v>
      </c>
      <c r="D3507" s="3" t="s">
        <v>418</v>
      </c>
      <c r="E3507" s="3" t="s">
        <v>382</v>
      </c>
      <c r="F3507" s="16" t="n">
        <v>12</v>
      </c>
      <c r="G3507" s="15" t="n">
        <v>0.15</v>
      </c>
      <c r="H3507" s="16" t="n">
        <v>12</v>
      </c>
      <c r="I3507" s="33" t="n">
        <v>2137.44</v>
      </c>
      <c r="J3507" s="33" t="n">
        <v>2514.72</v>
      </c>
    </row>
    <row r="3508" customFormat="false" ht="15" hidden="false" customHeight="false" outlineLevel="0" collapsed="false">
      <c r="A3508" s="3" t="s">
        <v>3898</v>
      </c>
      <c r="B3508" s="3" t="s">
        <v>283</v>
      </c>
      <c r="C3508" s="3" t="s">
        <v>401</v>
      </c>
      <c r="D3508" s="3" t="s">
        <v>692</v>
      </c>
      <c r="E3508" s="3" t="s">
        <v>382</v>
      </c>
      <c r="F3508" s="16" t="n">
        <v>1</v>
      </c>
      <c r="G3508" s="15" t="n">
        <v>0.35</v>
      </c>
      <c r="H3508" s="16" t="n">
        <v>1</v>
      </c>
      <c r="I3508" s="33" t="n">
        <v>2117.04</v>
      </c>
      <c r="J3508" s="33" t="n">
        <v>3257.04</v>
      </c>
    </row>
    <row r="3509" customFormat="false" ht="15" hidden="false" customHeight="false" outlineLevel="0" collapsed="false">
      <c r="A3509" s="3" t="s">
        <v>3899</v>
      </c>
      <c r="B3509" s="3" t="s">
        <v>283</v>
      </c>
      <c r="C3509" s="3" t="s">
        <v>401</v>
      </c>
      <c r="D3509" s="3" t="s">
        <v>692</v>
      </c>
      <c r="E3509" s="3" t="s">
        <v>398</v>
      </c>
      <c r="F3509" s="16" t="n">
        <v>1</v>
      </c>
      <c r="G3509" s="15" t="n">
        <v>0.35</v>
      </c>
      <c r="H3509" s="16" t="n">
        <v>1</v>
      </c>
      <c r="I3509" s="33" t="n">
        <v>2066.4</v>
      </c>
      <c r="J3509" s="33" t="n">
        <v>3179.04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6" min="3" style="0" width="12"/>
    <col collapsed="false" customWidth="true" hidden="false" outlineLevel="0" max="7" min="7" style="0" width="14"/>
    <col collapsed="false" customWidth="true" hidden="false" outlineLevel="0" max="8" min="8" style="0" width="12"/>
    <col collapsed="false" customWidth="true" hidden="false" outlineLevel="0" max="10" min="9" style="0" width="11"/>
  </cols>
  <sheetData>
    <row r="1" customFormat="false" ht="16.15" hidden="false" customHeight="false" outlineLevel="0" collapsed="false">
      <c r="A1" s="1" t="s">
        <v>3900</v>
      </c>
    </row>
    <row r="2" customFormat="false" ht="15" hidden="false" customHeight="false" outlineLevel="0" collapsed="false">
      <c r="A2" s="2" t="s">
        <v>3901</v>
      </c>
    </row>
    <row r="4" customFormat="false" ht="23.85" hidden="false" customHeight="false" outlineLevel="0" collapsed="false">
      <c r="A4" s="6" t="s">
        <v>138</v>
      </c>
      <c r="B4" s="7" t="s">
        <v>3902</v>
      </c>
      <c r="C4" s="7" t="s">
        <v>3903</v>
      </c>
      <c r="D4" s="7" t="s">
        <v>3904</v>
      </c>
      <c r="E4" s="7" t="s">
        <v>3905</v>
      </c>
      <c r="F4" s="7" t="s">
        <v>3906</v>
      </c>
      <c r="G4" s="7" t="s">
        <v>3907</v>
      </c>
      <c r="H4" s="7" t="s">
        <v>3908</v>
      </c>
      <c r="I4" s="7" t="s">
        <v>3909</v>
      </c>
      <c r="J4" s="7" t="s">
        <v>3910</v>
      </c>
    </row>
    <row r="5" customFormat="false" ht="15" hidden="false" customHeight="false" outlineLevel="0" collapsed="false">
      <c r="A5" s="3" t="s">
        <v>3911</v>
      </c>
      <c r="B5" s="33" t="n">
        <v>4816390.91</v>
      </c>
      <c r="C5" s="33" t="n">
        <v>88214.88</v>
      </c>
      <c r="D5" s="33" t="n">
        <v>69932.2</v>
      </c>
      <c r="E5" s="33" t="n">
        <v>-27543.73</v>
      </c>
      <c r="F5" s="33" t="n">
        <v>-21249.74</v>
      </c>
      <c r="G5" s="33" t="n">
        <v>4925744.52</v>
      </c>
      <c r="H5" s="24" t="n">
        <f aca="false">SUM(B5:F5)-G5</f>
        <v>0</v>
      </c>
      <c r="I5" s="22" t="n">
        <f aca="false">IF(B5=0,0,1+(E5+F5)/B5)</f>
        <v>0.989869287831539</v>
      </c>
      <c r="J5" s="22" t="n">
        <f aca="false">IF(B5=0,0,1+(D5+E5+F5)/B5)</f>
        <v>1.00438891493548</v>
      </c>
    </row>
    <row r="6" customFormat="false" ht="15" hidden="false" customHeight="false" outlineLevel="0" collapsed="false">
      <c r="A6" s="3" t="s">
        <v>292</v>
      </c>
      <c r="B6" s="33" t="n">
        <v>4925744.52</v>
      </c>
      <c r="C6" s="33" t="n">
        <v>92912.15</v>
      </c>
      <c r="D6" s="33" t="n">
        <v>77646.32</v>
      </c>
      <c r="E6" s="33" t="n">
        <v>-34192.57</v>
      </c>
      <c r="F6" s="33" t="n">
        <v>-31802.93</v>
      </c>
      <c r="G6" s="33" t="n">
        <v>5030307.49</v>
      </c>
      <c r="H6" s="24" t="n">
        <f aca="false">SUM(B6:F6)-G6</f>
        <v>0</v>
      </c>
      <c r="I6" s="22" t="n">
        <f aca="false">IF(B6=0,0,1+(E6+F6)/B6)</f>
        <v>0.986601923885407</v>
      </c>
      <c r="J6" s="22" t="n">
        <f aca="false">IF(B6=0,0,1+(D6+E6+F6)/B6)</f>
        <v>1.00236529116618</v>
      </c>
    </row>
    <row r="7" customFormat="false" ht="15" hidden="false" customHeight="false" outlineLevel="0" collapsed="false">
      <c r="A7" s="3" t="s">
        <v>3912</v>
      </c>
      <c r="B7" s="33" t="n">
        <v>5030307.49</v>
      </c>
      <c r="C7" s="33" t="n">
        <v>75712.46</v>
      </c>
      <c r="D7" s="33" t="n">
        <v>88596.68</v>
      </c>
      <c r="E7" s="33" t="n">
        <v>-27498.89</v>
      </c>
      <c r="F7" s="33" t="n">
        <v>-40240.41</v>
      </c>
      <c r="G7" s="33" t="n">
        <v>5126877.33</v>
      </c>
      <c r="H7" s="24" t="n">
        <f aca="false">SUM(B7:F7)-G7</f>
        <v>0</v>
      </c>
      <c r="I7" s="22" t="n">
        <f aca="false">IF(B7=0,0,1+(E7+F7)/B7)</f>
        <v>0.986533765553167</v>
      </c>
      <c r="J7" s="22" t="n">
        <f aca="false">IF(B7=0,0,1+(D7+E7+F7)/B7)</f>
        <v>1.0041463429505</v>
      </c>
    </row>
    <row r="8" customFormat="false" ht="15" hidden="false" customHeight="false" outlineLevel="0" collapsed="false">
      <c r="A8" s="3" t="s">
        <v>3913</v>
      </c>
      <c r="B8" s="33" t="n">
        <v>5126877.33</v>
      </c>
      <c r="C8" s="33" t="n">
        <v>65482.46</v>
      </c>
      <c r="D8" s="33" t="n">
        <v>78839.65</v>
      </c>
      <c r="E8" s="33" t="n">
        <v>-33578.41</v>
      </c>
      <c r="F8" s="33" t="n">
        <v>-37800.92</v>
      </c>
      <c r="G8" s="33" t="n">
        <v>5199820.11</v>
      </c>
      <c r="H8" s="24" t="n">
        <f aca="false">SUM(B8:F8)-G8</f>
        <v>0</v>
      </c>
      <c r="I8" s="22" t="n">
        <f aca="false">IF(B8=0,0,1+(E8+F8)/B8)</f>
        <v>0.986077425808041</v>
      </c>
      <c r="J8" s="22" t="n">
        <f aca="false">IF(B8=0,0,1+(D8+E8+F8)/B8)</f>
        <v>1.00145513916558</v>
      </c>
    </row>
    <row r="9" customFormat="false" ht="15" hidden="false" customHeight="false" outlineLevel="0" collapsed="false">
      <c r="A9" s="3" t="s">
        <v>293</v>
      </c>
      <c r="B9" s="33" t="n">
        <v>5199820.11</v>
      </c>
      <c r="C9" s="33" t="n">
        <v>101398.19</v>
      </c>
      <c r="D9" s="33" t="n">
        <v>67004.06</v>
      </c>
      <c r="E9" s="33" t="n">
        <v>-25372.77</v>
      </c>
      <c r="F9" s="33" t="n">
        <v>-37391.05</v>
      </c>
      <c r="G9" s="33" t="n">
        <v>5305458.54</v>
      </c>
      <c r="H9" s="24" t="n">
        <f aca="false">SUM(B9:F9)-G9</f>
        <v>0</v>
      </c>
      <c r="I9" s="22" t="n">
        <f aca="false">IF(B9=0,0,1+(E9+F9)/B9)</f>
        <v>0.987929617049771</v>
      </c>
      <c r="J9" s="22" t="n">
        <f aca="false">IF(B9=0,0,1+(D9+E9+F9)/B9)</f>
        <v>1.00081545897941</v>
      </c>
    </row>
    <row r="10" customFormat="false" ht="15" hidden="false" customHeight="false" outlineLevel="0" collapsed="false">
      <c r="A10" s="3" t="s">
        <v>3914</v>
      </c>
      <c r="B10" s="33" t="n">
        <v>5305458.54</v>
      </c>
      <c r="C10" s="33" t="n">
        <v>100837.99</v>
      </c>
      <c r="D10" s="33" t="n">
        <v>69989.15</v>
      </c>
      <c r="E10" s="33" t="n">
        <v>-30845.64</v>
      </c>
      <c r="F10" s="33" t="n">
        <v>-40536.7</v>
      </c>
      <c r="G10" s="33" t="n">
        <v>5404903.34</v>
      </c>
      <c r="H10" s="24" t="n">
        <f aca="false">SUM(B10:F10)-G10</f>
        <v>0</v>
      </c>
      <c r="I10" s="22" t="n">
        <f aca="false">IF(B10=0,0,1+(E10+F10)/B10)</f>
        <v>0.986545490938847</v>
      </c>
      <c r="J10" s="22" t="n">
        <f aca="false">IF(B10=0,0,1+(D10+E10+F10)/B10)</f>
        <v>0.999737404412928</v>
      </c>
    </row>
    <row r="11" customFormat="false" ht="15" hidden="false" customHeight="false" outlineLevel="0" collapsed="false">
      <c r="A11" s="3" t="s">
        <v>3915</v>
      </c>
      <c r="B11" s="33" t="n">
        <v>5404903.34</v>
      </c>
      <c r="C11" s="33" t="n">
        <v>105682.43</v>
      </c>
      <c r="D11" s="33" t="n">
        <v>72274.41</v>
      </c>
      <c r="E11" s="33" t="n">
        <v>-28071.08</v>
      </c>
      <c r="F11" s="33" t="n">
        <v>-17924.84</v>
      </c>
      <c r="G11" s="33" t="n">
        <v>5536864.26</v>
      </c>
      <c r="H11" s="24" t="n">
        <f aca="false">SUM(B11:F11)-G11</f>
        <v>0</v>
      </c>
      <c r="I11" s="22" t="n">
        <f aca="false">IF(B11=0,0,1+(E11+F11)/B11)</f>
        <v>0.99148996437002</v>
      </c>
      <c r="J11" s="22" t="n">
        <f aca="false">IF(B11=0,0,1+(D11+E11+F11)/B11)</f>
        <v>1.00486197224019</v>
      </c>
    </row>
    <row r="12" customFormat="false" ht="15" hidden="false" customHeight="false" outlineLevel="0" collapsed="false">
      <c r="A12" s="3" t="s">
        <v>294</v>
      </c>
      <c r="B12" s="33" t="n">
        <v>5536864.26</v>
      </c>
      <c r="C12" s="33" t="n">
        <v>130784.23</v>
      </c>
      <c r="D12" s="33" t="n">
        <v>63771.32</v>
      </c>
      <c r="E12" s="33" t="n">
        <v>-32362.02</v>
      </c>
      <c r="F12" s="33" t="n">
        <v>-32174.12</v>
      </c>
      <c r="G12" s="33" t="n">
        <v>5666883.67</v>
      </c>
      <c r="H12" s="24" t="n">
        <f aca="false">SUM(B12:F12)-G12</f>
        <v>0</v>
      </c>
      <c r="I12" s="22" t="n">
        <f aca="false">IF(B12=0,0,1+(E12+F12)/B12)</f>
        <v>0.988344279908354</v>
      </c>
      <c r="J12" s="22" t="n">
        <f aca="false">IF(B12=0,0,1+(D12+E12+F12)/B12)</f>
        <v>0.999861867662979</v>
      </c>
    </row>
    <row r="13" customFormat="false" ht="15" hidden="false" customHeight="false" outlineLevel="0" collapsed="false">
      <c r="A13" s="3" t="s">
        <v>3916</v>
      </c>
      <c r="B13" s="33" t="n">
        <v>5666883.67</v>
      </c>
      <c r="C13" s="33" t="n">
        <v>162579.19</v>
      </c>
      <c r="D13" s="33" t="n">
        <v>77451.16</v>
      </c>
      <c r="E13" s="33" t="n">
        <v>-30899.12</v>
      </c>
      <c r="F13" s="33" t="n">
        <v>-25660.55</v>
      </c>
      <c r="G13" s="33" t="n">
        <v>5850354.35</v>
      </c>
      <c r="H13" s="24" t="n">
        <f aca="false">SUM(B13:F13)-G13</f>
        <v>0</v>
      </c>
      <c r="I13" s="22" t="n">
        <f aca="false">IF(B13=0,0,1+(E13+F13)/B13)</f>
        <v>0.990019263974057</v>
      </c>
      <c r="J13" s="22" t="n">
        <f aca="false">IF(B13=0,0,1+(D13+E13+F13)/B13)</f>
        <v>1.00368659235244</v>
      </c>
    </row>
    <row r="14" customFormat="false" ht="15" hidden="false" customHeight="false" outlineLevel="0" collapsed="false">
      <c r="A14" s="3" t="s">
        <v>3917</v>
      </c>
      <c r="B14" s="33" t="n">
        <v>5850354.35</v>
      </c>
      <c r="C14" s="33" t="n">
        <v>186160.64</v>
      </c>
      <c r="D14" s="33" t="n">
        <v>90665.84</v>
      </c>
      <c r="E14" s="33" t="n">
        <v>-33813.96</v>
      </c>
      <c r="F14" s="33" t="n">
        <v>-51437.29</v>
      </c>
      <c r="G14" s="33" t="n">
        <v>6041929.58</v>
      </c>
      <c r="H14" s="24" t="n">
        <f aca="false">SUM(B14:F14)-G14</f>
        <v>0</v>
      </c>
      <c r="I14" s="22" t="n">
        <f aca="false">IF(B14=0,0,1+(E14+F14)/B14)</f>
        <v>0.98542801941561</v>
      </c>
      <c r="J14" s="22" t="n">
        <f aca="false">IF(B14=0,0,1+(D14+E14+F14)/B14)</f>
        <v>1.00092551487928</v>
      </c>
    </row>
    <row r="15" customFormat="false" ht="15" hidden="false" customHeight="false" outlineLevel="0" collapsed="false">
      <c r="A15" s="3" t="s">
        <v>295</v>
      </c>
      <c r="B15" s="33" t="n">
        <v>6041929.58</v>
      </c>
      <c r="C15" s="33" t="n">
        <v>68604.14</v>
      </c>
      <c r="D15" s="33" t="n">
        <v>73426.19</v>
      </c>
      <c r="E15" s="33" t="n">
        <v>-34403.18</v>
      </c>
      <c r="F15" s="33" t="n">
        <v>-46792.77</v>
      </c>
      <c r="G15" s="33" t="n">
        <v>6102763.96</v>
      </c>
      <c r="H15" s="24" t="n">
        <f aca="false">SUM(B15:F15)-G15</f>
        <v>0</v>
      </c>
      <c r="I15" s="22" t="n">
        <f aca="false">IF(B15=0,0,1+(E15+F15)/B15)</f>
        <v>0.986561255154516</v>
      </c>
      <c r="J15" s="22" t="n">
        <f aca="false">IF(B15=0,0,1+(D15+E15+F15)/B15)</f>
        <v>0.998714026719921</v>
      </c>
    </row>
    <row r="16" customFormat="false" ht="15" hidden="false" customHeight="false" outlineLevel="0" collapsed="false">
      <c r="A16" s="3" t="s">
        <v>3918</v>
      </c>
      <c r="B16" s="33" t="n">
        <v>6102763.96</v>
      </c>
      <c r="C16" s="33" t="n">
        <v>92319.57</v>
      </c>
      <c r="D16" s="33" t="n">
        <v>93593.62</v>
      </c>
      <c r="E16" s="33" t="n">
        <v>-34810.67</v>
      </c>
      <c r="F16" s="33" t="n">
        <v>-33937.37</v>
      </c>
      <c r="G16" s="33" t="n">
        <v>6219929.11</v>
      </c>
      <c r="H16" s="24" t="n">
        <f aca="false">SUM(B16:F16)-G16</f>
        <v>0</v>
      </c>
      <c r="I16" s="22" t="n">
        <f aca="false">IF(B16=0,0,1+(E16+F16)/B16)</f>
        <v>0.988734933802028</v>
      </c>
      <c r="J16" s="22" t="n">
        <f aca="false">IF(B16=0,0,1+(D16+E16+F16)/B16)</f>
        <v>1.004071201207</v>
      </c>
    </row>
    <row r="17" customFormat="false" ht="15" hidden="false" customHeight="false" outlineLevel="0" collapsed="false">
      <c r="A17" s="3" t="s">
        <v>3919</v>
      </c>
      <c r="B17" s="33" t="n">
        <v>6219929.11</v>
      </c>
      <c r="C17" s="33" t="n">
        <v>91422.79</v>
      </c>
      <c r="D17" s="33" t="n">
        <v>102714.13</v>
      </c>
      <c r="E17" s="33" t="n">
        <v>-37878.05</v>
      </c>
      <c r="F17" s="33" t="n">
        <v>-50174.22</v>
      </c>
      <c r="G17" s="33" t="n">
        <v>6326013.76</v>
      </c>
      <c r="H17" s="24" t="n">
        <f aca="false">SUM(B17:F17)-G17</f>
        <v>0</v>
      </c>
      <c r="I17" s="22" t="n">
        <f aca="false">IF(B17=0,0,1+(E17+F17)/B17)</f>
        <v>0.985843525152331</v>
      </c>
      <c r="J17" s="22" t="n">
        <f aca="false">IF(B17=0,0,1+(D17+E17+F17)/B17)</f>
        <v>1.00235723908435</v>
      </c>
    </row>
    <row r="18" customFormat="false" ht="15" hidden="false" customHeight="false" outlineLevel="0" collapsed="false">
      <c r="A18" s="3" t="s">
        <v>296</v>
      </c>
      <c r="B18" s="33" t="n">
        <v>6326013.76</v>
      </c>
      <c r="C18" s="33" t="n">
        <v>77027.47</v>
      </c>
      <c r="D18" s="33" t="n">
        <v>86852.93</v>
      </c>
      <c r="E18" s="33" t="n">
        <v>-40182.96</v>
      </c>
      <c r="F18" s="33" t="n">
        <v>-33153.9</v>
      </c>
      <c r="G18" s="33" t="n">
        <v>6416557.3</v>
      </c>
      <c r="H18" s="24" t="n">
        <f aca="false">SUM(B18:F18)-G18</f>
        <v>0</v>
      </c>
      <c r="I18" s="22" t="n">
        <f aca="false">IF(B18=0,0,1+(E18+F18)/B18)</f>
        <v>0.988407097615924</v>
      </c>
      <c r="J18" s="22" t="n">
        <f aca="false">IF(B18=0,0,1+(D18+E18+F18)/B18)</f>
        <v>1.00213658561501</v>
      </c>
    </row>
    <row r="19" customFormat="false" ht="15" hidden="false" customHeight="false" outlineLevel="0" collapsed="false">
      <c r="A19" s="3" t="s">
        <v>3920</v>
      </c>
      <c r="B19" s="33" t="n">
        <v>6416557.3</v>
      </c>
      <c r="C19" s="33" t="n">
        <v>94287.28</v>
      </c>
      <c r="D19" s="33" t="n">
        <v>88803.06</v>
      </c>
      <c r="E19" s="33" t="n">
        <v>-37818.65</v>
      </c>
      <c r="F19" s="33" t="n">
        <v>-25126.33</v>
      </c>
      <c r="G19" s="33" t="n">
        <v>6536702.66</v>
      </c>
      <c r="H19" s="24" t="n">
        <f aca="false">SUM(B19:F19)-G19</f>
        <v>0</v>
      </c>
      <c r="I19" s="22" t="n">
        <f aca="false">IF(B19=0,0,1+(E19+F19)/B19)</f>
        <v>0.990190225527948</v>
      </c>
      <c r="J19" s="22" t="n">
        <f aca="false">IF(B19=0,0,1+(D19+E19+F19)/B19)</f>
        <v>1.00402989933558</v>
      </c>
    </row>
    <row r="20" customFormat="false" ht="15" hidden="false" customHeight="false" outlineLevel="0" collapsed="false">
      <c r="A20" s="3" t="s">
        <v>3921</v>
      </c>
      <c r="B20" s="33" t="n">
        <v>6536702.66</v>
      </c>
      <c r="C20" s="33" t="n">
        <v>106308</v>
      </c>
      <c r="D20" s="33" t="n">
        <v>78539.69</v>
      </c>
      <c r="E20" s="33" t="n">
        <v>-35540.46</v>
      </c>
      <c r="F20" s="33" t="n">
        <v>-39608.33</v>
      </c>
      <c r="G20" s="33" t="n">
        <v>6646401.56</v>
      </c>
      <c r="H20" s="24" t="n">
        <f aca="false">SUM(B20:F20)-G20</f>
        <v>0</v>
      </c>
      <c r="I20" s="22" t="n">
        <f aca="false">IF(B20=0,0,1+(E20+F20)/B20)</f>
        <v>0.988503563048713</v>
      </c>
      <c r="J20" s="22" t="n">
        <f aca="false">IF(B20=0,0,1+(D20+E20+F20)/B20)</f>
        <v>1.00051874778101</v>
      </c>
    </row>
    <row r="21" customFormat="false" ht="15" hidden="false" customHeight="false" outlineLevel="0" collapsed="false">
      <c r="A21" s="3" t="s">
        <v>297</v>
      </c>
      <c r="B21" s="33" t="n">
        <v>6646401.56</v>
      </c>
      <c r="C21" s="33" t="n">
        <v>82249.98</v>
      </c>
      <c r="D21" s="33" t="n">
        <v>104002.46</v>
      </c>
      <c r="E21" s="33" t="n">
        <v>-32360.53</v>
      </c>
      <c r="F21" s="33" t="n">
        <v>-69827.17</v>
      </c>
      <c r="G21" s="33" t="n">
        <v>6730466.3</v>
      </c>
      <c r="H21" s="24" t="n">
        <f aca="false">SUM(B21:F21)-G21</f>
        <v>0</v>
      </c>
      <c r="I21" s="22" t="n">
        <f aca="false">IF(B21=0,0,1+(E21+F21)/B21)</f>
        <v>0.984625108928868</v>
      </c>
      <c r="J21" s="22" t="n">
        <f aca="false">IF(B21=0,0,1+(D21+E21+F21)/B21)</f>
        <v>1.00027304398984</v>
      </c>
    </row>
    <row r="22" customFormat="false" ht="15" hidden="false" customHeight="false" outlineLevel="0" collapsed="false">
      <c r="A22" s="3" t="s">
        <v>3922</v>
      </c>
      <c r="B22" s="33" t="n">
        <v>6730466.3</v>
      </c>
      <c r="C22" s="33" t="n">
        <v>182898.29</v>
      </c>
      <c r="D22" s="33" t="n">
        <v>93964.91</v>
      </c>
      <c r="E22" s="33" t="n">
        <v>-39230.38</v>
      </c>
      <c r="F22" s="33" t="n">
        <v>-44302.88</v>
      </c>
      <c r="G22" s="33" t="n">
        <v>6923796.24</v>
      </c>
      <c r="H22" s="24" t="n">
        <f aca="false">SUM(B22:F22)-G22</f>
        <v>0</v>
      </c>
      <c r="I22" s="22" t="n">
        <f aca="false">IF(B22=0,0,1+(E22+F22)/B22)</f>
        <v>0.98758878563882</v>
      </c>
      <c r="J22" s="22" t="n">
        <f aca="false">IF(B22=0,0,1+(D22+E22+F22)/B22)</f>
        <v>1.00154991489966</v>
      </c>
    </row>
    <row r="23" customFormat="false" ht="15" hidden="false" customHeight="false" outlineLevel="0" collapsed="false">
      <c r="A23" s="3" t="s">
        <v>3923</v>
      </c>
      <c r="B23" s="33" t="n">
        <v>6923796.24</v>
      </c>
      <c r="C23" s="33" t="n">
        <v>160748.05</v>
      </c>
      <c r="D23" s="33" t="n">
        <v>105797.12</v>
      </c>
      <c r="E23" s="33" t="n">
        <v>-43479.78</v>
      </c>
      <c r="F23" s="33" t="n">
        <v>-46635.45</v>
      </c>
      <c r="G23" s="33" t="n">
        <v>7100226.18</v>
      </c>
      <c r="H23" s="24" t="n">
        <f aca="false">SUM(B23:F23)-G23</f>
        <v>0</v>
      </c>
      <c r="I23" s="22" t="n">
        <f aca="false">IF(B23=0,0,1+(E23+F23)/B23)</f>
        <v>0.986984707972862</v>
      </c>
      <c r="J23" s="22" t="n">
        <f aca="false">IF(B23=0,0,1+(D23+E23+F23)/B23)</f>
        <v>1.00226492656</v>
      </c>
    </row>
    <row r="24" customFormat="false" ht="15" hidden="false" customHeight="false" outlineLevel="0" collapsed="false">
      <c r="A24" s="3" t="s">
        <v>298</v>
      </c>
      <c r="B24" s="33" t="n">
        <v>7100226.18</v>
      </c>
      <c r="C24" s="33" t="n">
        <v>138569.79</v>
      </c>
      <c r="D24" s="33" t="n">
        <v>86846.1</v>
      </c>
      <c r="E24" s="33" t="n">
        <v>-41403.31</v>
      </c>
      <c r="F24" s="33" t="n">
        <v>-61290.59</v>
      </c>
      <c r="G24" s="33" t="n">
        <v>7222948.17</v>
      </c>
      <c r="H24" s="24" t="n">
        <f aca="false">SUM(B24:F24)-G24</f>
        <v>0</v>
      </c>
      <c r="I24" s="22" t="n">
        <f aca="false">IF(B24=0,0,1+(E24+F24)/B24)</f>
        <v>0.985536531175687</v>
      </c>
      <c r="J24" s="22" t="n">
        <f aca="false">IF(B24=0,0,1+(D24+E24+F24)/B24)</f>
        <v>0.997767986596731</v>
      </c>
    </row>
    <row r="25" customFormat="false" ht="15" hidden="false" customHeight="false" outlineLevel="0" collapsed="false">
      <c r="A25" s="3" t="s">
        <v>3924</v>
      </c>
      <c r="B25" s="33" t="n">
        <v>7222948.17</v>
      </c>
      <c r="C25" s="33" t="n">
        <v>98516.92</v>
      </c>
      <c r="D25" s="33" t="n">
        <v>109822.85</v>
      </c>
      <c r="E25" s="33" t="n">
        <v>-38772.93</v>
      </c>
      <c r="F25" s="33" t="n">
        <v>-47371.86</v>
      </c>
      <c r="G25" s="33" t="n">
        <v>7345143.15</v>
      </c>
      <c r="H25" s="24" t="n">
        <f aca="false">SUM(B25:F25)-G25</f>
        <v>0</v>
      </c>
      <c r="I25" s="22" t="n">
        <f aca="false">IF(B25=0,0,1+(E25+F25)/B25)</f>
        <v>0.988073458652549</v>
      </c>
      <c r="J25" s="22" t="n">
        <f aca="false">IF(B25=0,0,1+(D25+E25+F25)/B25)</f>
        <v>1.00327817110724</v>
      </c>
    </row>
    <row r="26" customFormat="false" ht="15" hidden="false" customHeight="false" outlineLevel="0" collapsed="false">
      <c r="A26" s="3" t="s">
        <v>3925</v>
      </c>
      <c r="B26" s="33" t="n">
        <v>7345143.15</v>
      </c>
      <c r="C26" s="33" t="n">
        <v>192947.6</v>
      </c>
      <c r="D26" s="33" t="n">
        <v>112018.78</v>
      </c>
      <c r="E26" s="33" t="n">
        <v>-34989.69</v>
      </c>
      <c r="F26" s="33" t="n">
        <v>-27911.81</v>
      </c>
      <c r="G26" s="33" t="n">
        <v>7587208.03</v>
      </c>
      <c r="H26" s="24" t="n">
        <f aca="false">SUM(B26:F26)-G26</f>
        <v>0</v>
      </c>
      <c r="I26" s="22" t="n">
        <f aca="false">IF(B26=0,0,1+(E26+F26)/B26)</f>
        <v>0.991436313940321</v>
      </c>
      <c r="J26" s="22" t="n">
        <f aca="false">IF(B26=0,0,1+(D26+E26+F26)/B26)</f>
        <v>1.00668704189924</v>
      </c>
    </row>
    <row r="27" customFormat="false" ht="15" hidden="false" customHeight="false" outlineLevel="0" collapsed="false">
      <c r="A27" s="3" t="s">
        <v>299</v>
      </c>
      <c r="B27" s="33" t="n">
        <v>7587208.03</v>
      </c>
      <c r="C27" s="33" t="n">
        <v>157232.3</v>
      </c>
      <c r="D27" s="33" t="n">
        <v>96120.62</v>
      </c>
      <c r="E27" s="33" t="n">
        <v>-43804.97</v>
      </c>
      <c r="F27" s="33" t="n">
        <v>-43286.59</v>
      </c>
      <c r="G27" s="33" t="n">
        <v>7753469.39</v>
      </c>
      <c r="H27" s="24" t="n">
        <f aca="false">SUM(B27:F27)-G27</f>
        <v>0</v>
      </c>
      <c r="I27" s="22" t="n">
        <f aca="false">IF(B27=0,0,1+(E27+F27)/B27)</f>
        <v>0.988521263730263</v>
      </c>
      <c r="J27" s="22" t="n">
        <f aca="false">IF(B27=0,0,1+(D27+E27+F27)/B27)</f>
        <v>1.00119003722638</v>
      </c>
    </row>
    <row r="28" customFormat="false" ht="15" hidden="false" customHeight="false" outlineLevel="0" collapsed="false">
      <c r="A28" s="3" t="s">
        <v>3926</v>
      </c>
      <c r="B28" s="33" t="n">
        <v>7753469.39</v>
      </c>
      <c r="C28" s="33" t="n">
        <v>103051.86</v>
      </c>
      <c r="D28" s="33" t="n">
        <v>112506.82</v>
      </c>
      <c r="E28" s="33" t="n">
        <v>-46186.75</v>
      </c>
      <c r="F28" s="33" t="n">
        <v>-33732.31</v>
      </c>
      <c r="G28" s="33" t="n">
        <v>7889109.01</v>
      </c>
      <c r="H28" s="24" t="n">
        <f aca="false">SUM(B28:F28)-G28</f>
        <v>0</v>
      </c>
      <c r="I28" s="22" t="n">
        <f aca="false">IF(B28=0,0,1+(E28+F28)/B28)</f>
        <v>0.989692477524568</v>
      </c>
      <c r="J28" s="22" t="n">
        <f aca="false">IF(B28=0,0,1+(D28+E28+F28)/B28)</f>
        <v>1.00420299073367</v>
      </c>
    </row>
    <row r="29" customFormat="false" ht="15" hidden="false" customHeight="false" outlineLevel="0" collapsed="false">
      <c r="A29" s="3" t="s">
        <v>3927</v>
      </c>
      <c r="B29" s="33" t="n">
        <v>7889109.01</v>
      </c>
      <c r="C29" s="33" t="n">
        <v>104201.53</v>
      </c>
      <c r="D29" s="33" t="n">
        <v>102016.26</v>
      </c>
      <c r="E29" s="33" t="n">
        <v>-54259.3</v>
      </c>
      <c r="F29" s="33" t="n">
        <v>-71679.27</v>
      </c>
      <c r="G29" s="33" t="n">
        <v>7969388.23</v>
      </c>
      <c r="H29" s="24" t="n">
        <f aca="false">SUM(B29:F29)-G29</f>
        <v>0</v>
      </c>
      <c r="I29" s="22" t="n">
        <f aca="false">IF(B29=0,0,1+(E29+F29)/B29)</f>
        <v>0.984036401342615</v>
      </c>
      <c r="J29" s="22" t="n">
        <f aca="false">IF(B29=0,0,1+(D29+E29+F29)/B29)</f>
        <v>0.99696767911691</v>
      </c>
    </row>
    <row r="30" customFormat="false" ht="15" hidden="false" customHeight="false" outlineLevel="0" collapsed="false">
      <c r="A30" s="3" t="s">
        <v>300</v>
      </c>
      <c r="B30" s="33" t="n">
        <v>7969388.23</v>
      </c>
      <c r="C30" s="33" t="n">
        <v>140780.44</v>
      </c>
      <c r="D30" s="33" t="n">
        <v>107219.81</v>
      </c>
      <c r="E30" s="33" t="n">
        <v>-49344.29</v>
      </c>
      <c r="F30" s="33" t="n">
        <v>-40307.61</v>
      </c>
      <c r="G30" s="33" t="n">
        <v>8127736.58</v>
      </c>
      <c r="H30" s="24" t="n">
        <f aca="false">SUM(B30:F30)-G30</f>
        <v>0</v>
      </c>
      <c r="I30" s="22" t="n">
        <f aca="false">IF(B30=0,0,1+(E30+F30)/B30)</f>
        <v>0.988750466483423</v>
      </c>
      <c r="J30" s="22" t="n">
        <f aca="false">IF(B30=0,0,1+(D30+E30+F30)/B30)</f>
        <v>1.00220442391473</v>
      </c>
    </row>
    <row r="31" customFormat="false" ht="15" hidden="false" customHeight="false" outlineLevel="0" collapsed="false">
      <c r="A31" s="3" t="s">
        <v>3928</v>
      </c>
      <c r="B31" s="33" t="n">
        <v>8127736.58</v>
      </c>
      <c r="C31" s="33" t="n">
        <v>133304.6</v>
      </c>
      <c r="D31" s="33" t="n">
        <v>121894.57</v>
      </c>
      <c r="E31" s="33" t="n">
        <v>-56634.93</v>
      </c>
      <c r="F31" s="33" t="n">
        <v>-26145.28</v>
      </c>
      <c r="G31" s="33" t="n">
        <v>8300155.54</v>
      </c>
      <c r="H31" s="24" t="n">
        <f aca="false">SUM(B31:F31)-G31</f>
        <v>0</v>
      </c>
      <c r="I31" s="22" t="n">
        <f aca="false">IF(B31=0,0,1+(E31+F31)/B31)</f>
        <v>0.989815096837206</v>
      </c>
      <c r="J31" s="22" t="n">
        <f aca="false">IF(B31=0,0,1+(D31+E31+F31)/B31)</f>
        <v>1.00481245419497</v>
      </c>
    </row>
    <row r="32" customFormat="false" ht="15" hidden="false" customHeight="false" outlineLevel="0" collapsed="false">
      <c r="A32" s="3" t="s">
        <v>3929</v>
      </c>
      <c r="B32" s="33" t="n">
        <v>8300155.54</v>
      </c>
      <c r="C32" s="33" t="n">
        <v>124900.59</v>
      </c>
      <c r="D32" s="33" t="n">
        <v>119826.46</v>
      </c>
      <c r="E32" s="33" t="n">
        <v>-51638.09</v>
      </c>
      <c r="F32" s="33" t="n">
        <v>-31678.83</v>
      </c>
      <c r="G32" s="33" t="n">
        <v>8461565.67</v>
      </c>
      <c r="H32" s="24" t="n">
        <f aca="false">SUM(B32:F32)-G32</f>
        <v>0</v>
      </c>
      <c r="I32" s="22" t="n">
        <f aca="false">IF(B32=0,0,1+(E32+F32)/B32)</f>
        <v>0.989962004977078</v>
      </c>
      <c r="J32" s="22" t="n">
        <f aca="false">IF(B32=0,0,1+(D32+E32+F32)/B32)</f>
        <v>1.00439865732926</v>
      </c>
    </row>
    <row r="33" customFormat="false" ht="15" hidden="false" customHeight="false" outlineLevel="0" collapsed="false">
      <c r="A33" s="3" t="s">
        <v>301</v>
      </c>
      <c r="B33" s="33" t="n">
        <v>8461565.67</v>
      </c>
      <c r="C33" s="33" t="n">
        <v>94620.6</v>
      </c>
      <c r="D33" s="33" t="n">
        <v>136245.4</v>
      </c>
      <c r="E33" s="33" t="n">
        <v>-52439.14</v>
      </c>
      <c r="F33" s="33" t="n">
        <v>-42542.97</v>
      </c>
      <c r="G33" s="33" t="n">
        <v>8597449.56</v>
      </c>
      <c r="H33" s="24" t="n">
        <f aca="false">SUM(B33:F33)-G33</f>
        <v>0</v>
      </c>
      <c r="I33" s="22" t="n">
        <f aca="false">IF(B33=0,0,1+(E33+F33)/B33)</f>
        <v>0.988774877640346</v>
      </c>
      <c r="J33" s="22" t="n">
        <f aca="false">IF(B33=0,0,1+(D33+E33+F33)/B33)</f>
        <v>1.00487655495558</v>
      </c>
    </row>
    <row r="34" customFormat="false" ht="15" hidden="false" customHeight="false" outlineLevel="0" collapsed="false">
      <c r="A34" s="3" t="s">
        <v>3930</v>
      </c>
      <c r="B34" s="33" t="n">
        <v>8597449.56</v>
      </c>
      <c r="C34" s="33" t="n">
        <v>99484.68</v>
      </c>
      <c r="D34" s="33" t="n">
        <v>125845.09</v>
      </c>
      <c r="E34" s="33" t="n">
        <v>-40615.2</v>
      </c>
      <c r="F34" s="33" t="n">
        <v>-79136.04</v>
      </c>
      <c r="G34" s="33" t="n">
        <v>8703028.09</v>
      </c>
      <c r="H34" s="24" t="n">
        <f aca="false">SUM(B34:F34)-G34</f>
        <v>0</v>
      </c>
      <c r="I34" s="22" t="n">
        <f aca="false">IF(B34=0,0,1+(E34+F34)/B34)</f>
        <v>0.98607130647708</v>
      </c>
      <c r="J34" s="22" t="n">
        <f aca="false">IF(B34=0,0,1+(D34+E34+F34)/B34)</f>
        <v>1.00070879741224</v>
      </c>
    </row>
    <row r="35" customFormat="false" ht="15" hidden="false" customHeight="false" outlineLevel="0" collapsed="false">
      <c r="A35" s="3" t="s">
        <v>3931</v>
      </c>
      <c r="B35" s="33" t="n">
        <v>8703028.09</v>
      </c>
      <c r="C35" s="33" t="n">
        <v>126182.42</v>
      </c>
      <c r="D35" s="33" t="n">
        <v>131209.13</v>
      </c>
      <c r="E35" s="33" t="n">
        <v>-50306.93</v>
      </c>
      <c r="F35" s="33" t="n">
        <v>-38107.09</v>
      </c>
      <c r="G35" s="33" t="n">
        <v>8872005.62</v>
      </c>
      <c r="H35" s="24" t="n">
        <f aca="false">SUM(B35:F35)-G35</f>
        <v>0</v>
      </c>
      <c r="I35" s="22" t="n">
        <f aca="false">IF(B35=0,0,1+(E35+F35)/B35)</f>
        <v>0.989841004867996</v>
      </c>
      <c r="J35" s="22" t="n">
        <f aca="false">IF(B35=0,0,1+(D35+E35+F35)/B35)</f>
        <v>1.00491726667517</v>
      </c>
    </row>
    <row r="36" customFormat="false" ht="15" hidden="false" customHeight="false" outlineLevel="0" collapsed="false">
      <c r="A36" s="3" t="s">
        <v>302</v>
      </c>
      <c r="B36" s="33" t="n">
        <v>8872005.62</v>
      </c>
      <c r="C36" s="33" t="n">
        <v>95202.89</v>
      </c>
      <c r="D36" s="33" t="n">
        <v>121338.62</v>
      </c>
      <c r="E36" s="33" t="n">
        <v>-59539.85</v>
      </c>
      <c r="F36" s="33" t="n">
        <v>-61832.8</v>
      </c>
      <c r="G36" s="33" t="n">
        <v>8967174.48</v>
      </c>
      <c r="H36" s="24" t="n">
        <f aca="false">SUM(B36:F36)-G36</f>
        <v>0</v>
      </c>
      <c r="I36" s="22" t="n">
        <f aca="false">IF(B36=0,0,1+(E36+F36)/B36)</f>
        <v>0.986319592750664</v>
      </c>
      <c r="J36" s="22" t="n">
        <f aca="false">IF(B36=0,0,1+(D36+E36+F36)/B36)</f>
        <v>0.99999616433967</v>
      </c>
    </row>
    <row r="37" customFormat="false" ht="15" hidden="false" customHeight="false" outlineLevel="0" collapsed="false">
      <c r="A37" s="3" t="s">
        <v>3932</v>
      </c>
      <c r="B37" s="33" t="n">
        <v>8967174.48</v>
      </c>
      <c r="C37" s="33" t="n">
        <v>161651.63</v>
      </c>
      <c r="D37" s="33" t="n">
        <v>148235.07</v>
      </c>
      <c r="E37" s="33" t="n">
        <v>-54759.85</v>
      </c>
      <c r="F37" s="33" t="n">
        <v>-136301.69</v>
      </c>
      <c r="G37" s="33" t="n">
        <v>9085999.64</v>
      </c>
      <c r="H37" s="24" t="n">
        <f aca="false">SUM(B37:F37)-G37</f>
        <v>0</v>
      </c>
      <c r="I37" s="22" t="n">
        <f aca="false">IF(B37=0,0,1+(E37+F37)/B37)</f>
        <v>0.978693228237486</v>
      </c>
      <c r="J37" s="22" t="n">
        <f aca="false">IF(B37=0,0,1+(D37+E37+F37)/B37)</f>
        <v>0.995224084231268</v>
      </c>
    </row>
    <row r="38" customFormat="false" ht="15" hidden="false" customHeight="false" outlineLevel="0" collapsed="false">
      <c r="A38" s="3" t="s">
        <v>3933</v>
      </c>
      <c r="B38" s="33" t="n">
        <v>9085999.64</v>
      </c>
      <c r="C38" s="33" t="n">
        <v>111875.32</v>
      </c>
      <c r="D38" s="33" t="n">
        <v>129001.05</v>
      </c>
      <c r="E38" s="33" t="n">
        <v>-56711.09</v>
      </c>
      <c r="F38" s="33" t="n">
        <v>-27300.61</v>
      </c>
      <c r="G38" s="33" t="n">
        <v>9242864.31</v>
      </c>
      <c r="H38" s="24" t="n">
        <f aca="false">SUM(B38:F38)-G38</f>
        <v>0</v>
      </c>
      <c r="I38" s="22" t="n">
        <f aca="false">IF(B38=0,0,1+(E38+F38)/B38)</f>
        <v>0.990753719642454</v>
      </c>
      <c r="J38" s="22" t="n">
        <f aca="false">IF(B38=0,0,1+(D38+E38+F38)/B38)</f>
        <v>1.00495150250743</v>
      </c>
    </row>
    <row r="39" customFormat="false" ht="15" hidden="false" customHeight="false" outlineLevel="0" collapsed="false">
      <c r="A39" s="3" t="s">
        <v>303</v>
      </c>
      <c r="B39" s="33" t="n">
        <v>9242864.31</v>
      </c>
      <c r="C39" s="33" t="n">
        <v>134526.53</v>
      </c>
      <c r="D39" s="33" t="n">
        <v>114532.4</v>
      </c>
      <c r="E39" s="33" t="n">
        <v>-53187.01</v>
      </c>
      <c r="F39" s="33" t="n">
        <v>-39095.22</v>
      </c>
      <c r="G39" s="33" t="n">
        <v>9399641.01</v>
      </c>
      <c r="H39" s="24" t="n">
        <f aca="false">SUM(B39:F39)-G39</f>
        <v>0</v>
      </c>
      <c r="I39" s="22" t="n">
        <f aca="false">IF(B39=0,0,1+(E39+F39)/B39)</f>
        <v>0.990015840663142</v>
      </c>
      <c r="J39" s="22" t="n">
        <f aca="false">IF(B39=0,0,1+(D39+E39+F39)/B39)</f>
        <v>1.00240728082267</v>
      </c>
    </row>
    <row r="40" customFormat="false" ht="15" hidden="false" customHeight="false" outlineLevel="0" collapsed="false">
      <c r="A40" s="3" t="s">
        <v>3934</v>
      </c>
      <c r="B40" s="33" t="n">
        <v>9399641.01</v>
      </c>
      <c r="C40" s="33" t="n">
        <v>153231.32</v>
      </c>
      <c r="D40" s="33" t="n">
        <v>135844.82</v>
      </c>
      <c r="E40" s="33" t="n">
        <v>-59346.03</v>
      </c>
      <c r="F40" s="33" t="n">
        <v>-80297.44</v>
      </c>
      <c r="G40" s="33" t="n">
        <v>9549073.68</v>
      </c>
      <c r="H40" s="24" t="n">
        <f aca="false">SUM(B40:F40)-G40</f>
        <v>0</v>
      </c>
      <c r="I40" s="22" t="n">
        <f aca="false">IF(B40=0,0,1+(E40+F40)/B40)</f>
        <v>0.985143744335402</v>
      </c>
      <c r="J40" s="22" t="n">
        <f aca="false">IF(B40=0,0,1+(D40+E40+F40)/B40)</f>
        <v>0.999595872864085</v>
      </c>
    </row>
    <row r="41" customFormat="false" ht="15" hidden="false" customHeight="false" outlineLevel="0" collapsed="false">
      <c r="A41" s="3" t="s">
        <v>3935</v>
      </c>
      <c r="B41" s="33" t="n">
        <v>9549073.68</v>
      </c>
      <c r="C41" s="33" t="n">
        <v>105411.94</v>
      </c>
      <c r="D41" s="33" t="n">
        <v>110192.15</v>
      </c>
      <c r="E41" s="33" t="n">
        <v>-73528.38</v>
      </c>
      <c r="F41" s="33" t="n">
        <v>-88713.41</v>
      </c>
      <c r="G41" s="33" t="n">
        <v>9602435.98</v>
      </c>
      <c r="H41" s="24" t="n">
        <f aca="false">SUM(B41:F41)-G41</f>
        <v>0</v>
      </c>
      <c r="I41" s="22" t="n">
        <f aca="false">IF(B41=0,0,1+(E41+F41)/B41)</f>
        <v>0.983009682882665</v>
      </c>
      <c r="J41" s="22" t="n">
        <f aca="false">IF(B41=0,0,1+(D41+E41+F41)/B41)</f>
        <v>0.994549247210333</v>
      </c>
    </row>
    <row r="42" customFormat="false" ht="15" hidden="false" customHeight="false" outlineLevel="0" collapsed="false">
      <c r="A42" s="3" t="s">
        <v>304</v>
      </c>
      <c r="B42" s="33" t="n">
        <v>9602435.98</v>
      </c>
      <c r="C42" s="33" t="n">
        <v>99587.83</v>
      </c>
      <c r="D42" s="33" t="n">
        <v>123961.84</v>
      </c>
      <c r="E42" s="33" t="n">
        <v>-74169.95</v>
      </c>
      <c r="F42" s="33" t="n">
        <v>-36292.7</v>
      </c>
      <c r="G42" s="33" t="n">
        <v>9715523</v>
      </c>
      <c r="H42" s="24" t="n">
        <f aca="false">SUM(B42:F42)-G42</f>
        <v>0</v>
      </c>
      <c r="I42" s="22" t="n">
        <f aca="false">IF(B42=0,0,1+(E42+F42)/B42)</f>
        <v>0.98849639297465</v>
      </c>
      <c r="J42" s="22" t="n">
        <f aca="false">IF(B42=0,0,1+(D42+E42+F42)/B42)</f>
        <v>1.00140580890392</v>
      </c>
    </row>
    <row r="43" customFormat="false" ht="15" hidden="false" customHeight="false" outlineLevel="0" collapsed="false">
      <c r="A43" s="3" t="s">
        <v>3936</v>
      </c>
      <c r="B43" s="33" t="n">
        <v>9715523</v>
      </c>
      <c r="C43" s="33" t="n">
        <v>79688.34</v>
      </c>
      <c r="D43" s="33" t="n">
        <v>153905.67</v>
      </c>
      <c r="E43" s="33" t="n">
        <v>-68092.99</v>
      </c>
      <c r="F43" s="33" t="n">
        <v>-42534.41</v>
      </c>
      <c r="G43" s="33" t="n">
        <v>9838489.61</v>
      </c>
      <c r="H43" s="24" t="n">
        <f aca="false">SUM(B43:F43)-G43</f>
        <v>0</v>
      </c>
      <c r="I43" s="22" t="n">
        <f aca="false">IF(B43=0,0,1+(E43+F43)/B43)</f>
        <v>0.988613335586772</v>
      </c>
      <c r="J43" s="22" t="n">
        <f aca="false">IF(B43=0,0,1+(D43+E43+F43)/B43)</f>
        <v>1.00445454866403</v>
      </c>
    </row>
    <row r="44" customFormat="false" ht="15" hidden="false" customHeight="false" outlineLevel="0" collapsed="false">
      <c r="A44" s="3" t="s">
        <v>3937</v>
      </c>
      <c r="B44" s="33" t="n">
        <v>9838489.61</v>
      </c>
      <c r="C44" s="33" t="n">
        <v>151926.52</v>
      </c>
      <c r="D44" s="33" t="n">
        <v>109717.95</v>
      </c>
      <c r="E44" s="33" t="n">
        <v>-50033.22</v>
      </c>
      <c r="F44" s="33" t="n">
        <v>-26827.02</v>
      </c>
      <c r="G44" s="33" t="n">
        <v>10023273.84</v>
      </c>
      <c r="H44" s="24" t="n">
        <f aca="false">SUM(B44:F44)-G44</f>
        <v>0</v>
      </c>
      <c r="I44" s="22" t="n">
        <f aca="false">IF(B44=0,0,1+(E44+F44)/B44)</f>
        <v>0.992187800867129</v>
      </c>
      <c r="J44" s="22" t="n">
        <f aca="false">IF(B44=0,0,1+(D44+E44+F44)/B44)</f>
        <v>1.00333971079937</v>
      </c>
    </row>
    <row r="45" customFormat="false" ht="15" hidden="false" customHeight="false" outlineLevel="0" collapsed="false">
      <c r="A45" s="3" t="s">
        <v>305</v>
      </c>
      <c r="B45" s="33" t="n">
        <v>10023273.84</v>
      </c>
      <c r="C45" s="33" t="n">
        <v>134232.71</v>
      </c>
      <c r="D45" s="33" t="n">
        <v>161195.58</v>
      </c>
      <c r="E45" s="33" t="n">
        <v>-55075.69</v>
      </c>
      <c r="F45" s="33" t="n">
        <v>-41747.55</v>
      </c>
      <c r="G45" s="33" t="n">
        <v>10221878.89</v>
      </c>
      <c r="H45" s="24" t="n">
        <f aca="false">SUM(B45:F45)-G45</f>
        <v>0</v>
      </c>
      <c r="I45" s="22" t="n">
        <f aca="false">IF(B45=0,0,1+(E45+F45)/B45)</f>
        <v>0.990340158161338</v>
      </c>
      <c r="J45" s="22" t="n">
        <f aca="false">IF(B45=0,0,1+(D45+E45+F45)/B45)</f>
        <v>1.00642228687229</v>
      </c>
    </row>
    <row r="46" customFormat="false" ht="15" hidden="false" customHeight="false" outlineLevel="0" collapsed="false">
      <c r="A46" s="3" t="s">
        <v>3938</v>
      </c>
      <c r="B46" s="33" t="n">
        <v>10221878.89</v>
      </c>
      <c r="C46" s="33" t="n">
        <v>101990.81</v>
      </c>
      <c r="D46" s="33" t="n">
        <v>140415.76</v>
      </c>
      <c r="E46" s="33" t="n">
        <v>-59119.15</v>
      </c>
      <c r="F46" s="33" t="n">
        <v>-56518.25</v>
      </c>
      <c r="G46" s="33" t="n">
        <v>10348648.06</v>
      </c>
      <c r="H46" s="24" t="n">
        <f aca="false">SUM(B46:F46)-G46</f>
        <v>0</v>
      </c>
      <c r="I46" s="22" t="n">
        <f aca="false">IF(B46=0,0,1+(E46+F46)/B46)</f>
        <v>0.988687265693088</v>
      </c>
      <c r="J46" s="22" t="n">
        <f aca="false">IF(B46=0,0,1+(D46+E46+F46)/B46)</f>
        <v>1.00242405141625</v>
      </c>
    </row>
    <row r="47" customFormat="false" ht="15" hidden="false" customHeight="false" outlineLevel="0" collapsed="false">
      <c r="A47" s="3" t="s">
        <v>3939</v>
      </c>
      <c r="B47" s="33" t="n">
        <v>10348648.06</v>
      </c>
      <c r="C47" s="33" t="n">
        <v>151558.37</v>
      </c>
      <c r="D47" s="33" t="n">
        <v>138529</v>
      </c>
      <c r="E47" s="33" t="n">
        <v>-70977.81</v>
      </c>
      <c r="F47" s="33" t="n">
        <v>-51161.4</v>
      </c>
      <c r="G47" s="33" t="n">
        <v>10516596.22</v>
      </c>
      <c r="H47" s="24" t="n">
        <f aca="false">SUM(B47:F47)-G47</f>
        <v>0</v>
      </c>
      <c r="I47" s="22" t="n">
        <f aca="false">IF(B47=0,0,1+(E47+F47)/B47)</f>
        <v>0.988197568485095</v>
      </c>
      <c r="J47" s="22" t="n">
        <f aca="false">IF(B47=0,0,1+(D47+E47+F47)/B47)</f>
        <v>1.00158376146381</v>
      </c>
    </row>
    <row r="48" customFormat="false" ht="15" hidden="false" customHeight="false" outlineLevel="0" collapsed="false">
      <c r="A48" s="3" t="s">
        <v>306</v>
      </c>
      <c r="B48" s="33" t="n">
        <v>10516596.22</v>
      </c>
      <c r="C48" s="33" t="n">
        <v>143255.05</v>
      </c>
      <c r="D48" s="33" t="n">
        <v>135918.38</v>
      </c>
      <c r="E48" s="33" t="n">
        <v>-75419.61</v>
      </c>
      <c r="F48" s="33" t="n">
        <v>-44366.25</v>
      </c>
      <c r="G48" s="33" t="n">
        <v>10675983.79</v>
      </c>
      <c r="H48" s="24" t="n">
        <f aca="false">SUM(B48:F48)-G48</f>
        <v>0</v>
      </c>
      <c r="I48" s="22" t="n">
        <f aca="false">IF(B48=0,0,1+(E48+F48)/B48)</f>
        <v>0.98860982607926</v>
      </c>
      <c r="J48" s="22" t="n">
        <f aca="false">IF(B48=0,0,1+(D48+E48+F48)/B48)</f>
        <v>1.00153400583825</v>
      </c>
    </row>
    <row r="49" customFormat="false" ht="15" hidden="false" customHeight="false" outlineLevel="0" collapsed="false">
      <c r="A49" s="3" t="s">
        <v>3940</v>
      </c>
      <c r="B49" s="33" t="n">
        <v>10675983.79</v>
      </c>
      <c r="C49" s="33" t="n">
        <v>178343.59</v>
      </c>
      <c r="D49" s="33" t="n">
        <v>174761.03</v>
      </c>
      <c r="E49" s="33" t="n">
        <v>-69727.3</v>
      </c>
      <c r="F49" s="33" t="n">
        <v>-60032.29</v>
      </c>
      <c r="G49" s="33" t="n">
        <v>10899328.82</v>
      </c>
      <c r="H49" s="24" t="n">
        <f aca="false">SUM(B49:F49)-G49</f>
        <v>0</v>
      </c>
      <c r="I49" s="22" t="n">
        <f aca="false">IF(B49=0,0,1+(E49+F49)/B49)</f>
        <v>0.987845655018553</v>
      </c>
      <c r="J49" s="22" t="n">
        <f aca="false">IF(B49=0,0,1+(D49+E49+F49)/B49)</f>
        <v>1.00421520310308</v>
      </c>
    </row>
    <row r="50" customFormat="false" ht="15" hidden="false" customHeight="false" outlineLevel="0" collapsed="false">
      <c r="A50" s="3" t="s">
        <v>3941</v>
      </c>
      <c r="B50" s="33" t="n">
        <v>10899328.82</v>
      </c>
      <c r="C50" s="33" t="n">
        <v>84987.11</v>
      </c>
      <c r="D50" s="33" t="n">
        <v>151447.86</v>
      </c>
      <c r="E50" s="33" t="n">
        <v>-83370.5</v>
      </c>
      <c r="F50" s="33" t="n">
        <v>-33903.71</v>
      </c>
      <c r="G50" s="33" t="n">
        <v>11018489.58</v>
      </c>
      <c r="H50" s="24" t="n">
        <f aca="false">SUM(B50:F50)-G50</f>
        <v>0</v>
      </c>
      <c r="I50" s="22" t="n">
        <f aca="false">IF(B50=0,0,1+(E50+F50)/B50)</f>
        <v>0.989240235620307</v>
      </c>
      <c r="J50" s="22" t="n">
        <f aca="false">IF(B50=0,0,1+(D50+E50+F50)/B50)</f>
        <v>1.00313539031296</v>
      </c>
    </row>
    <row r="51" customFormat="false" ht="15" hidden="false" customHeight="false" outlineLevel="0" collapsed="false">
      <c r="A51" s="3" t="s">
        <v>307</v>
      </c>
      <c r="B51" s="33" t="n">
        <v>11018489.58</v>
      </c>
      <c r="C51" s="33" t="n">
        <v>192885.09</v>
      </c>
      <c r="D51" s="33" t="n">
        <v>166377.34</v>
      </c>
      <c r="E51" s="33" t="n">
        <v>-67579.12</v>
      </c>
      <c r="F51" s="33" t="n">
        <v>-39079.72</v>
      </c>
      <c r="G51" s="33" t="n">
        <v>11271093.17</v>
      </c>
      <c r="H51" s="24" t="n">
        <f aca="false">SUM(B51:F51)-G51</f>
        <v>0</v>
      </c>
      <c r="I51" s="22" t="n">
        <f aca="false">IF(B51=0,0,1+(E51+F51)/B51)</f>
        <v>0.990320012627357</v>
      </c>
      <c r="J51" s="22" t="n">
        <f aca="false">IF(B51=0,0,1+(D51+E51+F51)/B51)</f>
        <v>1.00541984448653</v>
      </c>
    </row>
    <row r="52" customFormat="false" ht="15" hidden="false" customHeight="false" outlineLevel="0" collapsed="false">
      <c r="A52" s="3" t="s">
        <v>3942</v>
      </c>
      <c r="B52" s="33" t="n">
        <v>11271093.17</v>
      </c>
      <c r="C52" s="33" t="n">
        <v>153626.7</v>
      </c>
      <c r="D52" s="33" t="n">
        <v>150432.29</v>
      </c>
      <c r="E52" s="33" t="n">
        <v>-62709.89</v>
      </c>
      <c r="F52" s="33" t="n">
        <v>-112542.47</v>
      </c>
      <c r="G52" s="33" t="n">
        <v>11399899.8</v>
      </c>
      <c r="H52" s="24" t="n">
        <f aca="false">SUM(B52:F52)-G52</f>
        <v>0</v>
      </c>
      <c r="I52" s="22" t="n">
        <f aca="false">IF(B52=0,0,1+(E52+F52)/B52)</f>
        <v>0.984451165707115</v>
      </c>
      <c r="J52" s="22" t="n">
        <f aca="false">IF(B52=0,0,1+(D52+E52+F52)/B52)</f>
        <v>0.997797900378815</v>
      </c>
    </row>
    <row r="53" customFormat="false" ht="15" hidden="false" customHeight="false" outlineLevel="0" collapsed="false">
      <c r="A53" s="3" t="s">
        <v>3943</v>
      </c>
      <c r="B53" s="33" t="n">
        <v>11399899.8</v>
      </c>
      <c r="C53" s="33" t="n">
        <v>120140.12</v>
      </c>
      <c r="D53" s="33" t="n">
        <v>171903.8</v>
      </c>
      <c r="E53" s="33" t="n">
        <v>-71531.8</v>
      </c>
      <c r="F53" s="33" t="n">
        <v>-47451.81</v>
      </c>
      <c r="G53" s="33" t="n">
        <v>11572960.11</v>
      </c>
      <c r="H53" s="24" t="n">
        <f aca="false">SUM(B53:F53)-G53</f>
        <v>0</v>
      </c>
      <c r="I53" s="22" t="n">
        <f aca="false">IF(B53=0,0,1+(E53+F53)/B53)</f>
        <v>0.989562749490132</v>
      </c>
      <c r="J53" s="22" t="n">
        <f aca="false">IF(B53=0,0,1+(D53+E53+F53)/B53)</f>
        <v>1.00464216273199</v>
      </c>
    </row>
    <row r="54" customFormat="false" ht="15" hidden="false" customHeight="false" outlineLevel="0" collapsed="false">
      <c r="A54" s="3" t="s">
        <v>308</v>
      </c>
      <c r="B54" s="33" t="n">
        <v>11572960.11</v>
      </c>
      <c r="C54" s="33" t="n">
        <v>95607.62</v>
      </c>
      <c r="D54" s="33" t="n">
        <v>161209.26</v>
      </c>
      <c r="E54" s="33" t="n">
        <v>-81571.54</v>
      </c>
      <c r="F54" s="33" t="n">
        <v>-67320.85</v>
      </c>
      <c r="G54" s="33" t="n">
        <v>11680884.6</v>
      </c>
      <c r="H54" s="24" t="n">
        <f aca="false">SUM(B54:F54)-G54</f>
        <v>0</v>
      </c>
      <c r="I54" s="22" t="n">
        <f aca="false">IF(B54=0,0,1+(E54+F54)/B54)</f>
        <v>0.987134459240783</v>
      </c>
      <c r="J54" s="22" t="n">
        <f aca="false">IF(B54=0,0,1+(D54+E54+F54)/B54)</f>
        <v>1.00106428000122</v>
      </c>
    </row>
    <row r="55" customFormat="false" ht="15" hidden="false" customHeight="false" outlineLevel="0" collapsed="false">
      <c r="A55" s="3" t="s">
        <v>3944</v>
      </c>
      <c r="B55" s="33" t="n">
        <v>11680884.6</v>
      </c>
      <c r="C55" s="33" t="n">
        <v>93513.94</v>
      </c>
      <c r="D55" s="33" t="n">
        <v>138164.93</v>
      </c>
      <c r="E55" s="33" t="n">
        <v>-78262.9</v>
      </c>
      <c r="F55" s="33" t="n">
        <v>-31799.15</v>
      </c>
      <c r="G55" s="33" t="n">
        <v>11802501.42</v>
      </c>
      <c r="H55" s="24" t="n">
        <f aca="false">SUM(B55:F55)-G55</f>
        <v>0</v>
      </c>
      <c r="I55" s="22" t="n">
        <f aca="false">IF(B55=0,0,1+(E55+F55)/B55)</f>
        <v>0.990577592899086</v>
      </c>
      <c r="J55" s="22" t="n">
        <f aca="false">IF(B55=0,0,1+(D55+E55+F55)/B55)</f>
        <v>1.00240588628022</v>
      </c>
    </row>
    <row r="56" customFormat="false" ht="15" hidden="false" customHeight="false" outlineLevel="0" collapsed="false">
      <c r="A56" s="3" t="s">
        <v>3945</v>
      </c>
      <c r="B56" s="33" t="n">
        <v>11802501.42</v>
      </c>
      <c r="C56" s="33" t="n">
        <v>67640.35</v>
      </c>
      <c r="D56" s="33" t="n">
        <v>148641.37</v>
      </c>
      <c r="E56" s="33" t="n">
        <v>-63042.59</v>
      </c>
      <c r="F56" s="33" t="n">
        <v>-52111.55</v>
      </c>
      <c r="G56" s="33" t="n">
        <v>11903629</v>
      </c>
      <c r="H56" s="24" t="n">
        <f aca="false">SUM(B56:F56)-G56</f>
        <v>0</v>
      </c>
      <c r="I56" s="22" t="n">
        <f aca="false">IF(B56=0,0,1+(E56+F56)/B56)</f>
        <v>0.990243242859953</v>
      </c>
      <c r="J56" s="22" t="n">
        <f aca="false">IF(B56=0,0,1+(D56+E56+F56)/B56)</f>
        <v>1.00283729938327</v>
      </c>
    </row>
    <row r="57" customFormat="false" ht="15" hidden="false" customHeight="false" outlineLevel="0" collapsed="false">
      <c r="A57" s="3" t="s">
        <v>309</v>
      </c>
      <c r="B57" s="33" t="n">
        <v>11903629</v>
      </c>
      <c r="C57" s="33" t="n">
        <v>135482.35</v>
      </c>
      <c r="D57" s="33" t="n">
        <v>202141.68</v>
      </c>
      <c r="E57" s="33" t="n">
        <v>-78151.4</v>
      </c>
      <c r="F57" s="33" t="n">
        <v>-48968.27</v>
      </c>
      <c r="G57" s="33" t="n">
        <v>12114133.36</v>
      </c>
      <c r="H57" s="24" t="n">
        <f aca="false">SUM(B57:F57)-G57</f>
        <v>0</v>
      </c>
      <c r="I57" s="22" t="n">
        <f aca="false">IF(B57=0,0,1+(E57+F57)/B57)</f>
        <v>0.989320931457121</v>
      </c>
      <c r="J57" s="22" t="n">
        <f aca="false">IF(B57=0,0,1+(D57+E57+F57)/B57)</f>
        <v>1.00630244860622</v>
      </c>
    </row>
    <row r="58" customFormat="false" ht="15" hidden="false" customHeight="false" outlineLevel="0" collapsed="false">
      <c r="A58" s="3" t="s">
        <v>310</v>
      </c>
      <c r="B58" s="33" t="n">
        <v>12114133.36</v>
      </c>
      <c r="C58" s="33" t="n">
        <v>149268.28</v>
      </c>
      <c r="D58" s="33" t="n">
        <v>135121.2</v>
      </c>
      <c r="E58" s="33" t="n">
        <v>-83258.92</v>
      </c>
      <c r="F58" s="33" t="n">
        <v>-99767.52</v>
      </c>
      <c r="G58" s="33" t="n">
        <v>12215496.4</v>
      </c>
      <c r="H58" s="24" t="n">
        <f aca="false">SUM(B58:F58)-G58</f>
        <v>0</v>
      </c>
      <c r="I58" s="22" t="n">
        <f aca="false">IF(B58=0,0,1+(E58+F58)/B58)</f>
        <v>0.984891495366533</v>
      </c>
      <c r="J58" s="22" t="n">
        <f aca="false">IF(B58=0,0,1+(D58+E58+F58)/B58)</f>
        <v>0.996045508285539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2026-09-24T20:03:15Z</dcterms:created>
  <dc:creator>openpyxl</dc:creator>
  <dc:description/>
  <dc:language>en-US</dc:language>
  <cp:lastModifiedBy/>
  <dcterms:modified xsi:type="dcterms:W3CDTF">2026-09-24T20:03:16Z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